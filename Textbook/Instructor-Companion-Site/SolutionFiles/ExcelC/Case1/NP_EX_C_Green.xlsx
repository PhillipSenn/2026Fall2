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C\Case1\"/>
    </mc:Choice>
  </mc:AlternateContent>
  <xr:revisionPtr revIDLastSave="0" documentId="13_ncr:1_{FB91E0C9-A291-4EDC-9561-BE09786D4081}" xr6:coauthVersionLast="46" xr6:coauthVersionMax="46" xr10:uidLastSave="{00000000-0000-0000-0000-000000000000}"/>
  <bookViews>
    <workbookView xWindow="-120" yWindow="-120" windowWidth="29040" windowHeight="15840" xr2:uid="{5A3CDCD5-CEF5-4D35-87C0-77784C4C9E26}"/>
  </bookViews>
  <sheets>
    <sheet name="Documentation" sheetId="1" r:id="rId1"/>
    <sheet name="Income Statement" sheetId="3" r:id="rId2"/>
    <sheet name="Cash Flow" sheetId="4" r:id="rId3"/>
    <sheet name="Balance Shee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4" l="1"/>
  <c r="D18" i="4"/>
  <c r="E18" i="4"/>
  <c r="F18" i="4"/>
  <c r="B18" i="4"/>
  <c r="C16" i="4"/>
  <c r="D16" i="4"/>
  <c r="E16" i="4"/>
  <c r="F16" i="4"/>
  <c r="B16" i="4"/>
  <c r="B30" i="5"/>
  <c r="C30" i="5" s="1"/>
  <c r="F25" i="5"/>
  <c r="E25" i="5"/>
  <c r="D25" i="5"/>
  <c r="C25" i="5"/>
  <c r="B25" i="5"/>
  <c r="F15" i="5"/>
  <c r="F16" i="5" s="1"/>
  <c r="E15" i="5"/>
  <c r="E16" i="5" s="1"/>
  <c r="D15" i="5"/>
  <c r="D16" i="5" s="1"/>
  <c r="C15" i="5"/>
  <c r="C16" i="5" s="1"/>
  <c r="B15" i="5"/>
  <c r="B16" i="5" s="1"/>
  <c r="F8" i="4"/>
  <c r="E8" i="4"/>
  <c r="D8" i="4"/>
  <c r="C8" i="4"/>
  <c r="B8" i="4"/>
  <c r="F17" i="3"/>
  <c r="F20" i="3" s="1"/>
  <c r="F22" i="3" s="1"/>
  <c r="E17" i="3"/>
  <c r="D17" i="3"/>
  <c r="C17" i="3"/>
  <c r="B17" i="3"/>
  <c r="B20" i="3" s="1"/>
  <c r="B22" i="3" s="1"/>
  <c r="F8" i="3"/>
  <c r="E8" i="3"/>
  <c r="D8" i="3"/>
  <c r="C8" i="3"/>
  <c r="B8" i="3"/>
  <c r="C20" i="3" l="1"/>
  <c r="C22" i="3" s="1"/>
  <c r="D20" i="3"/>
  <c r="D22" i="3" s="1"/>
  <c r="E20" i="3"/>
  <c r="E22" i="3" s="1"/>
  <c r="E25" i="3" s="1"/>
  <c r="B25" i="3"/>
  <c r="B7" i="4"/>
  <c r="B12" i="4" s="1"/>
  <c r="F25" i="3"/>
  <c r="F7" i="4"/>
  <c r="F12" i="4" s="1"/>
  <c r="D7" i="4"/>
  <c r="D12" i="4" s="1"/>
  <c r="D25" i="3"/>
  <c r="C25" i="3"/>
  <c r="C7" i="4"/>
  <c r="C12" i="4" s="1"/>
  <c r="D30" i="5"/>
  <c r="E27" i="3" l="1"/>
  <c r="E17" i="4" s="1"/>
  <c r="E20" i="4" s="1"/>
  <c r="B27" i="3"/>
  <c r="B17" i="4" s="1"/>
  <c r="B20" i="4" s="1"/>
  <c r="B22" i="4" s="1"/>
  <c r="B23" i="4" s="1"/>
  <c r="D27" i="3"/>
  <c r="D17" i="4" s="1"/>
  <c r="D20" i="4" s="1"/>
  <c r="C27" i="3"/>
  <c r="C17" i="4" s="1"/>
  <c r="C20" i="4" s="1"/>
  <c r="C22" i="4" s="1"/>
  <c r="E7" i="4"/>
  <c r="E12" i="4" s="1"/>
  <c r="E22" i="4" s="1"/>
  <c r="F27" i="3"/>
  <c r="F17" i="4" s="1"/>
  <c r="F20" i="4" s="1"/>
  <c r="F22" i="4" s="1"/>
  <c r="D22" i="4"/>
  <c r="E30" i="5"/>
  <c r="C28" i="3" l="1"/>
  <c r="C32" i="3" s="1"/>
  <c r="D28" i="3"/>
  <c r="D32" i="3" s="1"/>
  <c r="B28" i="3"/>
  <c r="B32" i="3" s="1"/>
  <c r="B31" i="5" s="1"/>
  <c r="E28" i="3"/>
  <c r="E32" i="3" s="1"/>
  <c r="F28" i="3"/>
  <c r="F32" i="3" s="1"/>
  <c r="C23" i="4"/>
  <c r="D23" i="4" s="1"/>
  <c r="B6" i="5"/>
  <c r="B9" i="5" s="1"/>
  <c r="B18" i="5" s="1"/>
  <c r="B36" i="5" s="1"/>
  <c r="F30" i="5"/>
  <c r="C31" i="5" l="1"/>
  <c r="B32" i="5"/>
  <c r="B34" i="5" s="1"/>
  <c r="C6" i="5"/>
  <c r="C9" i="5" s="1"/>
  <c r="C18" i="5" s="1"/>
  <c r="C36" i="5" s="1"/>
  <c r="E23" i="4"/>
  <c r="D6" i="5"/>
  <c r="D9" i="5" s="1"/>
  <c r="D18" i="5" s="1"/>
  <c r="D36" i="5" s="1"/>
  <c r="D31" i="5" l="1"/>
  <c r="C32" i="5"/>
  <c r="C34" i="5" s="1"/>
  <c r="F23" i="4"/>
  <c r="F6" i="5" s="1"/>
  <c r="F9" i="5" s="1"/>
  <c r="F18" i="5" s="1"/>
  <c r="F36" i="5" s="1"/>
  <c r="E6" i="5"/>
  <c r="E9" i="5" s="1"/>
  <c r="E18" i="5" s="1"/>
  <c r="E36" i="5" s="1"/>
  <c r="E31" i="5" l="1"/>
  <c r="D32" i="5"/>
  <c r="D34" i="5" s="1"/>
  <c r="E32" i="5" l="1"/>
  <c r="E34" i="5" s="1"/>
  <c r="F31" i="5"/>
  <c r="F32" i="5" s="1"/>
  <c r="F34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Your Name</author>
  </authors>
  <commentList>
    <comment ref="F5" authorId="0" shapeId="0" xr:uid="{B733B8EE-384A-4926-8265-2BA0DB16E71F}">
      <text>
        <r>
          <rPr>
            <b/>
            <sz val="9"/>
            <color indexed="81"/>
            <rFont val="Tahoma"/>
            <family val="2"/>
          </rPr>
          <t>Wynton Karls:</t>
        </r>
        <r>
          <rPr>
            <sz val="9"/>
            <color indexed="81"/>
            <rFont val="Tahoma"/>
            <family val="2"/>
          </rPr>
          <t xml:space="preserve">
Karen, I implemented your suggestions. Please let me know if you see any other issues.</t>
        </r>
      </text>
    </comment>
  </commentList>
</comments>
</file>

<file path=xl/sharedStrings.xml><?xml version="1.0" encoding="utf-8"?>
<sst xmlns="http://schemas.openxmlformats.org/spreadsheetml/2006/main" count="114" uniqueCount="80">
  <si>
    <t>Green View Camping Supplies</t>
  </si>
  <si>
    <t>Author</t>
  </si>
  <si>
    <t>Date</t>
  </si>
  <si>
    <t>Purpose</t>
  </si>
  <si>
    <t>To estimate  the next five years of financial statements for Green View Camping Supplies</t>
  </si>
  <si>
    <t>Income Statement</t>
  </si>
  <si>
    <t>Income</t>
  </si>
  <si>
    <t>Year 1</t>
  </si>
  <si>
    <t>Year 2</t>
  </si>
  <si>
    <t>Year 3</t>
  </si>
  <si>
    <t>Year 4</t>
  </si>
  <si>
    <t>Year 5</t>
  </si>
  <si>
    <t>Sales</t>
  </si>
  <si>
    <t>GROSS PROFIT</t>
  </si>
  <si>
    <t>Expenses</t>
  </si>
  <si>
    <t>Payroll</t>
  </si>
  <si>
    <t>Utilities</t>
  </si>
  <si>
    <t>Licensing</t>
  </si>
  <si>
    <t>Occupancy Costs</t>
  </si>
  <si>
    <t>Insurance</t>
  </si>
  <si>
    <t>Miscellaneous Expenses</t>
  </si>
  <si>
    <t>Earnings</t>
  </si>
  <si>
    <t>Initial Earnings</t>
  </si>
  <si>
    <t>Depreciation</t>
  </si>
  <si>
    <t>Operating Profit</t>
  </si>
  <si>
    <t>Interest Expense</t>
  </si>
  <si>
    <t>Pretax Profit</t>
  </si>
  <si>
    <t>Tax Liability</t>
  </si>
  <si>
    <t>After-Tax Profit</t>
  </si>
  <si>
    <t>Dividends to Shareholders</t>
  </si>
  <si>
    <t>Retained Earnings</t>
  </si>
  <si>
    <t>Cash Flow</t>
  </si>
  <si>
    <t>Cash Balance on Starting Date</t>
  </si>
  <si>
    <t>Cash Inflows</t>
  </si>
  <si>
    <t>Depreciation Add-Back</t>
  </si>
  <si>
    <t xml:space="preserve">Additional Cash Received </t>
  </si>
  <si>
    <t>New Borrowing</t>
  </si>
  <si>
    <t>Sales of Other Current Assets</t>
  </si>
  <si>
    <t>TOTAL CASH INFLOW</t>
  </si>
  <si>
    <t>Cash Outflows</t>
  </si>
  <si>
    <t>Loan Payment to Investors</t>
  </si>
  <si>
    <t>Dividends</t>
  </si>
  <si>
    <t>Estimated Tax</t>
  </si>
  <si>
    <t>Interest Payments</t>
  </si>
  <si>
    <t>Debt Payment</t>
  </si>
  <si>
    <t>TOTAL CASH OUTFLOW</t>
  </si>
  <si>
    <t>NET CASH FLOW</t>
  </si>
  <si>
    <t>CASH BALANCE</t>
  </si>
  <si>
    <t>Balance Sheet</t>
  </si>
  <si>
    <t>Assets</t>
  </si>
  <si>
    <t>Current Assets</t>
  </si>
  <si>
    <t>Cash</t>
  </si>
  <si>
    <t>Accounts Receivable</t>
  </si>
  <si>
    <t>Inventory</t>
  </si>
  <si>
    <t>Total Current Assets</t>
  </si>
  <si>
    <t>Property and Equipment</t>
  </si>
  <si>
    <t>Property</t>
  </si>
  <si>
    <t>Miscellaneous Assets</t>
  </si>
  <si>
    <t>Long-Term Assets</t>
  </si>
  <si>
    <t>Less Accumulated Depreciation</t>
  </si>
  <si>
    <t>Net Property &amp; Equipment</t>
  </si>
  <si>
    <t>TOTAL ASSETS</t>
  </si>
  <si>
    <t>Liabilities and Equity</t>
  </si>
  <si>
    <t>Current Liabilities</t>
  </si>
  <si>
    <t>Total Current Liabilities</t>
  </si>
  <si>
    <t>Long-Term Liabilities</t>
  </si>
  <si>
    <t>Total Long-Term Liabilities</t>
  </si>
  <si>
    <t>Equity</t>
  </si>
  <si>
    <t>Initial Investment</t>
  </si>
  <si>
    <t>Less Start-Up Expenses</t>
  </si>
  <si>
    <t>Less Investor Repayment</t>
  </si>
  <si>
    <t>Accumulated Retained Earnings</t>
  </si>
  <si>
    <t>Total Equity</t>
  </si>
  <si>
    <t>TOTAL LIABILITIES  AND EQUITY</t>
  </si>
  <si>
    <t>NET WORTH</t>
  </si>
  <si>
    <t>Estimated Tax Liability</t>
  </si>
  <si>
    <t>Wynton Karls</t>
  </si>
  <si>
    <t>Cost of R&amp;D</t>
  </si>
  <si>
    <t>Cost of Marketing</t>
  </si>
  <si>
    <t>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</si>
</sst>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&quot;$&quot;#,##0"/>
  </numFmts>
  <fonts count="12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sz val="18"/>
      <color theme="3"/>
      <name val="Tw Cen MT"/>
      <family val="2"/>
      <scheme val="major"/>
    </font>
    <font>
      <b/>
      <sz val="13"/>
      <color theme="3"/>
      <name val="Tw Cen MT"/>
      <family val="2"/>
      <scheme val="minor"/>
    </font>
    <font>
      <b/>
      <sz val="11"/>
      <color theme="1"/>
      <name val="Tw Cen MT"/>
      <family val="2"/>
      <scheme val="minor"/>
    </font>
    <font>
      <sz val="11"/>
      <color theme="6" tint="-0.249977111117893"/>
      <name val="Tw Cen MT"/>
      <family val="2"/>
      <scheme val="minor"/>
    </font>
    <font>
      <b/>
      <sz val="24"/>
      <color theme="6"/>
      <name val="Tw Cen MT"/>
      <family val="2"/>
      <scheme val="minor"/>
    </font>
    <font>
      <sz val="11"/>
      <color theme="9" tint="-0.249977111117893"/>
      <name val="Tw Cen MT"/>
      <family val="2"/>
      <scheme val="minor"/>
    </font>
    <font>
      <sz val="18"/>
      <color theme="6" tint="-0.249977111117893"/>
      <name val="Tw Cen MT"/>
      <family val="2"/>
      <scheme val="major"/>
    </font>
    <font>
      <b/>
      <sz val="13"/>
      <color theme="6" tint="-0.249977111117893"/>
      <name val="Tw Cen MT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6" tint="-0.24994659260841701"/>
      </top>
      <bottom style="double">
        <color theme="6" tint="-0.24994659260841701"/>
      </bottom>
      <diagonal/>
    </border>
    <border>
      <left/>
      <right/>
      <top style="thin">
        <color theme="6"/>
      </top>
      <bottom style="double">
        <color theme="6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</cellStyleXfs>
  <cellXfs count="52">
    <xf numFmtId="0" fontId="0" fillId="0" borderId="0" xfId="0"/>
    <xf numFmtId="0" fontId="5" fillId="0" borderId="3" xfId="0" applyFont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6" fillId="0" borderId="0" xfId="0" applyFont="1"/>
    <xf numFmtId="0" fontId="7" fillId="0" borderId="0" xfId="0" applyFont="1" applyFill="1" applyBorder="1" applyAlignment="1"/>
    <xf numFmtId="0" fontId="0" fillId="0" borderId="0" xfId="0" applyFont="1" applyAlignment="1"/>
    <xf numFmtId="0" fontId="0" fillId="0" borderId="0" xfId="0" applyFont="1" applyFill="1" applyAlignment="1"/>
    <xf numFmtId="0" fontId="0" fillId="0" borderId="0" xfId="0" applyFont="1" applyFill="1" applyBorder="1" applyAlignment="1"/>
    <xf numFmtId="165" fontId="1" fillId="0" borderId="0" xfId="1" applyNumberFormat="1" applyFont="1" applyFill="1" applyBorder="1" applyAlignment="1"/>
    <xf numFmtId="0" fontId="0" fillId="0" borderId="4" xfId="0" applyFont="1" applyFill="1" applyBorder="1" applyAlignment="1"/>
    <xf numFmtId="0" fontId="0" fillId="0" borderId="0" xfId="0" applyFont="1" applyFill="1" applyBorder="1" applyAlignment="1">
      <alignment wrapText="1"/>
    </xf>
    <xf numFmtId="6" fontId="0" fillId="0" borderId="0" xfId="0" applyNumberFormat="1" applyFont="1" applyFill="1" applyBorder="1" applyAlignment="1"/>
    <xf numFmtId="165" fontId="1" fillId="0" borderId="0" xfId="1" applyNumberFormat="1" applyFont="1" applyBorder="1" applyAlignment="1"/>
    <xf numFmtId="0" fontId="0" fillId="0" borderId="0" xfId="0" applyFont="1" applyBorder="1" applyAlignment="1"/>
    <xf numFmtId="165" fontId="0" fillId="0" borderId="0" xfId="1" applyNumberFormat="1" applyFont="1" applyBorder="1" applyAlignment="1"/>
    <xf numFmtId="165" fontId="0" fillId="0" borderId="0" xfId="1" applyNumberFormat="1" applyFont="1" applyAlignment="1"/>
    <xf numFmtId="0" fontId="1" fillId="0" borderId="0" xfId="0" applyFont="1" applyAlignment="1"/>
    <xf numFmtId="6" fontId="0" fillId="0" borderId="0" xfId="0" applyNumberFormat="1" applyFont="1" applyAlignment="1"/>
    <xf numFmtId="164" fontId="0" fillId="0" borderId="0" xfId="0" applyNumberFormat="1" applyFont="1" applyFill="1" applyBorder="1" applyAlignment="1"/>
    <xf numFmtId="0" fontId="0" fillId="0" borderId="4" xfId="0" applyFont="1" applyBorder="1" applyAlignment="1"/>
    <xf numFmtId="0" fontId="8" fillId="0" borderId="0" xfId="3" applyFont="1" applyFill="1" applyBorder="1" applyAlignment="1"/>
    <xf numFmtId="0" fontId="9" fillId="0" borderId="0" xfId="4" applyFont="1" applyBorder="1" applyAlignment="1">
      <alignment horizontal="left" vertical="center"/>
    </xf>
    <xf numFmtId="0" fontId="0" fillId="2" borderId="2" xfId="5" applyFont="1" applyFill="1" applyAlignment="1"/>
    <xf numFmtId="0" fontId="1" fillId="0" borderId="6" xfId="5" applyFont="1" applyFill="1" applyBorder="1" applyAlignment="1"/>
    <xf numFmtId="0" fontId="0" fillId="2" borderId="5" xfId="0" applyFont="1" applyFill="1" applyBorder="1" applyAlignment="1"/>
    <xf numFmtId="0" fontId="0" fillId="2" borderId="0" xfId="0" applyFont="1" applyFill="1" applyAlignment="1"/>
    <xf numFmtId="0" fontId="5" fillId="0" borderId="0" xfId="0" applyFont="1" applyAlignment="1"/>
    <xf numFmtId="0" fontId="1" fillId="0" borderId="7" xfId="5" applyFont="1" applyBorder="1" applyAlignment="1"/>
    <xf numFmtId="0" fontId="0" fillId="3" borderId="0" xfId="0" applyFont="1" applyFill="1" applyBorder="1" applyAlignment="1">
      <alignment horizontal="center"/>
    </xf>
    <xf numFmtId="9" fontId="0" fillId="0" borderId="3" xfId="0" applyNumberFormat="1" applyFont="1" applyBorder="1" applyAlignment="1"/>
    <xf numFmtId="0" fontId="0" fillId="3" borderId="3" xfId="0" applyFont="1" applyFill="1" applyBorder="1" applyAlignment="1"/>
    <xf numFmtId="14" fontId="5" fillId="0" borderId="3" xfId="0" applyNumberFormat="1" applyFont="1" applyBorder="1" applyAlignment="1">
      <alignment horizontal="left" vertical="top" wrapText="1"/>
    </xf>
    <xf numFmtId="166" fontId="1" fillId="0" borderId="0" xfId="1" applyNumberFormat="1" applyFont="1" applyFill="1" applyBorder="1" applyAlignment="1"/>
    <xf numFmtId="166" fontId="1" fillId="0" borderId="6" xfId="5" applyNumberFormat="1" applyFont="1" applyFill="1" applyBorder="1" applyAlignment="1"/>
    <xf numFmtId="3" fontId="1" fillId="0" borderId="0" xfId="1" applyNumberFormat="1" applyFont="1" applyFill="1" applyBorder="1" applyAlignment="1"/>
    <xf numFmtId="3" fontId="1" fillId="0" borderId="4" xfId="1" applyNumberFormat="1" applyFont="1" applyFill="1" applyBorder="1" applyAlignment="1"/>
    <xf numFmtId="3" fontId="1" fillId="2" borderId="2" xfId="5" applyNumberFormat="1" applyFont="1" applyFill="1" applyAlignment="1"/>
    <xf numFmtId="3" fontId="0" fillId="0" borderId="4" xfId="1" applyNumberFormat="1" applyFont="1" applyBorder="1" applyAlignment="1"/>
    <xf numFmtId="166" fontId="0" fillId="0" borderId="0" xfId="2" applyNumberFormat="1" applyFont="1" applyAlignment="1"/>
    <xf numFmtId="166" fontId="0" fillId="2" borderId="5" xfId="0" applyNumberFormat="1" applyFont="1" applyFill="1" applyBorder="1" applyAlignment="1"/>
    <xf numFmtId="166" fontId="0" fillId="2" borderId="0" xfId="0" applyNumberFormat="1" applyFont="1" applyFill="1" applyAlignment="1"/>
    <xf numFmtId="3" fontId="0" fillId="0" borderId="0" xfId="1" applyNumberFormat="1" applyFont="1" applyFill="1" applyAlignment="1"/>
    <xf numFmtId="3" fontId="0" fillId="0" borderId="0" xfId="0" applyNumberFormat="1" applyFont="1" applyAlignment="1"/>
    <xf numFmtId="3" fontId="0" fillId="0" borderId="0" xfId="1" applyNumberFormat="1" applyFont="1" applyAlignment="1"/>
    <xf numFmtId="3" fontId="0" fillId="0" borderId="0" xfId="1" applyNumberFormat="1" applyFont="1" applyBorder="1" applyAlignment="1"/>
    <xf numFmtId="3" fontId="0" fillId="0" borderId="0" xfId="1" applyNumberFormat="1" applyFont="1" applyFill="1" applyBorder="1" applyAlignment="1"/>
    <xf numFmtId="38" fontId="0" fillId="0" borderId="0" xfId="1" applyNumberFormat="1" applyFont="1" applyAlignment="1"/>
    <xf numFmtId="38" fontId="0" fillId="2" borderId="5" xfId="0" applyNumberFormat="1" applyFont="1" applyFill="1" applyBorder="1" applyAlignment="1"/>
    <xf numFmtId="38" fontId="0" fillId="0" borderId="4" xfId="1" applyNumberFormat="1" applyFont="1" applyBorder="1" applyAlignment="1"/>
    <xf numFmtId="38" fontId="1" fillId="0" borderId="7" xfId="5" applyNumberFormat="1" applyFont="1" applyBorder="1" applyAlignment="1"/>
    <xf numFmtId="38" fontId="0" fillId="0" borderId="0" xfId="1" applyNumberFormat="1" applyFont="1" applyBorder="1" applyAlignment="1"/>
    <xf numFmtId="37" fontId="0" fillId="2" borderId="5" xfId="0" applyNumberFormat="1" applyFont="1" applyFill="1" applyBorder="1" applyAlignment="1"/>
  </cellXfs>
  <cellStyles count="6">
    <cellStyle name="Comma" xfId="1" builtinId="3"/>
    <cellStyle name="Currency" xfId="2" builtinId="4"/>
    <cellStyle name="Heading 2" xfId="4" builtinId="17"/>
    <cellStyle name="Normal" xfId="0" builtinId="0"/>
    <cellStyle name="Title" xfId="3" builtinId="15"/>
    <cellStyle name="Total" xfId="5" builtinId="25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9428B-CE7F-4FEA-BDFC-123E557DC3C0}">
  <dimension ref="A1:B5"/>
  <sheetViews>
    <sheetView tabSelected="1" zoomScale="120" zoomScaleNormal="120" workbookViewId="0">
      <selection activeCell="B3" sqref="B3"/>
    </sheetView>
  </sheetViews>
  <sheetFormatPr defaultRowHeight="14.25" x14ac:dyDescent="0.2"/>
  <cols>
    <col min="2" max="2" width="30.25" customWidth="1"/>
  </cols>
  <sheetData>
    <row r="1" spans="1:2" ht="30" x14ac:dyDescent="0.4">
      <c r="A1" s="3" t="s">
        <v>0</v>
      </c>
    </row>
    <row r="3" spans="1:2" x14ac:dyDescent="0.2">
      <c r="A3" s="2" t="s">
        <v>1</v>
      </c>
      <c r="B3" s="1" t="s">
        <v>76</v>
      </c>
    </row>
    <row r="4" spans="1:2" x14ac:dyDescent="0.2">
      <c r="A4" s="2" t="s">
        <v>2</v>
      </c>
      <c r="B4" s="31">
        <v>45717</v>
      </c>
    </row>
    <row r="5" spans="1:2" ht="42.75" x14ac:dyDescent="0.2">
      <c r="A5" s="2" t="s">
        <v>3</v>
      </c>
      <c r="B5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0A94F-AF6D-45B0-B86A-D269C050BAC3}">
  <sheetPr>
    <pageSetUpPr fitToPage="1"/>
  </sheetPr>
  <dimension ref="A1:K151"/>
  <sheetViews>
    <sheetView zoomScale="120" zoomScaleNormal="120" workbookViewId="0"/>
  </sheetViews>
  <sheetFormatPr defaultColWidth="8" defaultRowHeight="14.25" x14ac:dyDescent="0.2"/>
  <cols>
    <col min="1" max="1" width="20.75" style="16" customWidth="1"/>
    <col min="2" max="6" width="11.5" style="16" customWidth="1"/>
    <col min="7" max="7" width="3" style="16" customWidth="1"/>
    <col min="8" max="8" width="18.375" style="16" customWidth="1"/>
    <col min="9" max="9" width="8" style="16"/>
    <col min="10" max="10" width="10" style="16" customWidth="1"/>
    <col min="11" max="11" width="9" style="16" customWidth="1"/>
    <col min="12" max="16384" width="8" style="16"/>
  </cols>
  <sheetData>
    <row r="1" spans="1:9" s="4" customFormat="1" ht="30" x14ac:dyDescent="0.4">
      <c r="A1" s="3" t="s">
        <v>0</v>
      </c>
    </row>
    <row r="2" spans="1:9" s="4" customFormat="1" ht="23.25" x14ac:dyDescent="0.35">
      <c r="A2" s="20" t="s">
        <v>5</v>
      </c>
    </row>
    <row r="3" spans="1:9" s="5" customFormat="1" ht="15" customHeight="1" x14ac:dyDescent="0.2"/>
    <row r="4" spans="1:9" s="6" customFormat="1" ht="15" customHeight="1" x14ac:dyDescent="0.2">
      <c r="A4" s="21" t="s">
        <v>6</v>
      </c>
      <c r="B4" s="28" t="s">
        <v>7</v>
      </c>
      <c r="C4" s="28" t="s">
        <v>8</v>
      </c>
      <c r="D4" s="28" t="s">
        <v>9</v>
      </c>
      <c r="E4" s="28" t="s">
        <v>10</v>
      </c>
      <c r="F4" s="28" t="s">
        <v>11</v>
      </c>
      <c r="H4" s="30" t="s">
        <v>75</v>
      </c>
      <c r="I4" s="29">
        <v>0.32</v>
      </c>
    </row>
    <row r="5" spans="1:9" s="7" customFormat="1" ht="15" customHeight="1" x14ac:dyDescent="0.2">
      <c r="A5" s="7" t="s">
        <v>12</v>
      </c>
      <c r="B5" s="32">
        <v>1200000</v>
      </c>
      <c r="C5" s="32">
        <v>1500000</v>
      </c>
      <c r="D5" s="32">
        <v>1800000</v>
      </c>
      <c r="E5" s="32">
        <v>2200000</v>
      </c>
      <c r="F5" s="32">
        <v>2500000</v>
      </c>
    </row>
    <row r="6" spans="1:9" s="7" customFormat="1" ht="15" customHeight="1" x14ac:dyDescent="0.2">
      <c r="A6" s="7" t="s">
        <v>78</v>
      </c>
      <c r="B6" s="34">
        <v>300000</v>
      </c>
      <c r="C6" s="34">
        <v>340000</v>
      </c>
      <c r="D6" s="34">
        <v>380000</v>
      </c>
      <c r="E6" s="34">
        <v>440000</v>
      </c>
      <c r="F6" s="34">
        <v>500000</v>
      </c>
    </row>
    <row r="7" spans="1:9" s="7" customFormat="1" ht="15" customHeight="1" x14ac:dyDescent="0.2">
      <c r="A7" s="9" t="s">
        <v>77</v>
      </c>
      <c r="B7" s="35">
        <v>180000</v>
      </c>
      <c r="C7" s="35">
        <v>220000</v>
      </c>
      <c r="D7" s="35">
        <v>260000</v>
      </c>
      <c r="E7" s="35">
        <v>300000</v>
      </c>
      <c r="F7" s="35">
        <v>350000</v>
      </c>
    </row>
    <row r="8" spans="1:9" s="7" customFormat="1" ht="15" customHeight="1" thickBot="1" x14ac:dyDescent="0.25">
      <c r="A8" s="22" t="s">
        <v>13</v>
      </c>
      <c r="B8" s="36">
        <f>B5-(B6+B7)</f>
        <v>720000</v>
      </c>
      <c r="C8" s="36">
        <f t="shared" ref="C8:F8" si="0">C5-(C6+C7)</f>
        <v>940000</v>
      </c>
      <c r="D8" s="36">
        <f t="shared" si="0"/>
        <v>1160000</v>
      </c>
      <c r="E8" s="36">
        <f t="shared" si="0"/>
        <v>1460000</v>
      </c>
      <c r="F8" s="36">
        <f t="shared" si="0"/>
        <v>1650000</v>
      </c>
    </row>
    <row r="9" spans="1:9" s="7" customFormat="1" ht="15" customHeight="1" thickTop="1" x14ac:dyDescent="0.2">
      <c r="B9" s="8"/>
      <c r="C9" s="8"/>
      <c r="D9" s="8"/>
      <c r="E9" s="8"/>
      <c r="F9" s="8"/>
    </row>
    <row r="10" spans="1:9" s="7" customFormat="1" ht="15" customHeight="1" x14ac:dyDescent="0.2">
      <c r="A10" s="21" t="s">
        <v>14</v>
      </c>
      <c r="B10" s="28" t="s">
        <v>7</v>
      </c>
      <c r="C10" s="28" t="s">
        <v>8</v>
      </c>
      <c r="D10" s="28" t="s">
        <v>9</v>
      </c>
      <c r="E10" s="28" t="s">
        <v>10</v>
      </c>
      <c r="F10" s="28" t="s">
        <v>11</v>
      </c>
    </row>
    <row r="11" spans="1:9" s="7" customFormat="1" ht="15" customHeight="1" x14ac:dyDescent="0.2">
      <c r="A11" s="7" t="s">
        <v>15</v>
      </c>
      <c r="B11" s="32">
        <v>420000</v>
      </c>
      <c r="C11" s="32">
        <v>450000</v>
      </c>
      <c r="D11" s="32">
        <v>480000</v>
      </c>
      <c r="E11" s="32">
        <v>540000</v>
      </c>
      <c r="F11" s="32">
        <v>650000</v>
      </c>
    </row>
    <row r="12" spans="1:9" s="7" customFormat="1" ht="15" customHeight="1" x14ac:dyDescent="0.2">
      <c r="A12" s="7" t="s">
        <v>16</v>
      </c>
      <c r="B12" s="34">
        <v>65000</v>
      </c>
      <c r="C12" s="34">
        <v>70000</v>
      </c>
      <c r="D12" s="34">
        <v>75000</v>
      </c>
      <c r="E12" s="34">
        <v>80000</v>
      </c>
      <c r="F12" s="34">
        <v>90000</v>
      </c>
    </row>
    <row r="13" spans="1:9" s="7" customFormat="1" ht="15" customHeight="1" x14ac:dyDescent="0.2">
      <c r="A13" s="7" t="s">
        <v>17</v>
      </c>
      <c r="B13" s="34">
        <v>35000</v>
      </c>
      <c r="C13" s="34">
        <v>35000</v>
      </c>
      <c r="D13" s="34">
        <v>40000</v>
      </c>
      <c r="E13" s="34">
        <v>40000</v>
      </c>
      <c r="F13" s="34">
        <v>45000</v>
      </c>
    </row>
    <row r="14" spans="1:9" s="7" customFormat="1" ht="15" customHeight="1" x14ac:dyDescent="0.2">
      <c r="A14" s="7" t="s">
        <v>18</v>
      </c>
      <c r="B14" s="34">
        <v>60000</v>
      </c>
      <c r="C14" s="34">
        <v>65000</v>
      </c>
      <c r="D14" s="34">
        <v>70000</v>
      </c>
      <c r="E14" s="34">
        <v>75000</v>
      </c>
      <c r="F14" s="34">
        <v>80000</v>
      </c>
    </row>
    <row r="15" spans="1:9" s="7" customFormat="1" ht="15" customHeight="1" x14ac:dyDescent="0.2">
      <c r="A15" s="7" t="s">
        <v>19</v>
      </c>
      <c r="B15" s="34">
        <v>25000</v>
      </c>
      <c r="C15" s="34">
        <v>28000</v>
      </c>
      <c r="D15" s="34">
        <v>31000</v>
      </c>
      <c r="E15" s="34">
        <v>35000</v>
      </c>
      <c r="F15" s="34">
        <v>40000</v>
      </c>
    </row>
    <row r="16" spans="1:9" s="7" customFormat="1" ht="15" customHeight="1" x14ac:dyDescent="0.2">
      <c r="A16" s="7" t="s">
        <v>20</v>
      </c>
      <c r="B16" s="34">
        <v>20000</v>
      </c>
      <c r="C16" s="34">
        <v>23000</v>
      </c>
      <c r="D16" s="34">
        <v>26000</v>
      </c>
      <c r="E16" s="34">
        <v>30000</v>
      </c>
      <c r="F16" s="34">
        <v>35000</v>
      </c>
    </row>
    <row r="17" spans="1:11" s="7" customFormat="1" ht="15" customHeight="1" thickBot="1" x14ac:dyDescent="0.25">
      <c r="A17" s="22" t="s">
        <v>79</v>
      </c>
      <c r="B17" s="36">
        <f>SUM(B11:B16)</f>
        <v>625000</v>
      </c>
      <c r="C17" s="36">
        <f t="shared" ref="C17:F17" si="1">SUM(C11:C16)</f>
        <v>671000</v>
      </c>
      <c r="D17" s="36">
        <f t="shared" si="1"/>
        <v>722000</v>
      </c>
      <c r="E17" s="36">
        <f t="shared" si="1"/>
        <v>800000</v>
      </c>
      <c r="F17" s="36">
        <f t="shared" si="1"/>
        <v>940000</v>
      </c>
    </row>
    <row r="18" spans="1:11" s="7" customFormat="1" ht="15" customHeight="1" thickTop="1" x14ac:dyDescent="0.2">
      <c r="B18" s="8"/>
      <c r="C18" s="8"/>
      <c r="D18" s="8"/>
      <c r="E18" s="8"/>
      <c r="F18" s="8"/>
    </row>
    <row r="19" spans="1:11" s="7" customFormat="1" ht="16.5" x14ac:dyDescent="0.2">
      <c r="A19" s="21" t="s">
        <v>21</v>
      </c>
      <c r="B19" s="28" t="s">
        <v>7</v>
      </c>
      <c r="C19" s="28" t="s">
        <v>8</v>
      </c>
      <c r="D19" s="28" t="s">
        <v>9</v>
      </c>
      <c r="E19" s="28" t="s">
        <v>10</v>
      </c>
      <c r="F19" s="28" t="s">
        <v>11</v>
      </c>
    </row>
    <row r="20" spans="1:11" s="7" customFormat="1" ht="15" customHeight="1" x14ac:dyDescent="0.2">
      <c r="A20" s="10" t="s">
        <v>22</v>
      </c>
      <c r="B20" s="32">
        <f>B8-B17</f>
        <v>95000</v>
      </c>
      <c r="C20" s="32">
        <f t="shared" ref="C20:F20" si="2">C8-C17</f>
        <v>269000</v>
      </c>
      <c r="D20" s="32">
        <f t="shared" si="2"/>
        <v>438000</v>
      </c>
      <c r="E20" s="32">
        <f t="shared" si="2"/>
        <v>660000</v>
      </c>
      <c r="F20" s="32">
        <f t="shared" si="2"/>
        <v>710000</v>
      </c>
    </row>
    <row r="21" spans="1:11" s="7" customFormat="1" ht="15" customHeight="1" x14ac:dyDescent="0.2">
      <c r="A21" s="9" t="s">
        <v>23</v>
      </c>
      <c r="B21" s="35">
        <v>30000</v>
      </c>
      <c r="C21" s="35">
        <v>26000</v>
      </c>
      <c r="D21" s="35">
        <v>22000</v>
      </c>
      <c r="E21" s="35">
        <v>18000</v>
      </c>
      <c r="F21" s="35">
        <v>14000</v>
      </c>
    </row>
    <row r="22" spans="1:11" s="7" customFormat="1" ht="15" customHeight="1" thickBot="1" x14ac:dyDescent="0.25">
      <c r="A22" s="22" t="s">
        <v>24</v>
      </c>
      <c r="B22" s="36">
        <f>B20-B21</f>
        <v>65000</v>
      </c>
      <c r="C22" s="36">
        <f t="shared" ref="C22:F22" si="3">C20-C21</f>
        <v>243000</v>
      </c>
      <c r="D22" s="36">
        <f t="shared" si="3"/>
        <v>416000</v>
      </c>
      <c r="E22" s="36">
        <f t="shared" si="3"/>
        <v>642000</v>
      </c>
      <c r="F22" s="36">
        <f t="shared" si="3"/>
        <v>696000</v>
      </c>
    </row>
    <row r="23" spans="1:11" s="7" customFormat="1" ht="15" customHeight="1" thickTop="1" x14ac:dyDescent="0.2">
      <c r="B23" s="8"/>
      <c r="C23" s="8"/>
      <c r="D23" s="8"/>
      <c r="E23" s="8"/>
      <c r="F23" s="8"/>
      <c r="G23" s="11"/>
    </row>
    <row r="24" spans="1:11" s="7" customFormat="1" ht="15" customHeight="1" x14ac:dyDescent="0.2">
      <c r="A24" s="9" t="s">
        <v>25</v>
      </c>
      <c r="B24" s="35">
        <v>23000</v>
      </c>
      <c r="C24" s="35">
        <v>20000</v>
      </c>
      <c r="D24" s="35">
        <v>17000</v>
      </c>
      <c r="E24" s="35">
        <v>14000</v>
      </c>
      <c r="F24" s="35">
        <v>11000</v>
      </c>
      <c r="G24" s="11"/>
    </row>
    <row r="25" spans="1:11" s="7" customFormat="1" ht="15" customHeight="1" thickBot="1" x14ac:dyDescent="0.25">
      <c r="A25" s="22" t="s">
        <v>26</v>
      </c>
      <c r="B25" s="36">
        <f>B22-B24</f>
        <v>42000</v>
      </c>
      <c r="C25" s="36">
        <f t="shared" ref="C25:F25" si="4">C22-C24</f>
        <v>223000</v>
      </c>
      <c r="D25" s="36">
        <f t="shared" si="4"/>
        <v>399000</v>
      </c>
      <c r="E25" s="36">
        <f t="shared" si="4"/>
        <v>628000</v>
      </c>
      <c r="F25" s="36">
        <f t="shared" si="4"/>
        <v>685000</v>
      </c>
      <c r="G25" s="11"/>
    </row>
    <row r="26" spans="1:11" s="7" customFormat="1" ht="15" customHeight="1" thickTop="1" x14ac:dyDescent="0.2">
      <c r="B26" s="8"/>
      <c r="C26" s="8"/>
      <c r="D26" s="8"/>
      <c r="E26" s="8"/>
      <c r="F26" s="8"/>
    </row>
    <row r="27" spans="1:11" s="7" customFormat="1" ht="15" customHeight="1" x14ac:dyDescent="0.2">
      <c r="A27" s="9" t="s">
        <v>27</v>
      </c>
      <c r="B27" s="35">
        <f>MROUND(B25*$I$4,500)</f>
        <v>13500</v>
      </c>
      <c r="C27" s="35">
        <f t="shared" ref="C27:F27" si="5">MROUND(C25*$I$4,500)</f>
        <v>71500</v>
      </c>
      <c r="D27" s="35">
        <f t="shared" si="5"/>
        <v>127500</v>
      </c>
      <c r="E27" s="35">
        <f t="shared" si="5"/>
        <v>201000</v>
      </c>
      <c r="F27" s="35">
        <f t="shared" si="5"/>
        <v>219000</v>
      </c>
    </row>
    <row r="28" spans="1:11" s="7" customFormat="1" ht="15" customHeight="1" thickBot="1" x14ac:dyDescent="0.25">
      <c r="A28" s="22" t="s">
        <v>28</v>
      </c>
      <c r="B28" s="36">
        <f>B25-B27</f>
        <v>28500</v>
      </c>
      <c r="C28" s="36">
        <f t="shared" ref="C28:F28" si="6">C25-C27</f>
        <v>151500</v>
      </c>
      <c r="D28" s="36">
        <f t="shared" si="6"/>
        <v>271500</v>
      </c>
      <c r="E28" s="36">
        <f t="shared" si="6"/>
        <v>427000</v>
      </c>
      <c r="F28" s="36">
        <f t="shared" si="6"/>
        <v>466000</v>
      </c>
      <c r="H28"/>
      <c r="I28"/>
      <c r="J28"/>
      <c r="K28"/>
    </row>
    <row r="29" spans="1:11" s="7" customFormat="1" ht="15" customHeight="1" thickTop="1" x14ac:dyDescent="0.2"/>
    <row r="30" spans="1:11" s="7" customFormat="1" ht="15" customHeight="1" x14ac:dyDescent="0.2">
      <c r="A30" s="9" t="s">
        <v>29</v>
      </c>
      <c r="B30" s="37">
        <v>5000</v>
      </c>
      <c r="C30" s="37">
        <v>5000</v>
      </c>
      <c r="D30" s="37">
        <v>10000</v>
      </c>
      <c r="E30" s="37">
        <v>20000</v>
      </c>
      <c r="F30" s="37">
        <v>30000</v>
      </c>
    </row>
    <row r="31" spans="1:11" s="7" customFormat="1" ht="15" customHeight="1" x14ac:dyDescent="0.2"/>
    <row r="32" spans="1:11" s="7" customFormat="1" ht="15" customHeight="1" thickBot="1" x14ac:dyDescent="0.25">
      <c r="A32" s="23" t="s">
        <v>30</v>
      </c>
      <c r="B32" s="33">
        <f>B28-B30</f>
        <v>23500</v>
      </c>
      <c r="C32" s="33">
        <f t="shared" ref="C32:F32" si="7">C28-C30</f>
        <v>146500</v>
      </c>
      <c r="D32" s="33">
        <f t="shared" si="7"/>
        <v>261500</v>
      </c>
      <c r="E32" s="33">
        <f t="shared" si="7"/>
        <v>407000</v>
      </c>
      <c r="F32" s="33">
        <f t="shared" si="7"/>
        <v>436000</v>
      </c>
    </row>
    <row r="33" spans="2:6" s="13" customFormat="1" ht="15" customHeight="1" thickTop="1" x14ac:dyDescent="0.2">
      <c r="B33" s="12"/>
      <c r="C33" s="12"/>
      <c r="D33" s="12"/>
      <c r="E33" s="12"/>
      <c r="F33" s="12"/>
    </row>
    <row r="34" spans="2:6" s="13" customFormat="1" ht="15" customHeight="1" x14ac:dyDescent="0.2">
      <c r="B34" s="14"/>
      <c r="C34" s="14"/>
      <c r="D34" s="14"/>
      <c r="E34" s="14"/>
      <c r="F34" s="14"/>
    </row>
    <row r="35" spans="2:6" s="13" customFormat="1" ht="15" customHeight="1" x14ac:dyDescent="0.2">
      <c r="B35" s="14"/>
      <c r="C35" s="14"/>
      <c r="D35" s="14"/>
      <c r="E35" s="14"/>
      <c r="F35" s="14"/>
    </row>
    <row r="36" spans="2:6" s="13" customFormat="1" ht="15" customHeight="1" x14ac:dyDescent="0.2">
      <c r="B36" s="14"/>
      <c r="C36" s="14"/>
      <c r="D36" s="14"/>
      <c r="E36" s="14"/>
      <c r="F36" s="14"/>
    </row>
    <row r="37" spans="2:6" s="13" customFormat="1" ht="15" customHeight="1" x14ac:dyDescent="0.2">
      <c r="B37" s="14"/>
      <c r="C37" s="14"/>
      <c r="D37" s="14"/>
      <c r="E37" s="14"/>
      <c r="F37" s="14"/>
    </row>
    <row r="38" spans="2:6" s="13" customFormat="1" ht="15" customHeight="1" x14ac:dyDescent="0.2">
      <c r="B38" s="14"/>
      <c r="C38" s="14"/>
      <c r="D38" s="14"/>
      <c r="E38" s="14"/>
      <c r="F38" s="14"/>
    </row>
    <row r="39" spans="2:6" s="13" customFormat="1" ht="15" customHeight="1" x14ac:dyDescent="0.2">
      <c r="B39" s="14"/>
      <c r="C39" s="14"/>
      <c r="D39" s="14"/>
      <c r="E39" s="14"/>
      <c r="F39" s="14"/>
    </row>
    <row r="40" spans="2:6" s="13" customFormat="1" ht="15" customHeight="1" x14ac:dyDescent="0.2">
      <c r="B40" s="14"/>
      <c r="C40" s="14"/>
      <c r="D40" s="14"/>
      <c r="E40" s="14"/>
      <c r="F40" s="14"/>
    </row>
    <row r="41" spans="2:6" s="5" customFormat="1" ht="15" customHeight="1" x14ac:dyDescent="0.2">
      <c r="B41" s="15"/>
      <c r="C41" s="15"/>
      <c r="D41" s="15"/>
      <c r="E41" s="15"/>
      <c r="F41" s="15"/>
    </row>
    <row r="42" spans="2:6" s="5" customFormat="1" ht="15" customHeight="1" x14ac:dyDescent="0.2">
      <c r="B42" s="15"/>
      <c r="C42" s="15"/>
      <c r="D42" s="15"/>
      <c r="E42" s="15"/>
      <c r="F42" s="15"/>
    </row>
    <row r="43" spans="2:6" s="5" customFormat="1" ht="15" customHeight="1" x14ac:dyDescent="0.2">
      <c r="B43" s="15"/>
      <c r="C43" s="15"/>
      <c r="D43" s="15"/>
      <c r="E43" s="15"/>
      <c r="F43" s="15"/>
    </row>
    <row r="44" spans="2:6" s="5" customFormat="1" ht="15" customHeight="1" x14ac:dyDescent="0.2">
      <c r="B44" s="15"/>
      <c r="C44" s="15"/>
      <c r="D44" s="15"/>
      <c r="E44" s="15"/>
      <c r="F44" s="15"/>
    </row>
    <row r="45" spans="2:6" s="5" customFormat="1" ht="15" customHeight="1" x14ac:dyDescent="0.2">
      <c r="B45" s="15"/>
      <c r="C45" s="15"/>
      <c r="D45" s="15"/>
      <c r="E45" s="15"/>
      <c r="F45" s="15"/>
    </row>
    <row r="46" spans="2:6" s="5" customFormat="1" ht="15" customHeight="1" x14ac:dyDescent="0.2">
      <c r="B46" s="15"/>
      <c r="C46" s="15"/>
      <c r="D46" s="15"/>
      <c r="E46" s="15"/>
      <c r="F46" s="15"/>
    </row>
    <row r="47" spans="2:6" s="5" customFormat="1" ht="15" customHeight="1" x14ac:dyDescent="0.2"/>
    <row r="48" spans="2:6" s="5" customFormat="1" ht="15" customHeight="1" x14ac:dyDescent="0.2"/>
    <row r="49" s="5" customFormat="1" ht="15" customHeight="1" x14ac:dyDescent="0.2"/>
    <row r="50" s="5" customFormat="1" ht="15" customHeight="1" x14ac:dyDescent="0.2"/>
    <row r="51" s="5" customFormat="1" ht="15" customHeight="1" x14ac:dyDescent="0.2"/>
    <row r="52" s="5" customFormat="1" ht="15" customHeight="1" x14ac:dyDescent="0.2"/>
    <row r="53" s="5" customFormat="1" ht="15" customHeight="1" x14ac:dyDescent="0.2"/>
    <row r="54" s="5" customFormat="1" ht="15" customHeight="1" x14ac:dyDescent="0.2"/>
    <row r="55" s="5" customFormat="1" ht="15" customHeight="1" x14ac:dyDescent="0.2"/>
    <row r="56" s="5" customFormat="1" ht="15" customHeight="1" x14ac:dyDescent="0.2"/>
    <row r="57" s="5" customFormat="1" ht="15" customHeight="1" x14ac:dyDescent="0.2"/>
    <row r="58" s="5" customFormat="1" ht="15" customHeight="1" x14ac:dyDescent="0.2"/>
    <row r="59" s="5" customFormat="1" ht="15" customHeight="1" x14ac:dyDescent="0.2"/>
    <row r="60" s="5" customFormat="1" ht="15" customHeight="1" x14ac:dyDescent="0.2"/>
    <row r="61" s="5" customFormat="1" ht="15" customHeight="1" x14ac:dyDescent="0.2"/>
    <row r="62" s="5" customFormat="1" ht="15" customHeight="1" x14ac:dyDescent="0.2"/>
    <row r="63" s="5" customFormat="1" ht="15" customHeight="1" x14ac:dyDescent="0.2"/>
    <row r="64" s="5" customFormat="1" ht="15" customHeight="1" x14ac:dyDescent="0.2"/>
    <row r="65" s="5" customFormat="1" ht="15" customHeight="1" x14ac:dyDescent="0.2"/>
    <row r="66" s="5" customFormat="1" ht="15" customHeight="1" x14ac:dyDescent="0.2"/>
    <row r="67" s="5" customFormat="1" ht="15" customHeight="1" x14ac:dyDescent="0.2"/>
    <row r="68" s="5" customFormat="1" ht="15" customHeight="1" x14ac:dyDescent="0.2"/>
    <row r="69" s="5" customFormat="1" ht="15" customHeight="1" x14ac:dyDescent="0.2"/>
    <row r="70" s="5" customFormat="1" ht="15" customHeight="1" x14ac:dyDescent="0.2"/>
    <row r="71" s="5" customFormat="1" ht="15" customHeight="1" x14ac:dyDescent="0.2"/>
    <row r="72" s="5" customFormat="1" ht="15" customHeight="1" x14ac:dyDescent="0.2"/>
    <row r="73" s="5" customFormat="1" ht="15" customHeight="1" x14ac:dyDescent="0.2"/>
    <row r="74" s="5" customFormat="1" ht="15" customHeight="1" x14ac:dyDescent="0.2"/>
    <row r="75" s="5" customFormat="1" ht="15" customHeight="1" x14ac:dyDescent="0.2"/>
    <row r="76" s="5" customFormat="1" ht="15" customHeight="1" x14ac:dyDescent="0.2"/>
    <row r="77" s="5" customFormat="1" ht="15" customHeight="1" x14ac:dyDescent="0.2"/>
    <row r="78" s="5" customFormat="1" ht="15" customHeight="1" x14ac:dyDescent="0.2"/>
    <row r="79" s="5" customFormat="1" ht="15" customHeight="1" x14ac:dyDescent="0.2"/>
    <row r="80" s="5" customFormat="1" ht="15" customHeight="1" x14ac:dyDescent="0.2"/>
    <row r="81" s="5" customFormat="1" ht="15" customHeight="1" x14ac:dyDescent="0.2"/>
    <row r="82" s="5" customFormat="1" ht="15" customHeight="1" x14ac:dyDescent="0.2"/>
    <row r="83" s="5" customFormat="1" ht="15" customHeight="1" x14ac:dyDescent="0.2"/>
    <row r="84" s="5" customFormat="1" ht="15" customHeight="1" x14ac:dyDescent="0.2"/>
    <row r="85" s="5" customFormat="1" ht="15" customHeight="1" x14ac:dyDescent="0.2"/>
    <row r="86" s="5" customFormat="1" ht="15" customHeight="1" x14ac:dyDescent="0.2"/>
    <row r="87" s="5" customFormat="1" x14ac:dyDescent="0.2"/>
    <row r="88" s="5" customFormat="1" x14ac:dyDescent="0.2"/>
    <row r="89" s="5" customFormat="1" x14ac:dyDescent="0.2"/>
    <row r="90" s="5" customFormat="1" x14ac:dyDescent="0.2"/>
    <row r="91" s="5" customFormat="1" x14ac:dyDescent="0.2"/>
    <row r="92" s="5" customFormat="1" x14ac:dyDescent="0.2"/>
    <row r="93" s="5" customFormat="1" x14ac:dyDescent="0.2"/>
    <row r="94" s="5" customFormat="1" x14ac:dyDescent="0.2"/>
    <row r="95" s="5" customFormat="1" x14ac:dyDescent="0.2"/>
    <row r="96" s="5" customFormat="1" x14ac:dyDescent="0.2"/>
    <row r="97" s="5" customFormat="1" x14ac:dyDescent="0.2"/>
    <row r="98" s="5" customFormat="1" x14ac:dyDescent="0.2"/>
    <row r="99" s="5" customFormat="1" x14ac:dyDescent="0.2"/>
    <row r="100" s="5" customFormat="1" x14ac:dyDescent="0.2"/>
    <row r="101" s="5" customFormat="1" x14ac:dyDescent="0.2"/>
    <row r="102" s="5" customFormat="1" x14ac:dyDescent="0.2"/>
    <row r="103" s="5" customFormat="1" x14ac:dyDescent="0.2"/>
    <row r="104" s="5" customFormat="1" x14ac:dyDescent="0.2"/>
    <row r="105" s="5" customFormat="1" x14ac:dyDescent="0.2"/>
    <row r="106" s="5" customFormat="1" x14ac:dyDescent="0.2"/>
    <row r="107" s="5" customFormat="1" x14ac:dyDescent="0.2"/>
    <row r="108" s="5" customFormat="1" x14ac:dyDescent="0.2"/>
    <row r="109" s="5" customFormat="1" x14ac:dyDescent="0.2"/>
    <row r="110" s="5" customFormat="1" x14ac:dyDescent="0.2"/>
    <row r="111" s="5" customFormat="1" x14ac:dyDescent="0.2"/>
    <row r="112" s="5" customFormat="1" x14ac:dyDescent="0.2"/>
    <row r="113" s="5" customFormat="1" x14ac:dyDescent="0.2"/>
    <row r="114" s="5" customFormat="1" x14ac:dyDescent="0.2"/>
    <row r="115" s="5" customFormat="1" x14ac:dyDescent="0.2"/>
    <row r="116" s="5" customFormat="1" x14ac:dyDescent="0.2"/>
    <row r="117" s="5" customFormat="1" x14ac:dyDescent="0.2"/>
    <row r="118" s="5" customFormat="1" x14ac:dyDescent="0.2"/>
    <row r="119" s="5" customFormat="1" x14ac:dyDescent="0.2"/>
    <row r="120" s="5" customFormat="1" x14ac:dyDescent="0.2"/>
    <row r="121" s="5" customFormat="1" x14ac:dyDescent="0.2"/>
    <row r="122" s="5" customFormat="1" x14ac:dyDescent="0.2"/>
    <row r="123" s="5" customFormat="1" x14ac:dyDescent="0.2"/>
    <row r="124" s="5" customFormat="1" x14ac:dyDescent="0.2"/>
    <row r="125" s="5" customFormat="1" x14ac:dyDescent="0.2"/>
    <row r="126" s="5" customFormat="1" x14ac:dyDescent="0.2"/>
    <row r="127" s="5" customFormat="1" x14ac:dyDescent="0.2"/>
    <row r="128" s="5" customFormat="1" x14ac:dyDescent="0.2"/>
    <row r="129" s="5" customFormat="1" x14ac:dyDescent="0.2"/>
    <row r="130" s="5" customFormat="1" x14ac:dyDescent="0.2"/>
    <row r="131" s="5" customFormat="1" x14ac:dyDescent="0.2"/>
    <row r="132" s="5" customFormat="1" x14ac:dyDescent="0.2"/>
    <row r="133" s="5" customFormat="1" x14ac:dyDescent="0.2"/>
    <row r="134" s="5" customFormat="1" x14ac:dyDescent="0.2"/>
    <row r="135" s="5" customFormat="1" x14ac:dyDescent="0.2"/>
    <row r="136" s="5" customFormat="1" x14ac:dyDescent="0.2"/>
    <row r="137" s="5" customFormat="1" x14ac:dyDescent="0.2"/>
    <row r="138" s="5" customFormat="1" x14ac:dyDescent="0.2"/>
    <row r="139" s="5" customFormat="1" x14ac:dyDescent="0.2"/>
    <row r="140" s="5" customFormat="1" x14ac:dyDescent="0.2"/>
    <row r="141" s="5" customFormat="1" x14ac:dyDescent="0.2"/>
    <row r="142" s="5" customFormat="1" x14ac:dyDescent="0.2"/>
    <row r="143" s="5" customFormat="1" x14ac:dyDescent="0.2"/>
    <row r="144" s="5" customFormat="1" x14ac:dyDescent="0.2"/>
    <row r="145" s="5" customFormat="1" x14ac:dyDescent="0.2"/>
    <row r="146" s="5" customFormat="1" x14ac:dyDescent="0.2"/>
    <row r="147" s="5" customFormat="1" x14ac:dyDescent="0.2"/>
    <row r="148" s="5" customFormat="1" x14ac:dyDescent="0.2"/>
    <row r="149" s="5" customFormat="1" x14ac:dyDescent="0.2"/>
    <row r="150" s="5" customFormat="1" x14ac:dyDescent="0.2"/>
    <row r="151" s="5" customFormat="1" x14ac:dyDescent="0.2"/>
  </sheetData>
  <pageMargins left="0.7" right="0.7" top="0.75" bottom="0.75" header="0.3" footer="0.3"/>
  <pageSetup scale="86" orientation="portrait" r:id="rId1"/>
  <headerFooter>
    <oddFooter>&amp;R&amp;F &amp;A &amp;D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0CB9D-22D2-41D4-BB6C-B7C1705B5DBB}">
  <sheetPr>
    <pageSetUpPr fitToPage="1"/>
  </sheetPr>
  <dimension ref="A1:L157"/>
  <sheetViews>
    <sheetView zoomScale="120" zoomScaleNormal="120" workbookViewId="0"/>
  </sheetViews>
  <sheetFormatPr defaultColWidth="8" defaultRowHeight="14.25" x14ac:dyDescent="0.2"/>
  <cols>
    <col min="1" max="1" width="30.5" style="16" customWidth="1"/>
    <col min="2" max="6" width="14.875" style="16" customWidth="1"/>
    <col min="7" max="7" width="8" style="16"/>
    <col min="8" max="12" width="10.625" style="16" customWidth="1"/>
    <col min="13" max="16384" width="8" style="16"/>
  </cols>
  <sheetData>
    <row r="1" spans="1:12" s="4" customFormat="1" ht="30" x14ac:dyDescent="0.4">
      <c r="A1" s="3" t="s">
        <v>0</v>
      </c>
    </row>
    <row r="2" spans="1:12" s="4" customFormat="1" ht="23.25" x14ac:dyDescent="0.35">
      <c r="A2" s="20" t="s">
        <v>31</v>
      </c>
    </row>
    <row r="4" spans="1:12" s="5" customFormat="1" ht="16.5" x14ac:dyDescent="0.2">
      <c r="A4" s="21" t="s">
        <v>32</v>
      </c>
      <c r="B4" s="38">
        <v>250000</v>
      </c>
    </row>
    <row r="5" spans="1:12" s="5" customFormat="1" x14ac:dyDescent="0.2"/>
    <row r="6" spans="1:12" s="5" customFormat="1" ht="16.5" x14ac:dyDescent="0.2">
      <c r="A6" s="21" t="s">
        <v>33</v>
      </c>
      <c r="B6" s="28" t="s">
        <v>7</v>
      </c>
      <c r="C6" s="28" t="s">
        <v>8</v>
      </c>
      <c r="D6" s="28" t="s">
        <v>9</v>
      </c>
      <c r="E6" s="28" t="s">
        <v>10</v>
      </c>
      <c r="F6" s="28" t="s">
        <v>11</v>
      </c>
    </row>
    <row r="7" spans="1:12" s="5" customFormat="1" x14ac:dyDescent="0.2">
      <c r="A7" s="6" t="s">
        <v>24</v>
      </c>
      <c r="B7" s="41">
        <f>'Income Statement'!B22</f>
        <v>65000</v>
      </c>
      <c r="C7" s="41">
        <f>'Income Statement'!C22</f>
        <v>243000</v>
      </c>
      <c r="D7" s="41">
        <f>'Income Statement'!D22</f>
        <v>416000</v>
      </c>
      <c r="E7" s="41">
        <f>'Income Statement'!E22</f>
        <v>642000</v>
      </c>
      <c r="F7" s="41">
        <f>'Income Statement'!F22</f>
        <v>696000</v>
      </c>
    </row>
    <row r="8" spans="1:12" s="5" customFormat="1" x14ac:dyDescent="0.2">
      <c r="A8" s="6" t="s">
        <v>34</v>
      </c>
      <c r="B8" s="41">
        <f>'Income Statement'!B21</f>
        <v>30000</v>
      </c>
      <c r="C8" s="41">
        <f>'Income Statement'!C21</f>
        <v>26000</v>
      </c>
      <c r="D8" s="41">
        <f>'Income Statement'!D21</f>
        <v>22000</v>
      </c>
      <c r="E8" s="41">
        <f>'Income Statement'!E21</f>
        <v>18000</v>
      </c>
      <c r="F8" s="41">
        <f>'Income Statement'!F21</f>
        <v>14000</v>
      </c>
    </row>
    <row r="9" spans="1:12" s="5" customFormat="1" x14ac:dyDescent="0.2">
      <c r="A9" s="5" t="s">
        <v>35</v>
      </c>
      <c r="B9" s="42">
        <v>0</v>
      </c>
      <c r="C9" s="42">
        <v>0</v>
      </c>
      <c r="D9" s="42">
        <v>0</v>
      </c>
      <c r="E9" s="42">
        <v>0</v>
      </c>
      <c r="F9" s="42">
        <v>0</v>
      </c>
    </row>
    <row r="10" spans="1:12" s="5" customFormat="1" x14ac:dyDescent="0.2">
      <c r="A10" s="5" t="s">
        <v>36</v>
      </c>
      <c r="B10" s="43">
        <v>0</v>
      </c>
      <c r="C10" s="43">
        <v>0</v>
      </c>
      <c r="D10" s="43">
        <v>0</v>
      </c>
      <c r="E10" s="43">
        <v>0</v>
      </c>
      <c r="F10" s="43">
        <v>0</v>
      </c>
    </row>
    <row r="11" spans="1:12" s="5" customFormat="1" x14ac:dyDescent="0.2">
      <c r="A11" s="5" t="s">
        <v>37</v>
      </c>
      <c r="B11" s="43">
        <v>0</v>
      </c>
      <c r="C11" s="43">
        <v>0</v>
      </c>
      <c r="D11" s="43">
        <v>0</v>
      </c>
      <c r="E11" s="43">
        <v>0</v>
      </c>
      <c r="F11" s="43">
        <v>0</v>
      </c>
    </row>
    <row r="12" spans="1:12" s="5" customFormat="1" x14ac:dyDescent="0.2">
      <c r="A12" s="24" t="s">
        <v>38</v>
      </c>
      <c r="B12" s="39">
        <f>SUM(B7:B11)</f>
        <v>95000</v>
      </c>
      <c r="C12" s="39">
        <f t="shared" ref="C12:F12" si="0">SUM(C7:C11)</f>
        <v>269000</v>
      </c>
      <c r="D12" s="39">
        <f t="shared" si="0"/>
        <v>438000</v>
      </c>
      <c r="E12" s="39">
        <f t="shared" si="0"/>
        <v>660000</v>
      </c>
      <c r="F12" s="39">
        <f t="shared" si="0"/>
        <v>710000</v>
      </c>
    </row>
    <row r="13" spans="1:12" s="6" customFormat="1" x14ac:dyDescent="0.2">
      <c r="A13" s="5"/>
      <c r="B13" s="5"/>
      <c r="C13" s="5"/>
      <c r="D13" s="5"/>
      <c r="E13" s="5"/>
      <c r="F13" s="5"/>
    </row>
    <row r="14" spans="1:12" s="6" customFormat="1" ht="16.5" x14ac:dyDescent="0.2">
      <c r="A14" s="21" t="s">
        <v>39</v>
      </c>
      <c r="B14" s="28" t="s">
        <v>7</v>
      </c>
      <c r="C14" s="28" t="s">
        <v>8</v>
      </c>
      <c r="D14" s="28" t="s">
        <v>9</v>
      </c>
      <c r="E14" s="28" t="s">
        <v>10</v>
      </c>
      <c r="F14" s="28" t="s">
        <v>11</v>
      </c>
    </row>
    <row r="15" spans="1:12" s="5" customFormat="1" x14ac:dyDescent="0.2">
      <c r="A15" s="5" t="s">
        <v>40</v>
      </c>
      <c r="B15" s="41">
        <v>60000</v>
      </c>
      <c r="C15" s="41">
        <v>60000</v>
      </c>
      <c r="D15" s="41">
        <v>60000</v>
      </c>
      <c r="E15" s="41">
        <v>60000</v>
      </c>
      <c r="F15" s="41">
        <v>60000</v>
      </c>
      <c r="H15" s="17"/>
      <c r="I15" s="17"/>
      <c r="J15" s="17"/>
      <c r="K15" s="17"/>
      <c r="L15" s="17"/>
    </row>
    <row r="16" spans="1:12" s="5" customFormat="1" x14ac:dyDescent="0.2">
      <c r="A16" s="5" t="s">
        <v>41</v>
      </c>
      <c r="B16" s="44">
        <f>'Income Statement'!B30</f>
        <v>5000</v>
      </c>
      <c r="C16" s="44">
        <f>'Income Statement'!C30</f>
        <v>5000</v>
      </c>
      <c r="D16" s="44">
        <f>'Income Statement'!D30</f>
        <v>10000</v>
      </c>
      <c r="E16" s="44">
        <f>'Income Statement'!E30</f>
        <v>20000</v>
      </c>
      <c r="F16" s="44">
        <f>'Income Statement'!F30</f>
        <v>30000</v>
      </c>
      <c r="H16" s="17"/>
      <c r="I16" s="17"/>
      <c r="J16" s="17"/>
      <c r="K16" s="17"/>
      <c r="L16" s="17"/>
    </row>
    <row r="17" spans="1:12" s="5" customFormat="1" x14ac:dyDescent="0.2">
      <c r="A17" s="5" t="s">
        <v>42</v>
      </c>
      <c r="B17" s="45">
        <f>'Income Statement'!B27</f>
        <v>13500</v>
      </c>
      <c r="C17" s="45">
        <f>'Income Statement'!C27</f>
        <v>71500</v>
      </c>
      <c r="D17" s="45">
        <f>'Income Statement'!D27</f>
        <v>127500</v>
      </c>
      <c r="E17" s="45">
        <f>'Income Statement'!E27</f>
        <v>201000</v>
      </c>
      <c r="F17" s="45">
        <f>'Income Statement'!F27</f>
        <v>219000</v>
      </c>
      <c r="H17" s="17"/>
      <c r="I17" s="17"/>
      <c r="J17" s="17"/>
      <c r="K17" s="17"/>
      <c r="L17" s="17"/>
    </row>
    <row r="18" spans="1:12" s="5" customFormat="1" x14ac:dyDescent="0.2">
      <c r="A18" s="5" t="s">
        <v>43</v>
      </c>
      <c r="B18" s="41">
        <f>'Income Statement'!B24</f>
        <v>23000</v>
      </c>
      <c r="C18" s="41">
        <f>'Income Statement'!C24</f>
        <v>20000</v>
      </c>
      <c r="D18" s="41">
        <f>'Income Statement'!D24</f>
        <v>17000</v>
      </c>
      <c r="E18" s="41">
        <f>'Income Statement'!E24</f>
        <v>14000</v>
      </c>
      <c r="F18" s="41">
        <f>'Income Statement'!F24</f>
        <v>11000</v>
      </c>
    </row>
    <row r="19" spans="1:12" s="6" customFormat="1" x14ac:dyDescent="0.2">
      <c r="A19" s="5" t="s">
        <v>44</v>
      </c>
      <c r="B19" s="41">
        <v>72000</v>
      </c>
      <c r="C19" s="41">
        <v>76000</v>
      </c>
      <c r="D19" s="41">
        <v>80000</v>
      </c>
      <c r="E19" s="41">
        <v>84000</v>
      </c>
      <c r="F19" s="41">
        <v>88000</v>
      </c>
    </row>
    <row r="20" spans="1:12" s="5" customFormat="1" x14ac:dyDescent="0.2">
      <c r="A20" s="24" t="s">
        <v>45</v>
      </c>
      <c r="B20" s="39">
        <f>SUM(B15:B19)</f>
        <v>173500</v>
      </c>
      <c r="C20" s="39">
        <f t="shared" ref="C20:F20" si="1">SUM(C15:C19)</f>
        <v>232500</v>
      </c>
      <c r="D20" s="39">
        <f t="shared" si="1"/>
        <v>294500</v>
      </c>
      <c r="E20" s="39">
        <f t="shared" si="1"/>
        <v>379000</v>
      </c>
      <c r="F20" s="39">
        <f t="shared" si="1"/>
        <v>408000</v>
      </c>
    </row>
    <row r="21" spans="1:12" s="5" customFormat="1" x14ac:dyDescent="0.2">
      <c r="A21" s="7"/>
      <c r="B21" s="18"/>
      <c r="C21" s="18"/>
      <c r="D21" s="18"/>
      <c r="E21" s="18"/>
      <c r="F21" s="18"/>
    </row>
    <row r="22" spans="1:12" s="5" customFormat="1" x14ac:dyDescent="0.2">
      <c r="A22" s="25" t="s">
        <v>46</v>
      </c>
      <c r="B22" s="40">
        <f>B12-B20</f>
        <v>-78500</v>
      </c>
      <c r="C22" s="40">
        <f>C12-C20</f>
        <v>36500</v>
      </c>
      <c r="D22" s="40">
        <f>D12-D20</f>
        <v>143500</v>
      </c>
      <c r="E22" s="40">
        <f>E12-E20</f>
        <v>281000</v>
      </c>
      <c r="F22" s="40">
        <f>F12-F20</f>
        <v>302000</v>
      </c>
    </row>
    <row r="23" spans="1:12" s="5" customFormat="1" x14ac:dyDescent="0.2">
      <c r="A23" s="25" t="s">
        <v>47</v>
      </c>
      <c r="B23" s="40">
        <f>B4+'Cash Flow'!B22</f>
        <v>171500</v>
      </c>
      <c r="C23" s="40">
        <f>B23+C22</f>
        <v>208000</v>
      </c>
      <c r="D23" s="40">
        <f t="shared" ref="D23:F23" si="2">C23+D22</f>
        <v>351500</v>
      </c>
      <c r="E23" s="40">
        <f t="shared" si="2"/>
        <v>632500</v>
      </c>
      <c r="F23" s="40">
        <f t="shared" si="2"/>
        <v>934500</v>
      </c>
    </row>
    <row r="24" spans="1:12" s="5" customFormat="1" x14ac:dyDescent="0.2"/>
    <row r="25" spans="1:12" s="5" customFormat="1" x14ac:dyDescent="0.2"/>
    <row r="26" spans="1:12" s="5" customFormat="1" x14ac:dyDescent="0.2"/>
    <row r="27" spans="1:12" s="5" customFormat="1" x14ac:dyDescent="0.2"/>
    <row r="28" spans="1:12" s="5" customFormat="1" x14ac:dyDescent="0.2"/>
    <row r="29" spans="1:12" s="5" customFormat="1" x14ac:dyDescent="0.2"/>
    <row r="30" spans="1:12" s="5" customFormat="1" x14ac:dyDescent="0.2"/>
    <row r="31" spans="1:12" s="5" customFormat="1" x14ac:dyDescent="0.2"/>
    <row r="32" spans="1:12" s="5" customFormat="1" x14ac:dyDescent="0.2"/>
    <row r="33" s="5" customFormat="1" x14ac:dyDescent="0.2"/>
    <row r="34" s="5" customFormat="1" x14ac:dyDescent="0.2"/>
    <row r="35" s="5" customFormat="1" x14ac:dyDescent="0.2"/>
    <row r="36" s="5" customFormat="1" x14ac:dyDescent="0.2"/>
    <row r="37" s="5" customFormat="1" x14ac:dyDescent="0.2"/>
    <row r="38" s="5" customFormat="1" x14ac:dyDescent="0.2"/>
    <row r="39" s="5" customFormat="1" x14ac:dyDescent="0.2"/>
    <row r="40" s="5" customFormat="1" x14ac:dyDescent="0.2"/>
    <row r="41" s="5" customFormat="1" x14ac:dyDescent="0.2"/>
    <row r="42" s="5" customFormat="1" x14ac:dyDescent="0.2"/>
    <row r="43" s="5" customFormat="1" x14ac:dyDescent="0.2"/>
    <row r="44" s="5" customFormat="1" x14ac:dyDescent="0.2"/>
    <row r="45" s="5" customFormat="1" x14ac:dyDescent="0.2"/>
    <row r="46" s="5" customFormat="1" x14ac:dyDescent="0.2"/>
    <row r="47" s="5" customFormat="1" x14ac:dyDescent="0.2"/>
    <row r="48" s="5" customFormat="1" x14ac:dyDescent="0.2"/>
    <row r="49" s="5" customFormat="1" x14ac:dyDescent="0.2"/>
    <row r="50" s="5" customFormat="1" x14ac:dyDescent="0.2"/>
    <row r="51" s="5" customFormat="1" x14ac:dyDescent="0.2"/>
    <row r="52" s="5" customFormat="1" x14ac:dyDescent="0.2"/>
    <row r="53" s="5" customFormat="1" x14ac:dyDescent="0.2"/>
    <row r="54" s="5" customFormat="1" x14ac:dyDescent="0.2"/>
    <row r="55" s="5" customFormat="1" x14ac:dyDescent="0.2"/>
    <row r="56" s="5" customFormat="1" x14ac:dyDescent="0.2"/>
    <row r="57" s="5" customFormat="1" x14ac:dyDescent="0.2"/>
    <row r="58" s="5" customFormat="1" x14ac:dyDescent="0.2"/>
    <row r="59" s="5" customFormat="1" x14ac:dyDescent="0.2"/>
    <row r="60" s="5" customFormat="1" x14ac:dyDescent="0.2"/>
    <row r="61" s="5" customFormat="1" x14ac:dyDescent="0.2"/>
    <row r="62" s="5" customFormat="1" x14ac:dyDescent="0.2"/>
    <row r="63" s="5" customFormat="1" x14ac:dyDescent="0.2"/>
    <row r="64" s="5" customFormat="1" x14ac:dyDescent="0.2"/>
    <row r="65" s="5" customFormat="1" x14ac:dyDescent="0.2"/>
    <row r="66" s="5" customFormat="1" x14ac:dyDescent="0.2"/>
    <row r="67" s="5" customFormat="1" x14ac:dyDescent="0.2"/>
    <row r="68" s="5" customFormat="1" x14ac:dyDescent="0.2"/>
    <row r="69" s="5" customFormat="1" x14ac:dyDescent="0.2"/>
    <row r="70" s="5" customFormat="1" x14ac:dyDescent="0.2"/>
    <row r="71" s="5" customFormat="1" x14ac:dyDescent="0.2"/>
    <row r="72" s="5" customFormat="1" x14ac:dyDescent="0.2"/>
    <row r="73" s="5" customFormat="1" x14ac:dyDescent="0.2"/>
    <row r="74" s="5" customFormat="1" x14ac:dyDescent="0.2"/>
    <row r="75" s="5" customFormat="1" x14ac:dyDescent="0.2"/>
    <row r="76" s="5" customFormat="1" x14ac:dyDescent="0.2"/>
    <row r="77" s="5" customFormat="1" x14ac:dyDescent="0.2"/>
    <row r="78" s="5" customFormat="1" x14ac:dyDescent="0.2"/>
    <row r="79" s="5" customFormat="1" x14ac:dyDescent="0.2"/>
    <row r="80" s="5" customFormat="1" x14ac:dyDescent="0.2"/>
    <row r="81" s="5" customFormat="1" x14ac:dyDescent="0.2"/>
    <row r="82" s="5" customFormat="1" x14ac:dyDescent="0.2"/>
    <row r="83" s="5" customFormat="1" x14ac:dyDescent="0.2"/>
    <row r="84" s="5" customFormat="1" x14ac:dyDescent="0.2"/>
    <row r="85" s="5" customFormat="1" x14ac:dyDescent="0.2"/>
    <row r="86" s="5" customFormat="1" x14ac:dyDescent="0.2"/>
    <row r="87" s="5" customFormat="1" x14ac:dyDescent="0.2"/>
    <row r="88" s="5" customFormat="1" x14ac:dyDescent="0.2"/>
    <row r="89" s="5" customFormat="1" x14ac:dyDescent="0.2"/>
    <row r="90" s="5" customFormat="1" x14ac:dyDescent="0.2"/>
    <row r="91" s="5" customFormat="1" x14ac:dyDescent="0.2"/>
    <row r="92" s="5" customFormat="1" x14ac:dyDescent="0.2"/>
    <row r="93" s="5" customFormat="1" x14ac:dyDescent="0.2"/>
    <row r="94" s="5" customFormat="1" x14ac:dyDescent="0.2"/>
    <row r="95" s="5" customFormat="1" x14ac:dyDescent="0.2"/>
    <row r="96" s="5" customFormat="1" x14ac:dyDescent="0.2"/>
    <row r="97" s="5" customFormat="1" x14ac:dyDescent="0.2"/>
    <row r="98" s="5" customFormat="1" x14ac:dyDescent="0.2"/>
    <row r="99" s="5" customFormat="1" x14ac:dyDescent="0.2"/>
    <row r="100" s="5" customFormat="1" x14ac:dyDescent="0.2"/>
    <row r="101" s="5" customFormat="1" x14ac:dyDescent="0.2"/>
    <row r="102" s="5" customFormat="1" x14ac:dyDescent="0.2"/>
    <row r="103" s="5" customFormat="1" x14ac:dyDescent="0.2"/>
    <row r="104" s="5" customFormat="1" x14ac:dyDescent="0.2"/>
    <row r="105" s="5" customFormat="1" x14ac:dyDescent="0.2"/>
    <row r="106" s="5" customFormat="1" x14ac:dyDescent="0.2"/>
    <row r="107" s="5" customFormat="1" x14ac:dyDescent="0.2"/>
    <row r="108" s="5" customFormat="1" x14ac:dyDescent="0.2"/>
    <row r="109" s="5" customFormat="1" x14ac:dyDescent="0.2"/>
    <row r="110" s="5" customFormat="1" x14ac:dyDescent="0.2"/>
    <row r="111" s="5" customFormat="1" x14ac:dyDescent="0.2"/>
    <row r="112" s="5" customFormat="1" x14ac:dyDescent="0.2"/>
    <row r="113" s="5" customFormat="1" x14ac:dyDescent="0.2"/>
    <row r="114" s="5" customFormat="1" x14ac:dyDescent="0.2"/>
    <row r="115" s="5" customFormat="1" x14ac:dyDescent="0.2"/>
    <row r="116" s="5" customFormat="1" x14ac:dyDescent="0.2"/>
    <row r="117" s="5" customFormat="1" x14ac:dyDescent="0.2"/>
    <row r="118" s="5" customFormat="1" x14ac:dyDescent="0.2"/>
    <row r="119" s="5" customFormat="1" x14ac:dyDescent="0.2"/>
    <row r="120" s="5" customFormat="1" x14ac:dyDescent="0.2"/>
    <row r="121" s="5" customFormat="1" x14ac:dyDescent="0.2"/>
    <row r="122" s="5" customFormat="1" x14ac:dyDescent="0.2"/>
    <row r="123" s="5" customFormat="1" x14ac:dyDescent="0.2"/>
    <row r="124" s="5" customFormat="1" x14ac:dyDescent="0.2"/>
    <row r="125" s="5" customFormat="1" x14ac:dyDescent="0.2"/>
    <row r="126" s="5" customFormat="1" x14ac:dyDescent="0.2"/>
    <row r="127" s="5" customFormat="1" x14ac:dyDescent="0.2"/>
    <row r="128" s="5" customFormat="1" x14ac:dyDescent="0.2"/>
    <row r="129" s="5" customFormat="1" x14ac:dyDescent="0.2"/>
    <row r="130" s="5" customFormat="1" x14ac:dyDescent="0.2"/>
    <row r="131" s="5" customFormat="1" x14ac:dyDescent="0.2"/>
    <row r="132" s="5" customFormat="1" x14ac:dyDescent="0.2"/>
    <row r="133" s="5" customFormat="1" x14ac:dyDescent="0.2"/>
    <row r="134" s="5" customFormat="1" x14ac:dyDescent="0.2"/>
    <row r="135" s="5" customFormat="1" x14ac:dyDescent="0.2"/>
    <row r="136" s="5" customFormat="1" x14ac:dyDescent="0.2"/>
    <row r="137" s="5" customFormat="1" x14ac:dyDescent="0.2"/>
    <row r="138" s="5" customFormat="1" x14ac:dyDescent="0.2"/>
    <row r="139" s="5" customFormat="1" x14ac:dyDescent="0.2"/>
    <row r="140" s="5" customFormat="1" x14ac:dyDescent="0.2"/>
    <row r="141" s="5" customFormat="1" x14ac:dyDescent="0.2"/>
    <row r="142" s="5" customFormat="1" x14ac:dyDescent="0.2"/>
    <row r="143" s="5" customFormat="1" x14ac:dyDescent="0.2"/>
    <row r="144" s="5" customFormat="1" x14ac:dyDescent="0.2"/>
    <row r="145" s="5" customFormat="1" x14ac:dyDescent="0.2"/>
    <row r="146" s="5" customFormat="1" x14ac:dyDescent="0.2"/>
    <row r="147" s="5" customFormat="1" x14ac:dyDescent="0.2"/>
    <row r="148" s="5" customFormat="1" x14ac:dyDescent="0.2"/>
    <row r="149" s="5" customFormat="1" x14ac:dyDescent="0.2"/>
    <row r="150" s="5" customFormat="1" x14ac:dyDescent="0.2"/>
    <row r="151" s="5" customFormat="1" x14ac:dyDescent="0.2"/>
    <row r="152" s="5" customFormat="1" x14ac:dyDescent="0.2"/>
    <row r="153" s="5" customFormat="1" x14ac:dyDescent="0.2"/>
    <row r="154" s="5" customFormat="1" x14ac:dyDescent="0.2"/>
    <row r="155" s="5" customFormat="1" x14ac:dyDescent="0.2"/>
    <row r="156" s="5" customFormat="1" x14ac:dyDescent="0.2"/>
    <row r="157" s="5" customFormat="1" x14ac:dyDescent="0.2"/>
  </sheetData>
  <conditionalFormatting sqref="B22:F23">
    <cfRule type="cellIs" dxfId="0" priority="1" operator="lessThan">
      <formula>0</formula>
    </cfRule>
  </conditionalFormatting>
  <pageMargins left="0.7" right="0.7" top="0.75" bottom="0.75" header="0.3" footer="0.3"/>
  <pageSetup scale="75" orientation="portrait" r:id="rId1"/>
  <headerFooter>
    <oddFooter>&amp;R&amp;F &amp;A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9FD2-63BE-407E-B7F9-2A12CCE9A3C6}">
  <sheetPr>
    <pageSetUpPr fitToPage="1"/>
  </sheetPr>
  <dimension ref="A1:F112"/>
  <sheetViews>
    <sheetView topLeftCell="A19" zoomScale="120" zoomScaleNormal="120" workbookViewId="0"/>
  </sheetViews>
  <sheetFormatPr defaultColWidth="8" defaultRowHeight="14.25" x14ac:dyDescent="0.2"/>
  <cols>
    <col min="1" max="1" width="31.5" style="16" customWidth="1"/>
    <col min="2" max="6" width="12" style="16" customWidth="1"/>
    <col min="7" max="16384" width="8" style="16"/>
  </cols>
  <sheetData>
    <row r="1" spans="1:6" s="4" customFormat="1" ht="30" x14ac:dyDescent="0.4">
      <c r="A1" s="3" t="s">
        <v>0</v>
      </c>
    </row>
    <row r="2" spans="1:6" s="4" customFormat="1" ht="23.25" x14ac:dyDescent="0.35">
      <c r="A2" s="20" t="s">
        <v>48</v>
      </c>
    </row>
    <row r="4" spans="1:6" s="5" customFormat="1" ht="16.5" x14ac:dyDescent="0.2">
      <c r="A4" s="21" t="s">
        <v>49</v>
      </c>
      <c r="B4" s="28" t="s">
        <v>7</v>
      </c>
      <c r="C4" s="28" t="s">
        <v>8</v>
      </c>
      <c r="D4" s="28" t="s">
        <v>9</v>
      </c>
      <c r="E4" s="28" t="s">
        <v>10</v>
      </c>
      <c r="F4" s="28" t="s">
        <v>11</v>
      </c>
    </row>
    <row r="5" spans="1:6" s="5" customFormat="1" x14ac:dyDescent="0.2">
      <c r="A5" s="26" t="s">
        <v>50</v>
      </c>
    </row>
    <row r="6" spans="1:6" s="5" customFormat="1" x14ac:dyDescent="0.2">
      <c r="A6" s="5" t="s">
        <v>51</v>
      </c>
      <c r="B6" s="46">
        <f>'Cash Flow'!B23</f>
        <v>171500</v>
      </c>
      <c r="C6" s="46">
        <f>'Cash Flow'!C23</f>
        <v>208000</v>
      </c>
      <c r="D6" s="46">
        <f>'Cash Flow'!D23</f>
        <v>351500</v>
      </c>
      <c r="E6" s="46">
        <f>'Cash Flow'!E23</f>
        <v>632500</v>
      </c>
      <c r="F6" s="46">
        <f>'Cash Flow'!F23</f>
        <v>934500</v>
      </c>
    </row>
    <row r="7" spans="1:6" s="5" customFormat="1" x14ac:dyDescent="0.2">
      <c r="A7" s="5" t="s">
        <v>52</v>
      </c>
      <c r="B7" s="46">
        <v>0</v>
      </c>
      <c r="C7" s="46">
        <v>0</v>
      </c>
      <c r="D7" s="46">
        <v>0</v>
      </c>
      <c r="E7" s="46">
        <v>0</v>
      </c>
      <c r="F7" s="46">
        <v>0</v>
      </c>
    </row>
    <row r="8" spans="1:6" s="5" customFormat="1" x14ac:dyDescent="0.2">
      <c r="A8" s="5" t="s">
        <v>53</v>
      </c>
      <c r="B8" s="46">
        <v>0</v>
      </c>
      <c r="C8" s="46">
        <v>0</v>
      </c>
      <c r="D8" s="46">
        <v>0</v>
      </c>
      <c r="E8" s="46">
        <v>0</v>
      </c>
      <c r="F8" s="46">
        <v>0</v>
      </c>
    </row>
    <row r="9" spans="1:6" s="5" customFormat="1" x14ac:dyDescent="0.2">
      <c r="A9" s="24" t="s">
        <v>54</v>
      </c>
      <c r="B9" s="47">
        <f>SUM(B6:B8)</f>
        <v>171500</v>
      </c>
      <c r="C9" s="47">
        <f>SUM(C6:C8)</f>
        <v>208000</v>
      </c>
      <c r="D9" s="47">
        <f>SUM(D6:D8)</f>
        <v>351500</v>
      </c>
      <c r="E9" s="47">
        <f>SUM(E6:E8)</f>
        <v>632500</v>
      </c>
      <c r="F9" s="47">
        <f>SUM(F6:F8)</f>
        <v>934500</v>
      </c>
    </row>
    <row r="10" spans="1:6" s="5" customFormat="1" x14ac:dyDescent="0.2"/>
    <row r="11" spans="1:6" s="5" customFormat="1" x14ac:dyDescent="0.2">
      <c r="A11" s="26" t="s">
        <v>55</v>
      </c>
    </row>
    <row r="12" spans="1:6" s="5" customFormat="1" x14ac:dyDescent="0.2">
      <c r="A12" s="5" t="s">
        <v>56</v>
      </c>
      <c r="B12" s="46">
        <v>95000</v>
      </c>
      <c r="C12" s="46">
        <v>95000</v>
      </c>
      <c r="D12" s="46">
        <v>95000</v>
      </c>
      <c r="E12" s="46">
        <v>95000</v>
      </c>
      <c r="F12" s="46">
        <v>95000</v>
      </c>
    </row>
    <row r="13" spans="1:6" s="5" customFormat="1" x14ac:dyDescent="0.2">
      <c r="A13" s="5" t="s">
        <v>57</v>
      </c>
      <c r="B13" s="46">
        <v>65000</v>
      </c>
      <c r="C13" s="46">
        <v>65000</v>
      </c>
      <c r="D13" s="46">
        <v>65000</v>
      </c>
      <c r="E13" s="46">
        <v>65000</v>
      </c>
      <c r="F13" s="46">
        <v>65000</v>
      </c>
    </row>
    <row r="14" spans="1:6" s="5" customFormat="1" x14ac:dyDescent="0.2">
      <c r="A14" s="19" t="s">
        <v>58</v>
      </c>
      <c r="B14" s="48">
        <v>200000</v>
      </c>
      <c r="C14" s="48">
        <v>200000</v>
      </c>
      <c r="D14" s="48">
        <v>200000</v>
      </c>
      <c r="E14" s="48">
        <v>200000</v>
      </c>
      <c r="F14" s="48">
        <v>200000</v>
      </c>
    </row>
    <row r="15" spans="1:6" s="5" customFormat="1" x14ac:dyDescent="0.2">
      <c r="A15" s="5" t="s">
        <v>59</v>
      </c>
      <c r="B15" s="46">
        <f>-SUM('Income Statement'!$B$21:'Income Statement'!B21)</f>
        <v>-30000</v>
      </c>
      <c r="C15" s="46">
        <f>-SUM('Income Statement'!$B$21:'Income Statement'!C21)</f>
        <v>-56000</v>
      </c>
      <c r="D15" s="46">
        <f>-SUM('Income Statement'!$B$21:'Income Statement'!D21)</f>
        <v>-78000</v>
      </c>
      <c r="E15" s="46">
        <f>-SUM('Income Statement'!$B$21:'Income Statement'!E21)</f>
        <v>-96000</v>
      </c>
      <c r="F15" s="46">
        <f>-SUM('Income Statement'!$B$21:'Income Statement'!F21)</f>
        <v>-110000</v>
      </c>
    </row>
    <row r="16" spans="1:6" s="5" customFormat="1" x14ac:dyDescent="0.2">
      <c r="A16" s="24" t="s">
        <v>60</v>
      </c>
      <c r="B16" s="47">
        <f>SUM(B12:B15)</f>
        <v>330000</v>
      </c>
      <c r="C16" s="47">
        <f t="shared" ref="C16:F16" si="0">SUM(C12:C15)</f>
        <v>304000</v>
      </c>
      <c r="D16" s="47">
        <f t="shared" si="0"/>
        <v>282000</v>
      </c>
      <c r="E16" s="47">
        <f t="shared" si="0"/>
        <v>264000</v>
      </c>
      <c r="F16" s="47">
        <f t="shared" si="0"/>
        <v>250000</v>
      </c>
    </row>
    <row r="17" spans="1:6" s="5" customFormat="1" x14ac:dyDescent="0.2"/>
    <row r="18" spans="1:6" s="5" customFormat="1" ht="15" thickBot="1" x14ac:dyDescent="0.25">
      <c r="A18" s="27" t="s">
        <v>61</v>
      </c>
      <c r="B18" s="49">
        <f>B9+B16</f>
        <v>501500</v>
      </c>
      <c r="C18" s="49">
        <f>C9+C16</f>
        <v>512000</v>
      </c>
      <c r="D18" s="49">
        <f>D9+D16</f>
        <v>633500</v>
      </c>
      <c r="E18" s="49">
        <f>E9+E16</f>
        <v>896500</v>
      </c>
      <c r="F18" s="49">
        <f>F9+F16</f>
        <v>1184500</v>
      </c>
    </row>
    <row r="19" spans="1:6" s="5" customFormat="1" ht="15" thickTop="1" x14ac:dyDescent="0.2"/>
    <row r="20" spans="1:6" s="5" customFormat="1" ht="16.5" x14ac:dyDescent="0.2">
      <c r="A20" s="21" t="s">
        <v>62</v>
      </c>
      <c r="B20" s="28" t="s">
        <v>7</v>
      </c>
      <c r="C20" s="28" t="s">
        <v>8</v>
      </c>
      <c r="D20" s="28" t="s">
        <v>9</v>
      </c>
      <c r="E20" s="28" t="s">
        <v>10</v>
      </c>
      <c r="F20" s="28" t="s">
        <v>11</v>
      </c>
    </row>
    <row r="21" spans="1:6" s="5" customFormat="1" x14ac:dyDescent="0.2">
      <c r="A21" s="26" t="s">
        <v>63</v>
      </c>
    </row>
    <row r="22" spans="1:6" s="5" customFormat="1" x14ac:dyDescent="0.2">
      <c r="A22" s="24" t="s">
        <v>64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</row>
    <row r="23" spans="1:6" s="5" customFormat="1" x14ac:dyDescent="0.2"/>
    <row r="24" spans="1:6" s="5" customFormat="1" x14ac:dyDescent="0.2">
      <c r="A24" s="26" t="s">
        <v>65</v>
      </c>
    </row>
    <row r="25" spans="1:6" s="5" customFormat="1" x14ac:dyDescent="0.2">
      <c r="A25" s="24" t="s">
        <v>66</v>
      </c>
      <c r="B25" s="47">
        <f>420000-SUM('Cash Flow'!$B$19:'Cash Flow'!B19)</f>
        <v>348000</v>
      </c>
      <c r="C25" s="47">
        <f>420000-SUM('Cash Flow'!$B$19:'Cash Flow'!C19)</f>
        <v>272000</v>
      </c>
      <c r="D25" s="47">
        <f>420000-SUM('Cash Flow'!$B$19:'Cash Flow'!D19)</f>
        <v>192000</v>
      </c>
      <c r="E25" s="47">
        <f>420000-SUM('Cash Flow'!$B$19:'Cash Flow'!E19)</f>
        <v>108000</v>
      </c>
      <c r="F25" s="47">
        <f>420000-SUM('Cash Flow'!$B$19:'Cash Flow'!F19)</f>
        <v>20000</v>
      </c>
    </row>
    <row r="26" spans="1:6" s="5" customFormat="1" x14ac:dyDescent="0.2"/>
    <row r="27" spans="1:6" s="5" customFormat="1" x14ac:dyDescent="0.2">
      <c r="A27" s="26" t="s">
        <v>67</v>
      </c>
    </row>
    <row r="28" spans="1:6" s="5" customFormat="1" x14ac:dyDescent="0.2">
      <c r="A28" s="13" t="s">
        <v>68</v>
      </c>
      <c r="B28" s="50">
        <v>720000</v>
      </c>
      <c r="C28" s="50">
        <v>720000</v>
      </c>
      <c r="D28" s="50">
        <v>720000</v>
      </c>
      <c r="E28" s="50">
        <v>720000</v>
      </c>
      <c r="F28" s="50">
        <v>720000</v>
      </c>
    </row>
    <row r="29" spans="1:6" s="5" customFormat="1" x14ac:dyDescent="0.2">
      <c r="A29" s="5" t="s">
        <v>69</v>
      </c>
      <c r="B29" s="46">
        <v>-530000</v>
      </c>
      <c r="C29" s="46">
        <v>-530000</v>
      </c>
      <c r="D29" s="46">
        <v>-530000</v>
      </c>
      <c r="E29" s="46">
        <v>-530000</v>
      </c>
      <c r="F29" s="46">
        <v>-530000</v>
      </c>
    </row>
    <row r="30" spans="1:6" s="5" customFormat="1" x14ac:dyDescent="0.2">
      <c r="A30" s="19" t="s">
        <v>70</v>
      </c>
      <c r="B30" s="48">
        <f>-'Cash Flow'!B15</f>
        <v>-60000</v>
      </c>
      <c r="C30" s="48">
        <f>B30-'Cash Flow'!C15</f>
        <v>-120000</v>
      </c>
      <c r="D30" s="48">
        <f>C30-'Cash Flow'!D15</f>
        <v>-180000</v>
      </c>
      <c r="E30" s="48">
        <f>D30-'Cash Flow'!E15</f>
        <v>-240000</v>
      </c>
      <c r="F30" s="48">
        <f>E30-'Cash Flow'!F15</f>
        <v>-300000</v>
      </c>
    </row>
    <row r="31" spans="1:6" s="5" customFormat="1" x14ac:dyDescent="0.2">
      <c r="A31" s="5" t="s">
        <v>71</v>
      </c>
      <c r="B31" s="46">
        <f>'Income Statement'!B32</f>
        <v>23500</v>
      </c>
      <c r="C31" s="46">
        <f>B31+'Income Statement'!C32</f>
        <v>170000</v>
      </c>
      <c r="D31" s="46">
        <f>C31+'Income Statement'!D32</f>
        <v>431500</v>
      </c>
      <c r="E31" s="46">
        <f>D31+'Income Statement'!E32</f>
        <v>838500</v>
      </c>
      <c r="F31" s="46">
        <f>E31+'Income Statement'!F32</f>
        <v>1274500</v>
      </c>
    </row>
    <row r="32" spans="1:6" s="5" customFormat="1" x14ac:dyDescent="0.2">
      <c r="A32" s="24" t="s">
        <v>72</v>
      </c>
      <c r="B32" s="47">
        <f>SUM(B28:B31)</f>
        <v>153500</v>
      </c>
      <c r="C32" s="47">
        <f>SUM(C28:C31)</f>
        <v>240000</v>
      </c>
      <c r="D32" s="47">
        <f>SUM(D28:D31)</f>
        <v>441500</v>
      </c>
      <c r="E32" s="47">
        <f>SUM(E28:E31)</f>
        <v>788500</v>
      </c>
      <c r="F32" s="47">
        <f>SUM(F28:F31)</f>
        <v>1164500</v>
      </c>
    </row>
    <row r="33" spans="1:6" s="5" customFormat="1" x14ac:dyDescent="0.2"/>
    <row r="34" spans="1:6" s="5" customFormat="1" ht="15" thickBot="1" x14ac:dyDescent="0.25">
      <c r="A34" s="27" t="s">
        <v>73</v>
      </c>
      <c r="B34" s="49">
        <f>B22+B25+B32</f>
        <v>501500</v>
      </c>
      <c r="C34" s="49">
        <f>C22+C25+C32</f>
        <v>512000</v>
      </c>
      <c r="D34" s="49">
        <f>D22+D25+D32</f>
        <v>633500</v>
      </c>
      <c r="E34" s="49">
        <f>E22+E25+E32</f>
        <v>896500</v>
      </c>
      <c r="F34" s="49">
        <f>F22+F25+F32</f>
        <v>1184500</v>
      </c>
    </row>
    <row r="35" spans="1:6" s="5" customFormat="1" ht="15" thickTop="1" x14ac:dyDescent="0.2"/>
    <row r="36" spans="1:6" s="5" customFormat="1" ht="15" thickBot="1" x14ac:dyDescent="0.25">
      <c r="A36" s="27" t="s">
        <v>74</v>
      </c>
      <c r="B36" s="49">
        <f>B18-B25</f>
        <v>153500</v>
      </c>
      <c r="C36" s="49">
        <f t="shared" ref="C36:F36" si="1">C18-C25</f>
        <v>240000</v>
      </c>
      <c r="D36" s="49">
        <f t="shared" si="1"/>
        <v>441500</v>
      </c>
      <c r="E36" s="49">
        <f t="shared" si="1"/>
        <v>788500</v>
      </c>
      <c r="F36" s="49">
        <f t="shared" si="1"/>
        <v>1164500</v>
      </c>
    </row>
    <row r="37" spans="1:6" s="5" customFormat="1" ht="15" thickTop="1" x14ac:dyDescent="0.2"/>
    <row r="38" spans="1:6" s="5" customFormat="1" x14ac:dyDescent="0.2"/>
    <row r="39" spans="1:6" s="5" customFormat="1" x14ac:dyDescent="0.2"/>
    <row r="40" spans="1:6" s="5" customFormat="1" x14ac:dyDescent="0.2"/>
    <row r="41" spans="1:6" s="5" customFormat="1" x14ac:dyDescent="0.2"/>
    <row r="42" spans="1:6" s="5" customFormat="1" x14ac:dyDescent="0.2"/>
    <row r="43" spans="1:6" s="5" customFormat="1" x14ac:dyDescent="0.2"/>
    <row r="44" spans="1:6" s="5" customFormat="1" x14ac:dyDescent="0.2"/>
    <row r="45" spans="1:6" s="5" customFormat="1" x14ac:dyDescent="0.2"/>
    <row r="46" spans="1:6" s="5" customFormat="1" x14ac:dyDescent="0.2"/>
    <row r="47" spans="1:6" s="5" customFormat="1" x14ac:dyDescent="0.2"/>
    <row r="48" spans="1:6" s="5" customFormat="1" x14ac:dyDescent="0.2"/>
    <row r="49" s="5" customFormat="1" x14ac:dyDescent="0.2"/>
    <row r="50" s="5" customFormat="1" x14ac:dyDescent="0.2"/>
    <row r="51" s="5" customFormat="1" x14ac:dyDescent="0.2"/>
    <row r="52" s="5" customFormat="1" x14ac:dyDescent="0.2"/>
    <row r="53" s="5" customFormat="1" x14ac:dyDescent="0.2"/>
    <row r="54" s="5" customFormat="1" x14ac:dyDescent="0.2"/>
    <row r="55" s="5" customFormat="1" x14ac:dyDescent="0.2"/>
    <row r="56" s="5" customFormat="1" x14ac:dyDescent="0.2"/>
    <row r="57" s="5" customFormat="1" x14ac:dyDescent="0.2"/>
    <row r="58" s="5" customFormat="1" x14ac:dyDescent="0.2"/>
    <row r="59" s="5" customFormat="1" x14ac:dyDescent="0.2"/>
    <row r="60" s="5" customFormat="1" x14ac:dyDescent="0.2"/>
    <row r="61" s="5" customFormat="1" x14ac:dyDescent="0.2"/>
    <row r="62" s="5" customFormat="1" x14ac:dyDescent="0.2"/>
    <row r="63" s="5" customFormat="1" x14ac:dyDescent="0.2"/>
    <row r="64" s="5" customFormat="1" x14ac:dyDescent="0.2"/>
    <row r="65" s="5" customFormat="1" x14ac:dyDescent="0.2"/>
    <row r="66" s="5" customFormat="1" x14ac:dyDescent="0.2"/>
    <row r="67" s="5" customFormat="1" x14ac:dyDescent="0.2"/>
    <row r="68" s="5" customFormat="1" x14ac:dyDescent="0.2"/>
    <row r="69" s="5" customFormat="1" x14ac:dyDescent="0.2"/>
    <row r="70" s="5" customFormat="1" x14ac:dyDescent="0.2"/>
    <row r="71" s="5" customFormat="1" x14ac:dyDescent="0.2"/>
    <row r="72" s="5" customFormat="1" x14ac:dyDescent="0.2"/>
    <row r="73" s="5" customFormat="1" x14ac:dyDescent="0.2"/>
    <row r="74" s="5" customFormat="1" x14ac:dyDescent="0.2"/>
    <row r="75" s="5" customFormat="1" x14ac:dyDescent="0.2"/>
    <row r="76" s="5" customFormat="1" x14ac:dyDescent="0.2"/>
    <row r="77" s="5" customFormat="1" x14ac:dyDescent="0.2"/>
    <row r="78" s="5" customFormat="1" x14ac:dyDescent="0.2"/>
    <row r="79" s="5" customFormat="1" x14ac:dyDescent="0.2"/>
    <row r="80" s="5" customFormat="1" x14ac:dyDescent="0.2"/>
    <row r="81" s="5" customFormat="1" x14ac:dyDescent="0.2"/>
    <row r="82" s="5" customFormat="1" x14ac:dyDescent="0.2"/>
    <row r="83" s="5" customFormat="1" x14ac:dyDescent="0.2"/>
    <row r="84" s="5" customFormat="1" x14ac:dyDescent="0.2"/>
    <row r="85" s="5" customFormat="1" x14ac:dyDescent="0.2"/>
    <row r="86" s="5" customFormat="1" x14ac:dyDescent="0.2"/>
    <row r="87" s="5" customFormat="1" x14ac:dyDescent="0.2"/>
    <row r="88" s="5" customFormat="1" x14ac:dyDescent="0.2"/>
    <row r="89" s="5" customFormat="1" x14ac:dyDescent="0.2"/>
    <row r="90" s="5" customFormat="1" x14ac:dyDescent="0.2"/>
    <row r="91" s="5" customFormat="1" x14ac:dyDescent="0.2"/>
    <row r="92" s="5" customFormat="1" x14ac:dyDescent="0.2"/>
    <row r="93" s="5" customFormat="1" x14ac:dyDescent="0.2"/>
    <row r="94" s="5" customFormat="1" x14ac:dyDescent="0.2"/>
    <row r="95" s="5" customFormat="1" x14ac:dyDescent="0.2"/>
    <row r="96" s="5" customFormat="1" x14ac:dyDescent="0.2"/>
    <row r="97" s="5" customFormat="1" x14ac:dyDescent="0.2"/>
    <row r="98" s="5" customFormat="1" x14ac:dyDescent="0.2"/>
    <row r="99" s="5" customFormat="1" x14ac:dyDescent="0.2"/>
    <row r="100" s="5" customFormat="1" x14ac:dyDescent="0.2"/>
    <row r="101" s="5" customFormat="1" x14ac:dyDescent="0.2"/>
    <row r="102" s="5" customFormat="1" x14ac:dyDescent="0.2"/>
    <row r="103" s="5" customFormat="1" x14ac:dyDescent="0.2"/>
    <row r="104" s="5" customFormat="1" x14ac:dyDescent="0.2"/>
    <row r="105" s="5" customFormat="1" x14ac:dyDescent="0.2"/>
    <row r="106" s="5" customFormat="1" x14ac:dyDescent="0.2"/>
    <row r="107" s="5" customFormat="1" x14ac:dyDescent="0.2"/>
    <row r="108" s="5" customFormat="1" x14ac:dyDescent="0.2"/>
    <row r="109" s="5" customFormat="1" x14ac:dyDescent="0.2"/>
    <row r="110" s="5" customFormat="1" x14ac:dyDescent="0.2"/>
    <row r="111" s="5" customFormat="1" x14ac:dyDescent="0.2"/>
    <row r="112" s="5" customFormat="1" x14ac:dyDescent="0.2"/>
  </sheetData>
  <pageMargins left="0.7" right="0.7" top="0.75" bottom="0.75" header="0.3" footer="0.3"/>
  <pageSetup scale="86" orientation="portrait" r:id="rId1"/>
  <headerFooter>
    <oddFooter>&amp;R&amp;F &amp;A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Documentation</vt:lpstr>
      <vt:lpstr>Income Statement</vt:lpstr>
      <vt:lpstr>Cash Flow</vt:lpstr>
      <vt:lpstr>Balance Sheet</vt:lpstr>
    </vt:vector>
  </TitlesOfParts>
  <Company>Green View Camping Supplies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Appendix C, Case Problem 1</dc:title>
  <dc:subject>pro forma financial statements</dc:subject>
  <dc:creator>Your Name</dc:creator>
  <cp:keywords>NP Excel Append C: Case Problem 1</cp:keywords>
  <cp:lastModifiedBy>Patrick Carey</cp:lastModifiedBy>
  <dcterms:created xsi:type="dcterms:W3CDTF">2019-05-19T12:49:50Z</dcterms:created>
  <dcterms:modified xsi:type="dcterms:W3CDTF">2021-10-08T06:40:30Z</dcterms:modified>
  <cp:category>income statement; cash flow; balance sheet</cp:category>
  <cp:contentStatus>Final Draft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Wynton Karls; Karen Lange</vt:lpwstr>
  </property>
  <property fmtid="{D5CDD505-2E9C-101B-9397-08002B2CF9AE}" pid="3" name="_MarkAsFinal">
    <vt:bool>true</vt:bool>
  </property>
</Properties>
</file>
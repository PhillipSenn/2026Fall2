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filterPrivacy="1"/>
  <xr:revisionPtr revIDLastSave="0" documentId="13_ncr:1_{F1857FD3-BA6A-4802-AE53-85FC538A2A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ocumentation" sheetId="1" r:id="rId1"/>
    <sheet name="Home Summary" sheetId="7" r:id="rId2"/>
    <sheet name="Budget" sheetId="6" r:id="rId3"/>
  </sheets>
  <definedNames>
    <definedName name="holiday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6" l="1"/>
  <c r="C29" i="6" s="1"/>
  <c r="B43" i="6"/>
  <c r="C46" i="6" s="1"/>
  <c r="B6" i="6"/>
  <c r="C10" i="6" s="1"/>
  <c r="B12" i="6"/>
  <c r="B31" i="6"/>
  <c r="C42" i="6" s="1"/>
  <c r="C48" i="6"/>
  <c r="C47" i="6"/>
  <c r="C45" i="6"/>
  <c r="C44" i="6"/>
  <c r="B15" i="6"/>
  <c r="C18" i="6" s="1"/>
  <c r="C8" i="6"/>
  <c r="C7" i="6"/>
  <c r="C11" i="6" l="1"/>
  <c r="C32" i="6"/>
  <c r="C37" i="6"/>
  <c r="C31" i="6"/>
  <c r="C9" i="6"/>
  <c r="C43" i="6"/>
  <c r="C30" i="6"/>
  <c r="C20" i="6"/>
  <c r="C21" i="6"/>
  <c r="C6" i="6"/>
  <c r="C22" i="6"/>
  <c r="C23" i="6"/>
  <c r="C24" i="6"/>
  <c r="C25" i="6"/>
  <c r="F7" i="6"/>
  <c r="F10" i="6" s="1"/>
  <c r="C26" i="6"/>
  <c r="C27" i="6"/>
  <c r="C49" i="6"/>
  <c r="C13" i="6"/>
  <c r="C28" i="6"/>
  <c r="C14" i="6"/>
  <c r="C19" i="6"/>
  <c r="C12" i="6"/>
  <c r="C33" i="6"/>
  <c r="C36" i="6"/>
  <c r="C34" i="6"/>
  <c r="C35" i="6"/>
  <c r="C15" i="6"/>
  <c r="C16" i="6"/>
  <c r="C17" i="6"/>
  <c r="C41" i="6"/>
  <c r="C38" i="6"/>
  <c r="C39" i="6"/>
  <c r="C40" i="6"/>
  <c r="G8" i="6" l="1"/>
  <c r="G9" i="6"/>
  <c r="G6" i="6"/>
  <c r="G10" i="6"/>
  <c r="G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49" authorId="0" shapeId="0" xr:uid="{8E522E5A-B03C-4525-BD1F-E3CDD4A63276}">
      <text>
        <r>
          <rPr>
            <b/>
            <sz val="9"/>
            <color indexed="81"/>
            <rFont val="Tahoma"/>
            <family val="2"/>
          </rPr>
          <t>David Banks:</t>
        </r>
        <r>
          <rPr>
            <sz val="9"/>
            <color indexed="81"/>
            <rFont val="Tahoma"/>
            <family val="2"/>
          </rPr>
          <t xml:space="preserve">
Can we document what these other expenses might be for the client?</t>
        </r>
      </text>
    </comment>
  </commentList>
</comments>
</file>

<file path=xl/sharedStrings.xml><?xml version="1.0" encoding="utf-8"?>
<sst xmlns="http://schemas.openxmlformats.org/spreadsheetml/2006/main" count="76" uniqueCount="65">
  <si>
    <t>Author</t>
  </si>
  <si>
    <t>Date</t>
  </si>
  <si>
    <t>Purpose</t>
  </si>
  <si>
    <t>Pinero Construction</t>
  </si>
  <si>
    <t>Framing</t>
  </si>
  <si>
    <t>Plumbing</t>
  </si>
  <si>
    <t>HVAC</t>
  </si>
  <si>
    <t>Electrical</t>
  </si>
  <si>
    <t>Insulation</t>
  </si>
  <si>
    <t>Drywall</t>
  </si>
  <si>
    <t>Appliances</t>
  </si>
  <si>
    <t>TOTAL</t>
  </si>
  <si>
    <t>David Banks</t>
  </si>
  <si>
    <t>To create a construction budget for a new home created by Pinero Construction</t>
  </si>
  <si>
    <t>Construction Budget</t>
  </si>
  <si>
    <t>Item</t>
  </si>
  <si>
    <t>Pct.</t>
  </si>
  <si>
    <t>Site Work</t>
  </si>
  <si>
    <t>Building Permit Fees</t>
  </si>
  <si>
    <t>Impact Fee</t>
  </si>
  <si>
    <t>Water &amp; Sewers Fees</t>
  </si>
  <si>
    <t>Engineering</t>
  </si>
  <si>
    <t>Other</t>
  </si>
  <si>
    <t>Foundations</t>
  </si>
  <si>
    <t>Excavations</t>
  </si>
  <si>
    <t>Roof Framing</t>
  </si>
  <si>
    <t>Trusses</t>
  </si>
  <si>
    <t>Sheathing</t>
  </si>
  <si>
    <t>General Metal</t>
  </si>
  <si>
    <t>Exterior Finishes</t>
  </si>
  <si>
    <t>Exterior Wall Finish</t>
  </si>
  <si>
    <t>Roofing</t>
  </si>
  <si>
    <t>Windows and Doors</t>
  </si>
  <si>
    <t>Major Systems Rough-ins</t>
  </si>
  <si>
    <t>Interior Finishes</t>
  </si>
  <si>
    <t>Interior Trims, Doors, and Mirrors</t>
  </si>
  <si>
    <t>Painting</t>
  </si>
  <si>
    <t>Lighting</t>
  </si>
  <si>
    <t>Cabinets, Countertops</t>
  </si>
  <si>
    <t>Flooring</t>
  </si>
  <si>
    <t>Plumbing Fixtures</t>
  </si>
  <si>
    <t>Fireplace</t>
  </si>
  <si>
    <t>Final Steps</t>
  </si>
  <si>
    <t>Landscaping</t>
  </si>
  <si>
    <t>Decks and Patio</t>
  </si>
  <si>
    <t>Driveway</t>
  </si>
  <si>
    <t>Clean Up</t>
  </si>
  <si>
    <t>Other Expenses</t>
  </si>
  <si>
    <t>Construction Cost Breakdown</t>
  </si>
  <si>
    <t>Cost Overview</t>
  </si>
  <si>
    <t>Amount</t>
  </si>
  <si>
    <t>Finished Lot Cost</t>
  </si>
  <si>
    <t>Financing Costs</t>
  </si>
  <si>
    <t>Construction Cost</t>
  </si>
  <si>
    <t>General Expenses</t>
  </si>
  <si>
    <t>Owner</t>
  </si>
  <si>
    <t>Anna Lopez</t>
  </si>
  <si>
    <t>Address</t>
  </si>
  <si>
    <t>414 Mountain View Drive</t>
  </si>
  <si>
    <t>City</t>
  </si>
  <si>
    <t>Coeur d'Alene</t>
  </si>
  <si>
    <t>State</t>
  </si>
  <si>
    <t>Idaho</t>
  </si>
  <si>
    <t>Postal Code</t>
  </si>
  <si>
    <t>Home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</si>
</sst>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%"/>
    <numFmt numFmtId="167" formatCode="&quot;$&quot;#,##0"/>
  </numFmts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5" tint="-0.249977111117893"/>
      <name val="Gill Sans Ultra Bold"/>
      <family val="2"/>
    </font>
    <font>
      <sz val="20"/>
      <color theme="5" tint="-0.249977111117893"/>
      <name val="Gill Sans Ultra Bold"/>
      <family val="2"/>
    </font>
    <font>
      <sz val="11"/>
      <color theme="9" tint="-0.499984740745262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4" borderId="0" applyNumberFormat="0" applyBorder="0" applyAlignment="0" applyProtection="0"/>
  </cellStyleXfs>
  <cellXfs count="21">
    <xf numFmtId="0" fontId="0" fillId="0" borderId="0" xfId="0"/>
    <xf numFmtId="0" fontId="1" fillId="3" borderId="1" xfId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0" fontId="4" fillId="0" borderId="0" xfId="0" applyFont="1" applyFill="1" applyProtection="1"/>
    <xf numFmtId="0" fontId="5" fillId="0" borderId="0" xfId="0" applyFont="1" applyFill="1" applyProtection="1"/>
    <xf numFmtId="0" fontId="7" fillId="0" borderId="0" xfId="0" applyFont="1"/>
    <xf numFmtId="0" fontId="8" fillId="0" borderId="0" xfId="0" applyFont="1"/>
    <xf numFmtId="164" fontId="0" fillId="0" borderId="0" xfId="2" applyNumberFormat="1" applyFont="1"/>
    <xf numFmtId="166" fontId="0" fillId="0" borderId="0" xfId="4" applyNumberFormat="1" applyFont="1"/>
    <xf numFmtId="0" fontId="0" fillId="0" borderId="0" xfId="0" applyAlignment="1">
      <alignment horizontal="left" indent="2"/>
    </xf>
    <xf numFmtId="0" fontId="6" fillId="0" borderId="2" xfId="0" applyFont="1" applyBorder="1"/>
    <xf numFmtId="165" fontId="6" fillId="0" borderId="2" xfId="3" applyNumberFormat="1" applyFont="1" applyBorder="1"/>
    <xf numFmtId="166" fontId="6" fillId="0" borderId="2" xfId="4" applyNumberFormat="1" applyFont="1" applyBorder="1"/>
    <xf numFmtId="0" fontId="7" fillId="0" borderId="0" xfId="0" applyFont="1" applyAlignment="1">
      <alignment horizontal="center"/>
    </xf>
    <xf numFmtId="0" fontId="1" fillId="4" borderId="1" xfId="5" applyBorder="1"/>
    <xf numFmtId="0" fontId="0" fillId="5" borderId="1" xfId="0" applyFill="1" applyBorder="1"/>
    <xf numFmtId="49" fontId="0" fillId="5" borderId="1" xfId="0" applyNumberFormat="1" applyFill="1" applyBorder="1"/>
    <xf numFmtId="0" fontId="8" fillId="0" borderId="0" xfId="0" applyFont="1" applyAlignment="1">
      <alignment horizontal="left"/>
    </xf>
    <xf numFmtId="167" fontId="0" fillId="0" borderId="0" xfId="0" applyNumberFormat="1"/>
    <xf numFmtId="167" fontId="6" fillId="0" borderId="2" xfId="3" applyNumberFormat="1" applyFont="1" applyBorder="1"/>
  </cellXfs>
  <cellStyles count="6">
    <cellStyle name="Accent1" xfId="1" builtinId="29"/>
    <cellStyle name="Accent2" xfId="5" builtinId="33"/>
    <cellStyle name="Comma" xfId="2" builtinId="3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colors>
    <mruColors>
      <color rgb="FFF3B861"/>
      <color rgb="FFF5C073"/>
      <color rgb="FFF6C986"/>
      <color rgb="FFF7D199"/>
      <color rgb="FFF7CD8F"/>
      <color rgb="FFF9D9AB"/>
      <color rgb="FFFAE2BE"/>
      <color rgb="FFFCED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Cost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/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1-9443-4D36-B41A-87E0B62A537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9443-4D36-B41A-87E0B62A537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9443-4D36-B41A-87E0B62A5374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7-9443-4D36-B41A-87E0B62A53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Budget!$E$6:$E$9</c:f>
              <c:strCache>
                <c:ptCount val="4"/>
                <c:pt idx="0">
                  <c:v>Finished Lot Cost</c:v>
                </c:pt>
                <c:pt idx="1">
                  <c:v>Construction Cost</c:v>
                </c:pt>
                <c:pt idx="2">
                  <c:v>Financing Costs</c:v>
                </c:pt>
                <c:pt idx="3">
                  <c:v>General Expenses</c:v>
                </c:pt>
              </c:strCache>
            </c:strRef>
          </c:cat>
          <c:val>
            <c:numRef>
              <c:f>Budget!$F$6:$F$9</c:f>
              <c:numCache>
                <c:formatCode>"$"#,##0</c:formatCode>
                <c:ptCount val="4"/>
                <c:pt idx="0">
                  <c:v>105400</c:v>
                </c:pt>
                <c:pt idx="1">
                  <c:v>465600</c:v>
                </c:pt>
                <c:pt idx="2">
                  <c:v>23200</c:v>
                </c:pt>
                <c:pt idx="3">
                  <c:v>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1-4B9C-96FA-9AF8A13DC59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_rels/data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iagram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0481E1E-19AA-4061-BF64-420F3D767D65}" type="doc">
      <dgm:prSet loTypeId="urn:microsoft.com/office/officeart/2005/8/layout/pList1" loCatId="list" qsTypeId="urn:microsoft.com/office/officeart/2005/8/quickstyle/3d5" qsCatId="3D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5958AA14-F5B9-4643-BBF1-2ECF1D5D9876}">
      <dgm:prSet phldrT="[Text]"/>
      <dgm:spPr/>
      <dgm:t>
        <a:bodyPr/>
        <a:lstStyle/>
        <a:p>
          <a:r>
            <a:rPr lang="en-US"/>
            <a:t>House</a:t>
          </a:r>
        </a:p>
      </dgm:t>
    </dgm:pt>
    <dgm:pt modelId="{DDF4DF35-BF8B-4576-935E-BB21228A2C4A}" type="parTrans" cxnId="{83059901-BFD5-4D6F-B731-02D8FB4AC1E6}">
      <dgm:prSet/>
      <dgm:spPr/>
      <dgm:t>
        <a:bodyPr/>
        <a:lstStyle/>
        <a:p>
          <a:endParaRPr lang="en-US"/>
        </a:p>
      </dgm:t>
    </dgm:pt>
    <dgm:pt modelId="{5D7C08ED-221A-4111-80CC-63F6E794021D}" type="sibTrans" cxnId="{83059901-BFD5-4D6F-B731-02D8FB4AC1E6}">
      <dgm:prSet/>
      <dgm:spPr/>
      <dgm:t>
        <a:bodyPr/>
        <a:lstStyle/>
        <a:p>
          <a:endParaRPr lang="en-US"/>
        </a:p>
      </dgm:t>
    </dgm:pt>
    <dgm:pt modelId="{F4197443-C3B6-45E5-83ED-8595AF1F3A1A}">
      <dgm:prSet phldrT="[Text]"/>
      <dgm:spPr/>
      <dgm:t>
        <a:bodyPr/>
        <a:lstStyle/>
        <a:p>
          <a:r>
            <a:rPr lang="en-US"/>
            <a:t>Kitchen</a:t>
          </a:r>
        </a:p>
      </dgm:t>
    </dgm:pt>
    <dgm:pt modelId="{6F9ECDE3-AA96-42D7-89A6-E645B5CDF234}" type="parTrans" cxnId="{3D9A139D-3E74-4215-8049-B2EADCF45297}">
      <dgm:prSet/>
      <dgm:spPr/>
      <dgm:t>
        <a:bodyPr/>
        <a:lstStyle/>
        <a:p>
          <a:endParaRPr lang="en-US"/>
        </a:p>
      </dgm:t>
    </dgm:pt>
    <dgm:pt modelId="{228C4B55-5A0B-4550-9CE0-C12B7729B0FE}" type="sibTrans" cxnId="{3D9A139D-3E74-4215-8049-B2EADCF45297}">
      <dgm:prSet/>
      <dgm:spPr/>
      <dgm:t>
        <a:bodyPr/>
        <a:lstStyle/>
        <a:p>
          <a:endParaRPr lang="en-US"/>
        </a:p>
      </dgm:t>
    </dgm:pt>
    <dgm:pt modelId="{D8866E99-0B4F-4C24-91CD-405DE1244ABA}">
      <dgm:prSet phldrT="[Text]"/>
      <dgm:spPr/>
      <dgm:t>
        <a:bodyPr/>
        <a:lstStyle/>
        <a:p>
          <a:r>
            <a:rPr lang="en-US"/>
            <a:t>Living Room</a:t>
          </a:r>
        </a:p>
      </dgm:t>
    </dgm:pt>
    <dgm:pt modelId="{CA9EBCF0-C6FF-4383-9380-F888CD1798B7}" type="parTrans" cxnId="{AA55EA74-748B-4250-A261-283B345CBB5E}">
      <dgm:prSet/>
      <dgm:spPr/>
      <dgm:t>
        <a:bodyPr/>
        <a:lstStyle/>
        <a:p>
          <a:endParaRPr lang="en-US"/>
        </a:p>
      </dgm:t>
    </dgm:pt>
    <dgm:pt modelId="{53BB2D80-1786-4892-BFE0-E9433DF42CC4}" type="sibTrans" cxnId="{AA55EA74-748B-4250-A261-283B345CBB5E}">
      <dgm:prSet/>
      <dgm:spPr/>
      <dgm:t>
        <a:bodyPr/>
        <a:lstStyle/>
        <a:p>
          <a:endParaRPr lang="en-US"/>
        </a:p>
      </dgm:t>
    </dgm:pt>
    <dgm:pt modelId="{CB23B2B8-D840-4C0F-84FA-755602AE10C6}">
      <dgm:prSet phldrT="[Text]"/>
      <dgm:spPr/>
      <dgm:t>
        <a:bodyPr/>
        <a:lstStyle/>
        <a:p>
          <a:r>
            <a:rPr lang="en-US"/>
            <a:t>Bedroom</a:t>
          </a:r>
        </a:p>
      </dgm:t>
    </dgm:pt>
    <dgm:pt modelId="{579182C2-FA44-435C-9F30-378F7E59642C}" type="parTrans" cxnId="{43D85630-F52F-43F3-8722-3A79D87DD210}">
      <dgm:prSet/>
      <dgm:spPr/>
      <dgm:t>
        <a:bodyPr/>
        <a:lstStyle/>
        <a:p>
          <a:endParaRPr lang="en-US"/>
        </a:p>
      </dgm:t>
    </dgm:pt>
    <dgm:pt modelId="{CF13C261-2E9E-4E7B-ABDC-94162034FB15}" type="sibTrans" cxnId="{43D85630-F52F-43F3-8722-3A79D87DD210}">
      <dgm:prSet/>
      <dgm:spPr/>
      <dgm:t>
        <a:bodyPr/>
        <a:lstStyle/>
        <a:p>
          <a:endParaRPr lang="en-US"/>
        </a:p>
      </dgm:t>
    </dgm:pt>
    <dgm:pt modelId="{04170005-2088-464D-80AE-8901EF70A3E5}">
      <dgm:prSet/>
      <dgm:spPr/>
      <dgm:t>
        <a:bodyPr/>
        <a:lstStyle/>
        <a:p>
          <a:r>
            <a:rPr lang="en-US"/>
            <a:t>View</a:t>
          </a:r>
        </a:p>
      </dgm:t>
    </dgm:pt>
    <dgm:pt modelId="{1D68053E-1DDB-42E8-BC73-702E957CCE38}" type="parTrans" cxnId="{0964EED7-17B2-4A7D-B120-4B24DE15A06D}">
      <dgm:prSet/>
      <dgm:spPr/>
      <dgm:t>
        <a:bodyPr/>
        <a:lstStyle/>
        <a:p>
          <a:endParaRPr lang="en-US"/>
        </a:p>
      </dgm:t>
    </dgm:pt>
    <dgm:pt modelId="{FD8BEAC7-F9BD-41CC-8AF2-537E87B34859}" type="sibTrans" cxnId="{0964EED7-17B2-4A7D-B120-4B24DE15A06D}">
      <dgm:prSet/>
      <dgm:spPr/>
      <dgm:t>
        <a:bodyPr/>
        <a:lstStyle/>
        <a:p>
          <a:endParaRPr lang="en-US"/>
        </a:p>
      </dgm:t>
    </dgm:pt>
    <dgm:pt modelId="{E4CD656A-B2D9-4BB6-A3C5-B22B0A5CBD9E}" type="pres">
      <dgm:prSet presAssocID="{60481E1E-19AA-4061-BF64-420F3D767D65}" presName="Name0" presStyleCnt="0">
        <dgm:presLayoutVars>
          <dgm:dir/>
          <dgm:resizeHandles val="exact"/>
        </dgm:presLayoutVars>
      </dgm:prSet>
      <dgm:spPr/>
    </dgm:pt>
    <dgm:pt modelId="{FF7AE8AD-A77E-4B6A-AFB1-B475E172D38B}" type="pres">
      <dgm:prSet presAssocID="{5958AA14-F5B9-4643-BBF1-2ECF1D5D9876}" presName="compNode" presStyleCnt="0"/>
      <dgm:spPr/>
    </dgm:pt>
    <dgm:pt modelId="{CF2947FA-005D-4FE7-B797-53059BE99750}" type="pres">
      <dgm:prSet presAssocID="{5958AA14-F5B9-4643-BBF1-2ECF1D5D9876}" presName="pictRect" presStyleLbl="node1" presStyleIdx="0" presStyleCnt="5"/>
      <dgm:spPr>
        <a:blipFill dpi="0" rotWithShape="1">
          <a:blip xmlns:r="http://schemas.openxmlformats.org/officeDocument/2006/relationships" r:embed="rId1" cstate="print">
            <a:biLevel thresh="5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dgm:spPr>
    </dgm:pt>
    <dgm:pt modelId="{BBA9095A-8EF2-4DB0-BA54-C939D925FE27}" type="pres">
      <dgm:prSet presAssocID="{5958AA14-F5B9-4643-BBF1-2ECF1D5D9876}" presName="textRect" presStyleLbl="revTx" presStyleIdx="0" presStyleCnt="5">
        <dgm:presLayoutVars>
          <dgm:bulletEnabled val="1"/>
        </dgm:presLayoutVars>
      </dgm:prSet>
      <dgm:spPr/>
    </dgm:pt>
    <dgm:pt modelId="{7BDFC295-5B81-48EE-8DB1-7C4DD07C2EE4}" type="pres">
      <dgm:prSet presAssocID="{5D7C08ED-221A-4111-80CC-63F6E794021D}" presName="sibTrans" presStyleLbl="sibTrans2D1" presStyleIdx="0" presStyleCnt="0"/>
      <dgm:spPr/>
    </dgm:pt>
    <dgm:pt modelId="{BA219A6F-3C35-4717-863B-3FE2B9B90B63}" type="pres">
      <dgm:prSet presAssocID="{F4197443-C3B6-45E5-83ED-8595AF1F3A1A}" presName="compNode" presStyleCnt="0"/>
      <dgm:spPr/>
    </dgm:pt>
    <dgm:pt modelId="{3474BB95-BC36-4883-B823-1D4C758E7BE1}" type="pres">
      <dgm:prSet presAssocID="{F4197443-C3B6-45E5-83ED-8595AF1F3A1A}" presName="pictRect" presStyleLbl="node1" presStyleIdx="1" presStyleCnt="5"/>
      <dgm:spPr>
        <a:blipFill dpi="0" rotWithShape="1">
          <a:blip xmlns:r="http://schemas.openxmlformats.org/officeDocument/2006/relationships" r:embed="rId2" cstate="print">
            <a:biLevel thresh="5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dgm:spPr>
    </dgm:pt>
    <dgm:pt modelId="{94D04DDD-3FD4-4FCC-AE10-55459EF86BC9}" type="pres">
      <dgm:prSet presAssocID="{F4197443-C3B6-45E5-83ED-8595AF1F3A1A}" presName="textRect" presStyleLbl="revTx" presStyleIdx="1" presStyleCnt="5">
        <dgm:presLayoutVars>
          <dgm:bulletEnabled val="1"/>
        </dgm:presLayoutVars>
      </dgm:prSet>
      <dgm:spPr/>
    </dgm:pt>
    <dgm:pt modelId="{7A488C39-3E8A-48B7-9FB0-15DAB9A60DDE}" type="pres">
      <dgm:prSet presAssocID="{228C4B55-5A0B-4550-9CE0-C12B7729B0FE}" presName="sibTrans" presStyleLbl="sibTrans2D1" presStyleIdx="0" presStyleCnt="0"/>
      <dgm:spPr/>
    </dgm:pt>
    <dgm:pt modelId="{771F743F-5C52-42D0-9007-46F561AA2898}" type="pres">
      <dgm:prSet presAssocID="{D8866E99-0B4F-4C24-91CD-405DE1244ABA}" presName="compNode" presStyleCnt="0"/>
      <dgm:spPr/>
    </dgm:pt>
    <dgm:pt modelId="{1564BF42-3F7D-4C2E-B7D2-7DCFE9FEE75A}" type="pres">
      <dgm:prSet presAssocID="{D8866E99-0B4F-4C24-91CD-405DE1244ABA}" presName="pictRect" presStyleLbl="node1" presStyleIdx="2" presStyleCnt="5"/>
      <dgm:spPr>
        <a:blipFill dpi="0" rotWithShape="1">
          <a:blip xmlns:r="http://schemas.openxmlformats.org/officeDocument/2006/relationships" r:embed="rId3" cstate="print">
            <a:biLevel thresh="5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dgm:spPr>
    </dgm:pt>
    <dgm:pt modelId="{4A071BBC-CA72-4D76-BFA7-4EAD2C490A01}" type="pres">
      <dgm:prSet presAssocID="{D8866E99-0B4F-4C24-91CD-405DE1244ABA}" presName="textRect" presStyleLbl="revTx" presStyleIdx="2" presStyleCnt="5">
        <dgm:presLayoutVars>
          <dgm:bulletEnabled val="1"/>
        </dgm:presLayoutVars>
      </dgm:prSet>
      <dgm:spPr/>
    </dgm:pt>
    <dgm:pt modelId="{49E0F8B7-08E8-4774-914A-A0CE265F709B}" type="pres">
      <dgm:prSet presAssocID="{53BB2D80-1786-4892-BFE0-E9433DF42CC4}" presName="sibTrans" presStyleLbl="sibTrans2D1" presStyleIdx="0" presStyleCnt="0"/>
      <dgm:spPr/>
    </dgm:pt>
    <dgm:pt modelId="{70784D81-927C-4259-A95F-BAA9ABC87BDE}" type="pres">
      <dgm:prSet presAssocID="{CB23B2B8-D840-4C0F-84FA-755602AE10C6}" presName="compNode" presStyleCnt="0"/>
      <dgm:spPr/>
    </dgm:pt>
    <dgm:pt modelId="{1891C030-142A-42AF-AA27-24A07ED64B67}" type="pres">
      <dgm:prSet presAssocID="{CB23B2B8-D840-4C0F-84FA-755602AE10C6}" presName="pictRect" presStyleLbl="node1" presStyleIdx="3" presStyleCnt="5"/>
      <dgm:spPr>
        <a:blipFill dpi="0" rotWithShape="1">
          <a:blip xmlns:r="http://schemas.openxmlformats.org/officeDocument/2006/relationships" r:embed="rId4" cstate="print">
            <a:biLevel thresh="5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dgm:spPr>
    </dgm:pt>
    <dgm:pt modelId="{33768DFB-017F-4996-8532-45EE67BBF962}" type="pres">
      <dgm:prSet presAssocID="{CB23B2B8-D840-4C0F-84FA-755602AE10C6}" presName="textRect" presStyleLbl="revTx" presStyleIdx="3" presStyleCnt="5">
        <dgm:presLayoutVars>
          <dgm:bulletEnabled val="1"/>
        </dgm:presLayoutVars>
      </dgm:prSet>
      <dgm:spPr/>
    </dgm:pt>
    <dgm:pt modelId="{67484E4B-62BB-4A0A-B0CE-1F706A62DADF}" type="pres">
      <dgm:prSet presAssocID="{CF13C261-2E9E-4E7B-ABDC-94162034FB15}" presName="sibTrans" presStyleLbl="sibTrans2D1" presStyleIdx="0" presStyleCnt="0"/>
      <dgm:spPr/>
    </dgm:pt>
    <dgm:pt modelId="{E3197C36-9800-4A9E-BDFF-E3151B5FB739}" type="pres">
      <dgm:prSet presAssocID="{04170005-2088-464D-80AE-8901EF70A3E5}" presName="compNode" presStyleCnt="0"/>
      <dgm:spPr/>
    </dgm:pt>
    <dgm:pt modelId="{898F11F5-2FCF-4281-A13E-7B6991B19D8A}" type="pres">
      <dgm:prSet presAssocID="{04170005-2088-464D-80AE-8901EF70A3E5}" presName="pictRect" presStyleLbl="node1" presStyleIdx="4" presStyleCnt="5"/>
      <dgm:spPr>
        <a:blipFill dpi="0" rotWithShape="1">
          <a:blip xmlns:r="http://schemas.openxmlformats.org/officeDocument/2006/relationships" r:embed="rId5" cstate="print">
            <a:biLevel thresh="5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dgm:spPr>
    </dgm:pt>
    <dgm:pt modelId="{CDFB7344-99AC-4F07-817C-CA224CB646EE}" type="pres">
      <dgm:prSet presAssocID="{04170005-2088-464D-80AE-8901EF70A3E5}" presName="textRect" presStyleLbl="revTx" presStyleIdx="4" presStyleCnt="5">
        <dgm:presLayoutVars>
          <dgm:bulletEnabled val="1"/>
        </dgm:presLayoutVars>
      </dgm:prSet>
      <dgm:spPr/>
    </dgm:pt>
  </dgm:ptLst>
  <dgm:cxnLst>
    <dgm:cxn modelId="{83059901-BFD5-4D6F-B731-02D8FB4AC1E6}" srcId="{60481E1E-19AA-4061-BF64-420F3D767D65}" destId="{5958AA14-F5B9-4643-BBF1-2ECF1D5D9876}" srcOrd="0" destOrd="0" parTransId="{DDF4DF35-BF8B-4576-935E-BB21228A2C4A}" sibTransId="{5D7C08ED-221A-4111-80CC-63F6E794021D}"/>
    <dgm:cxn modelId="{DA7BC804-42B7-4EC4-AEF4-0BCA985D97DF}" type="presOf" srcId="{60481E1E-19AA-4061-BF64-420F3D767D65}" destId="{E4CD656A-B2D9-4BB6-A3C5-B22B0A5CBD9E}" srcOrd="0" destOrd="0" presId="urn:microsoft.com/office/officeart/2005/8/layout/pList1"/>
    <dgm:cxn modelId="{4D404C09-327E-4DF6-AAAC-5F9A135AC650}" type="presOf" srcId="{5958AA14-F5B9-4643-BBF1-2ECF1D5D9876}" destId="{BBA9095A-8EF2-4DB0-BA54-C939D925FE27}" srcOrd="0" destOrd="0" presId="urn:microsoft.com/office/officeart/2005/8/layout/pList1"/>
    <dgm:cxn modelId="{43D85630-F52F-43F3-8722-3A79D87DD210}" srcId="{60481E1E-19AA-4061-BF64-420F3D767D65}" destId="{CB23B2B8-D840-4C0F-84FA-755602AE10C6}" srcOrd="3" destOrd="0" parTransId="{579182C2-FA44-435C-9F30-378F7E59642C}" sibTransId="{CF13C261-2E9E-4E7B-ABDC-94162034FB15}"/>
    <dgm:cxn modelId="{A1285B3B-3FF9-4F7D-B230-2EAD6DAE121F}" type="presOf" srcId="{04170005-2088-464D-80AE-8901EF70A3E5}" destId="{CDFB7344-99AC-4F07-817C-CA224CB646EE}" srcOrd="0" destOrd="0" presId="urn:microsoft.com/office/officeart/2005/8/layout/pList1"/>
    <dgm:cxn modelId="{44B1624E-FFEA-4C4F-90B3-196BEE7B61DA}" type="presOf" srcId="{5D7C08ED-221A-4111-80CC-63F6E794021D}" destId="{7BDFC295-5B81-48EE-8DB1-7C4DD07C2EE4}" srcOrd="0" destOrd="0" presId="urn:microsoft.com/office/officeart/2005/8/layout/pList1"/>
    <dgm:cxn modelId="{AA55EA74-748B-4250-A261-283B345CBB5E}" srcId="{60481E1E-19AA-4061-BF64-420F3D767D65}" destId="{D8866E99-0B4F-4C24-91CD-405DE1244ABA}" srcOrd="2" destOrd="0" parTransId="{CA9EBCF0-C6FF-4383-9380-F888CD1798B7}" sibTransId="{53BB2D80-1786-4892-BFE0-E9433DF42CC4}"/>
    <dgm:cxn modelId="{5ED9E281-BA2B-4241-BC16-A1DD26F637A7}" type="presOf" srcId="{D8866E99-0B4F-4C24-91CD-405DE1244ABA}" destId="{4A071BBC-CA72-4D76-BFA7-4EAD2C490A01}" srcOrd="0" destOrd="0" presId="urn:microsoft.com/office/officeart/2005/8/layout/pList1"/>
    <dgm:cxn modelId="{BBE99391-9815-4BDE-9826-96B22D3B273F}" type="presOf" srcId="{CF13C261-2E9E-4E7B-ABDC-94162034FB15}" destId="{67484E4B-62BB-4A0A-B0CE-1F706A62DADF}" srcOrd="0" destOrd="0" presId="urn:microsoft.com/office/officeart/2005/8/layout/pList1"/>
    <dgm:cxn modelId="{3F570E9C-66A7-4737-BA09-DE10F3BD93C9}" type="presOf" srcId="{F4197443-C3B6-45E5-83ED-8595AF1F3A1A}" destId="{94D04DDD-3FD4-4FCC-AE10-55459EF86BC9}" srcOrd="0" destOrd="0" presId="urn:microsoft.com/office/officeart/2005/8/layout/pList1"/>
    <dgm:cxn modelId="{3D9A139D-3E74-4215-8049-B2EADCF45297}" srcId="{60481E1E-19AA-4061-BF64-420F3D767D65}" destId="{F4197443-C3B6-45E5-83ED-8595AF1F3A1A}" srcOrd="1" destOrd="0" parTransId="{6F9ECDE3-AA96-42D7-89A6-E645B5CDF234}" sibTransId="{228C4B55-5A0B-4550-9CE0-C12B7729B0FE}"/>
    <dgm:cxn modelId="{89D2A2B7-2FFB-42C8-8D9A-EE84CD479929}" type="presOf" srcId="{CB23B2B8-D840-4C0F-84FA-755602AE10C6}" destId="{33768DFB-017F-4996-8532-45EE67BBF962}" srcOrd="0" destOrd="0" presId="urn:microsoft.com/office/officeart/2005/8/layout/pList1"/>
    <dgm:cxn modelId="{0964EED7-17B2-4A7D-B120-4B24DE15A06D}" srcId="{60481E1E-19AA-4061-BF64-420F3D767D65}" destId="{04170005-2088-464D-80AE-8901EF70A3E5}" srcOrd="4" destOrd="0" parTransId="{1D68053E-1DDB-42E8-BC73-702E957CCE38}" sibTransId="{FD8BEAC7-F9BD-41CC-8AF2-537E87B34859}"/>
    <dgm:cxn modelId="{30DA33D8-7A20-4DAE-935B-BC3F92B2ACF4}" type="presOf" srcId="{228C4B55-5A0B-4550-9CE0-C12B7729B0FE}" destId="{7A488C39-3E8A-48B7-9FB0-15DAB9A60DDE}" srcOrd="0" destOrd="0" presId="urn:microsoft.com/office/officeart/2005/8/layout/pList1"/>
    <dgm:cxn modelId="{46460FF1-E535-44E9-A8B4-AD97114E4D20}" type="presOf" srcId="{53BB2D80-1786-4892-BFE0-E9433DF42CC4}" destId="{49E0F8B7-08E8-4774-914A-A0CE265F709B}" srcOrd="0" destOrd="0" presId="urn:microsoft.com/office/officeart/2005/8/layout/pList1"/>
    <dgm:cxn modelId="{287436FD-5054-4D6C-A762-EC78D2565A10}" type="presParOf" srcId="{E4CD656A-B2D9-4BB6-A3C5-B22B0A5CBD9E}" destId="{FF7AE8AD-A77E-4B6A-AFB1-B475E172D38B}" srcOrd="0" destOrd="0" presId="urn:microsoft.com/office/officeart/2005/8/layout/pList1"/>
    <dgm:cxn modelId="{FD971A52-B046-4823-9B3A-03A111450920}" type="presParOf" srcId="{FF7AE8AD-A77E-4B6A-AFB1-B475E172D38B}" destId="{CF2947FA-005D-4FE7-B797-53059BE99750}" srcOrd="0" destOrd="0" presId="urn:microsoft.com/office/officeart/2005/8/layout/pList1"/>
    <dgm:cxn modelId="{568A92FF-4326-4188-A587-DE0BECE56276}" type="presParOf" srcId="{FF7AE8AD-A77E-4B6A-AFB1-B475E172D38B}" destId="{BBA9095A-8EF2-4DB0-BA54-C939D925FE27}" srcOrd="1" destOrd="0" presId="urn:microsoft.com/office/officeart/2005/8/layout/pList1"/>
    <dgm:cxn modelId="{7B0D2C2F-FDBF-4313-8DC5-B27E870A1C19}" type="presParOf" srcId="{E4CD656A-B2D9-4BB6-A3C5-B22B0A5CBD9E}" destId="{7BDFC295-5B81-48EE-8DB1-7C4DD07C2EE4}" srcOrd="1" destOrd="0" presId="urn:microsoft.com/office/officeart/2005/8/layout/pList1"/>
    <dgm:cxn modelId="{9538E493-1BDA-41E7-BB7B-E5273CD365DF}" type="presParOf" srcId="{E4CD656A-B2D9-4BB6-A3C5-B22B0A5CBD9E}" destId="{BA219A6F-3C35-4717-863B-3FE2B9B90B63}" srcOrd="2" destOrd="0" presId="urn:microsoft.com/office/officeart/2005/8/layout/pList1"/>
    <dgm:cxn modelId="{BFE8FE9E-1712-4C92-A3EB-0506BF2BADE9}" type="presParOf" srcId="{BA219A6F-3C35-4717-863B-3FE2B9B90B63}" destId="{3474BB95-BC36-4883-B823-1D4C758E7BE1}" srcOrd="0" destOrd="0" presId="urn:microsoft.com/office/officeart/2005/8/layout/pList1"/>
    <dgm:cxn modelId="{CEC16F55-A141-449D-A429-B5FBC6B4D196}" type="presParOf" srcId="{BA219A6F-3C35-4717-863B-3FE2B9B90B63}" destId="{94D04DDD-3FD4-4FCC-AE10-55459EF86BC9}" srcOrd="1" destOrd="0" presId="urn:microsoft.com/office/officeart/2005/8/layout/pList1"/>
    <dgm:cxn modelId="{5CC2459E-95AF-4AA9-ACC4-7336441BF67D}" type="presParOf" srcId="{E4CD656A-B2D9-4BB6-A3C5-B22B0A5CBD9E}" destId="{7A488C39-3E8A-48B7-9FB0-15DAB9A60DDE}" srcOrd="3" destOrd="0" presId="urn:microsoft.com/office/officeart/2005/8/layout/pList1"/>
    <dgm:cxn modelId="{C599D83C-BFEA-4D77-96F5-6280F2242C31}" type="presParOf" srcId="{E4CD656A-B2D9-4BB6-A3C5-B22B0A5CBD9E}" destId="{771F743F-5C52-42D0-9007-46F561AA2898}" srcOrd="4" destOrd="0" presId="urn:microsoft.com/office/officeart/2005/8/layout/pList1"/>
    <dgm:cxn modelId="{A89662E7-17C8-4A07-8907-10EF140AE153}" type="presParOf" srcId="{771F743F-5C52-42D0-9007-46F561AA2898}" destId="{1564BF42-3F7D-4C2E-B7D2-7DCFE9FEE75A}" srcOrd="0" destOrd="0" presId="urn:microsoft.com/office/officeart/2005/8/layout/pList1"/>
    <dgm:cxn modelId="{F0BE344A-51B9-4FB3-B6CD-2CE8B484A78D}" type="presParOf" srcId="{771F743F-5C52-42D0-9007-46F561AA2898}" destId="{4A071BBC-CA72-4D76-BFA7-4EAD2C490A01}" srcOrd="1" destOrd="0" presId="urn:microsoft.com/office/officeart/2005/8/layout/pList1"/>
    <dgm:cxn modelId="{19155DC4-FCF3-47A1-84E5-58370AD63D48}" type="presParOf" srcId="{E4CD656A-B2D9-4BB6-A3C5-B22B0A5CBD9E}" destId="{49E0F8B7-08E8-4774-914A-A0CE265F709B}" srcOrd="5" destOrd="0" presId="urn:microsoft.com/office/officeart/2005/8/layout/pList1"/>
    <dgm:cxn modelId="{31E0D1A6-4731-409C-840E-4C3E3BABE055}" type="presParOf" srcId="{E4CD656A-B2D9-4BB6-A3C5-B22B0A5CBD9E}" destId="{70784D81-927C-4259-A95F-BAA9ABC87BDE}" srcOrd="6" destOrd="0" presId="urn:microsoft.com/office/officeart/2005/8/layout/pList1"/>
    <dgm:cxn modelId="{61D575C9-29A1-471F-9DDB-703FCCA46C98}" type="presParOf" srcId="{70784D81-927C-4259-A95F-BAA9ABC87BDE}" destId="{1891C030-142A-42AF-AA27-24A07ED64B67}" srcOrd="0" destOrd="0" presId="urn:microsoft.com/office/officeart/2005/8/layout/pList1"/>
    <dgm:cxn modelId="{FB158861-197E-4774-BE7B-71E833F1190B}" type="presParOf" srcId="{70784D81-927C-4259-A95F-BAA9ABC87BDE}" destId="{33768DFB-017F-4996-8532-45EE67BBF962}" srcOrd="1" destOrd="0" presId="urn:microsoft.com/office/officeart/2005/8/layout/pList1"/>
    <dgm:cxn modelId="{2C1E100C-4632-44F1-9FE5-65777AA4FE36}" type="presParOf" srcId="{E4CD656A-B2D9-4BB6-A3C5-B22B0A5CBD9E}" destId="{67484E4B-62BB-4A0A-B0CE-1F706A62DADF}" srcOrd="7" destOrd="0" presId="urn:microsoft.com/office/officeart/2005/8/layout/pList1"/>
    <dgm:cxn modelId="{F1B1E4A5-4443-4D75-B237-2D89BF43B9B1}" type="presParOf" srcId="{E4CD656A-B2D9-4BB6-A3C5-B22B0A5CBD9E}" destId="{E3197C36-9800-4A9E-BDFF-E3151B5FB739}" srcOrd="8" destOrd="0" presId="urn:microsoft.com/office/officeart/2005/8/layout/pList1"/>
    <dgm:cxn modelId="{216C308A-A20A-4DD1-A023-0324CF24FB1E}" type="presParOf" srcId="{E3197C36-9800-4A9E-BDFF-E3151B5FB739}" destId="{898F11F5-2FCF-4281-A13E-7B6991B19D8A}" srcOrd="0" destOrd="0" presId="urn:microsoft.com/office/officeart/2005/8/layout/pList1"/>
    <dgm:cxn modelId="{EE065134-E651-4051-86D2-44F44353BE05}" type="presParOf" srcId="{E3197C36-9800-4A9E-BDFF-E3151B5FB739}" destId="{CDFB7344-99AC-4F07-817C-CA224CB646EE}" srcOrd="1" destOrd="0" presId="urn:microsoft.com/office/officeart/2005/8/layout/pLis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F2947FA-005D-4FE7-B797-53059BE99750}">
      <dsp:nvSpPr>
        <dsp:cNvPr id="0" name=""/>
        <dsp:cNvSpPr/>
      </dsp:nvSpPr>
      <dsp:spPr>
        <a:xfrm>
          <a:off x="4579" y="781760"/>
          <a:ext cx="1580168" cy="1088736"/>
        </a:xfrm>
        <a:prstGeom prst="roundRect">
          <a:avLst/>
        </a:prstGeom>
        <a:blipFill dpi="0" rotWithShape="1">
          <a:blip xmlns:r="http://schemas.openxmlformats.org/officeDocument/2006/relationships" r:embed="rId1" cstate="print">
            <a:biLevel thresh="5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  <a:effectLst/>
        <a:sp3d extrusionH="381000" contourW="38100" prstMaterial="matte">
          <a:contourClr>
            <a:schemeClr val="lt1"/>
          </a:contourClr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BBA9095A-8EF2-4DB0-BA54-C939D925FE27}">
      <dsp:nvSpPr>
        <dsp:cNvPr id="0" name=""/>
        <dsp:cNvSpPr/>
      </dsp:nvSpPr>
      <dsp:spPr>
        <a:xfrm>
          <a:off x="4579" y="1870496"/>
          <a:ext cx="1580168" cy="586242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42240" tIns="142240" rIns="142240" bIns="0" numCol="1" spcCol="1270" anchor="t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House</a:t>
          </a:r>
        </a:p>
      </dsp:txBody>
      <dsp:txXfrm>
        <a:off x="4579" y="1870496"/>
        <a:ext cx="1580168" cy="586242"/>
      </dsp:txXfrm>
    </dsp:sp>
    <dsp:sp modelId="{3474BB95-BC36-4883-B823-1D4C758E7BE1}">
      <dsp:nvSpPr>
        <dsp:cNvPr id="0" name=""/>
        <dsp:cNvSpPr/>
      </dsp:nvSpPr>
      <dsp:spPr>
        <a:xfrm>
          <a:off x="1742831" y="781760"/>
          <a:ext cx="1580168" cy="1088736"/>
        </a:xfrm>
        <a:prstGeom prst="roundRect">
          <a:avLst/>
        </a:prstGeom>
        <a:blipFill dpi="0" rotWithShape="1">
          <a:blip xmlns:r="http://schemas.openxmlformats.org/officeDocument/2006/relationships" r:embed="rId2" cstate="print">
            <a:biLevel thresh="5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  <a:effectLst/>
        <a:sp3d extrusionH="381000" contourW="38100" prstMaterial="matte">
          <a:contourClr>
            <a:schemeClr val="lt1"/>
          </a:contourClr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94D04DDD-3FD4-4FCC-AE10-55459EF86BC9}">
      <dsp:nvSpPr>
        <dsp:cNvPr id="0" name=""/>
        <dsp:cNvSpPr/>
      </dsp:nvSpPr>
      <dsp:spPr>
        <a:xfrm>
          <a:off x="1742831" y="1870496"/>
          <a:ext cx="1580168" cy="586242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42240" tIns="142240" rIns="142240" bIns="0" numCol="1" spcCol="1270" anchor="t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Kitchen</a:t>
          </a:r>
        </a:p>
      </dsp:txBody>
      <dsp:txXfrm>
        <a:off x="1742831" y="1870496"/>
        <a:ext cx="1580168" cy="586242"/>
      </dsp:txXfrm>
    </dsp:sp>
    <dsp:sp modelId="{1564BF42-3F7D-4C2E-B7D2-7DCFE9FEE75A}">
      <dsp:nvSpPr>
        <dsp:cNvPr id="0" name=""/>
        <dsp:cNvSpPr/>
      </dsp:nvSpPr>
      <dsp:spPr>
        <a:xfrm>
          <a:off x="3481083" y="781760"/>
          <a:ext cx="1580168" cy="1088736"/>
        </a:xfrm>
        <a:prstGeom prst="roundRect">
          <a:avLst/>
        </a:prstGeom>
        <a:blipFill dpi="0" rotWithShape="1">
          <a:blip xmlns:r="http://schemas.openxmlformats.org/officeDocument/2006/relationships" r:embed="rId3" cstate="print">
            <a:biLevel thresh="5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  <a:effectLst/>
        <a:sp3d extrusionH="381000" contourW="38100" prstMaterial="matte">
          <a:contourClr>
            <a:schemeClr val="lt1"/>
          </a:contourClr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A071BBC-CA72-4D76-BFA7-4EAD2C490A01}">
      <dsp:nvSpPr>
        <dsp:cNvPr id="0" name=""/>
        <dsp:cNvSpPr/>
      </dsp:nvSpPr>
      <dsp:spPr>
        <a:xfrm>
          <a:off x="3481083" y="1870496"/>
          <a:ext cx="1580168" cy="586242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42240" tIns="142240" rIns="142240" bIns="0" numCol="1" spcCol="1270" anchor="t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Living Room</a:t>
          </a:r>
        </a:p>
      </dsp:txBody>
      <dsp:txXfrm>
        <a:off x="3481083" y="1870496"/>
        <a:ext cx="1580168" cy="586242"/>
      </dsp:txXfrm>
    </dsp:sp>
    <dsp:sp modelId="{1891C030-142A-42AF-AA27-24A07ED64B67}">
      <dsp:nvSpPr>
        <dsp:cNvPr id="0" name=""/>
        <dsp:cNvSpPr/>
      </dsp:nvSpPr>
      <dsp:spPr>
        <a:xfrm>
          <a:off x="5219335" y="781760"/>
          <a:ext cx="1580168" cy="1088736"/>
        </a:xfrm>
        <a:prstGeom prst="roundRect">
          <a:avLst/>
        </a:prstGeom>
        <a:blipFill dpi="0" rotWithShape="1">
          <a:blip xmlns:r="http://schemas.openxmlformats.org/officeDocument/2006/relationships" r:embed="rId4" cstate="print">
            <a:biLevel thresh="5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  <a:effectLst/>
        <a:sp3d extrusionH="381000" contourW="38100" prstMaterial="matte">
          <a:contourClr>
            <a:schemeClr val="lt1"/>
          </a:contourClr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33768DFB-017F-4996-8532-45EE67BBF962}">
      <dsp:nvSpPr>
        <dsp:cNvPr id="0" name=""/>
        <dsp:cNvSpPr/>
      </dsp:nvSpPr>
      <dsp:spPr>
        <a:xfrm>
          <a:off x="5219335" y="1870496"/>
          <a:ext cx="1580168" cy="586242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42240" tIns="142240" rIns="142240" bIns="0" numCol="1" spcCol="1270" anchor="t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Bedroom</a:t>
          </a:r>
        </a:p>
      </dsp:txBody>
      <dsp:txXfrm>
        <a:off x="5219335" y="1870496"/>
        <a:ext cx="1580168" cy="586242"/>
      </dsp:txXfrm>
    </dsp:sp>
    <dsp:sp modelId="{898F11F5-2FCF-4281-A13E-7B6991B19D8A}">
      <dsp:nvSpPr>
        <dsp:cNvPr id="0" name=""/>
        <dsp:cNvSpPr/>
      </dsp:nvSpPr>
      <dsp:spPr>
        <a:xfrm>
          <a:off x="6957587" y="781760"/>
          <a:ext cx="1580168" cy="1088736"/>
        </a:xfrm>
        <a:prstGeom prst="roundRect">
          <a:avLst/>
        </a:prstGeom>
        <a:blipFill dpi="0" rotWithShape="1">
          <a:blip xmlns:r="http://schemas.openxmlformats.org/officeDocument/2006/relationships" r:embed="rId5" cstate="print">
            <a:biLevel thresh="5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  <a:effectLst/>
        <a:sp3d extrusionH="381000" contourW="38100" prstMaterial="matte">
          <a:contourClr>
            <a:schemeClr val="lt1"/>
          </a:contourClr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DFB7344-99AC-4F07-817C-CA224CB646EE}">
      <dsp:nvSpPr>
        <dsp:cNvPr id="0" name=""/>
        <dsp:cNvSpPr/>
      </dsp:nvSpPr>
      <dsp:spPr>
        <a:xfrm>
          <a:off x="6957587" y="1870496"/>
          <a:ext cx="1580168" cy="586242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42240" tIns="142240" rIns="142240" bIns="0" numCol="1" spcCol="1270" anchor="t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View</a:t>
          </a:r>
        </a:p>
      </dsp:txBody>
      <dsp:txXfrm>
        <a:off x="6957587" y="1870496"/>
        <a:ext cx="1580168" cy="586242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List1">
  <dgm:title val=""/>
  <dgm:desc val=""/>
  <dgm:catLst>
    <dgm:cat type="list" pri="2000"/>
    <dgm:cat type="picture" pri="2500"/>
    <dgm:cat type="pictureconvert" pri="25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 useDef="1">
    <dgm:dataModel>
      <dgm:ptLst/>
      <dgm:bg/>
      <dgm:whole/>
    </dgm:dataModel>
  </dgm:clrData>
  <dgm:layoutNode name="Name0">
    <dgm:varLst>
      <dgm:dir/>
      <dgm:resizeHandles val="exact"/>
    </dgm:varLst>
    <dgm:choose name="Name1">
      <dgm:if name="Name2" axis="self" func="var" arg="dir" op="equ" val="norm">
        <dgm:alg type="snake">
          <dgm:param type="grDir" val="tL"/>
          <dgm:param type="flowDir" val="row"/>
          <dgm:param type="contDir" val="sameDir"/>
          <dgm:param type="off" val="ctr"/>
          <dgm:param type="vertAlign" val="mid"/>
          <dgm:param type="horzAlign" val="ctr"/>
        </dgm:alg>
      </dgm:if>
      <dgm:else name="Name3">
        <dgm:alg type="snake">
          <dgm:param type="grDir" val="tR"/>
          <dgm:param type="flowDir" val="row"/>
          <dgm:param type="contDir" val="sameDir"/>
          <dgm:param type="off" val="ctr"/>
          <dgm:param type="vertAlign" val="mid"/>
          <dgm:param type="horzAlign" val="ct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Node" refType="w"/>
      <dgm:constr type="w" for="ch" ptType="sibTrans" refType="w" refFor="ch" refForName="compNode" op="equ" fact="0.1"/>
      <dgm:constr type="sp" refType="w" refFor="ch" refForName="compNode" op="equ" fact="0.1"/>
      <dgm:constr type="primFontSz" for="des" ptType="node" op="equ" val="65"/>
    </dgm:constrLst>
    <dgm:ruleLst/>
    <dgm:forEach name="Name4" axis="ch" ptType="node">
      <dgm:layoutNode name="compNode">
        <dgm:alg type="composite">
          <dgm:param type="ar" val="0.943"/>
        </dgm:alg>
        <dgm:shape xmlns:r="http://schemas.openxmlformats.org/officeDocument/2006/relationships" r:blip="">
          <dgm:adjLst/>
        </dgm:shape>
        <dgm:presOf axis="self"/>
        <dgm:constrLst>
          <dgm:constr type="h" refType="w" fact="1.06"/>
          <dgm:constr type="h" for="ch" forName="pictRect" refType="h" fact="0.65"/>
          <dgm:constr type="w" for="ch" forName="pictRect" refType="w"/>
          <dgm:constr type="l" for="ch" forName="pictRect"/>
          <dgm:constr type="t" for="ch" forName="pictRect"/>
          <dgm:constr type="w" for="ch" forName="textRect" refType="w"/>
          <dgm:constr type="h" for="ch" forName="textRect" refType="h" fact="0.35"/>
          <dgm:constr type="l" for="ch" forName="textRect"/>
          <dgm:constr type="t" for="ch" forName="textRect" refType="b" refFor="ch" refForName="pictRect"/>
        </dgm:constrLst>
        <dgm:ruleLst/>
        <dgm:layoutNode name="pictRect">
          <dgm:alg type="sp"/>
          <dgm:shape xmlns:r="http://schemas.openxmlformats.org/officeDocument/2006/relationships" type="roundRect" r:blip="" blipPhldr="1">
            <dgm:adjLst/>
          </dgm:shape>
          <dgm:presOf/>
          <dgm:constrLst/>
          <dgm:ruleLst/>
        </dgm:layoutNode>
        <dgm:layoutNode name="textRect" styleLbl="revTx">
          <dgm:varLst>
            <dgm:bulletEnabled val="1"/>
          </dgm:varLst>
          <dgm:alg type="tx">
            <dgm:param type="txAnchorVert" val="t"/>
          </dgm:alg>
          <dgm:shape xmlns:r="http://schemas.openxmlformats.org/officeDocument/2006/relationships" type="rect" r:blip="">
            <dgm:adjLst/>
          </dgm:shape>
          <dgm:presOf axis="desOrSelf" ptType="node"/>
          <dgm:constrLst>
            <dgm:constr type="bMarg"/>
          </dgm:constrLst>
          <dgm:ruleLst>
            <dgm:rule type="primFontSz" val="5" fact="NaN" max="NaN"/>
          </dgm:ruleLst>
        </dgm:layoutNode>
      </dgm:layoutNode>
      <dgm:forEach name="Name5" axis="followSib" ptType="sibTrans" cnt="1">
        <dgm:layoutNode name="sibTrans">
          <dgm:alg type="sp"/>
          <dgm:shape xmlns:r="http://schemas.openxmlformats.org/officeDocument/2006/relationships" type="rect" r:blip="" hideGeom="1">
            <dgm:adjLst/>
          </dgm:shape>
          <dgm:presOf axis="self"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5">
  <dgm:title val=""/>
  <dgm:desc val=""/>
  <dgm:catLst>
    <dgm:cat type="3D" pri="11500"/>
  </dgm:catLst>
  <dgm:scene3d>
    <a:camera prst="isometricOffAxis2Left" zoom="95000"/>
    <a:lightRig rig="flat" dir="t"/>
  </dgm:scene3d>
  <dgm:styleLbl name="node0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 z="5715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 z="-3810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 z="-52400" extrusionH="1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 z="57150" extrusionH="63500" contourW="12700" prstMaterial="matte">
      <a:contourClr>
        <a:schemeClr val="dk1">
          <a:tint val="20000"/>
        </a:schemeClr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 z="-381000" extrusionH="63500" contourW="12700" prstMaterial="matte">
      <a:contourClr>
        <a:schemeClr val="dk1">
          <a:tint val="20000"/>
        </a:schemeClr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 z="52400"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 z="52400"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 z="60000" prstMaterial="flat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 z="60000" prstMaterial="flat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 z="57150" extrusionH="635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 z="-60000" extrusionH="635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 z="-60000" extrusionH="635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 extrusionH="3810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 z="-400500" extrusionH="635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 z="57150" extrusionH="12700" prstMaterial="flat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 extrusionH="12700" prstMaterial="flat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 z="-63500" extrusionH="635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 z="57150" extrusionH="63500" contourW="12700" prstMaterial="matte">
      <a:contourClr>
        <a:schemeClr val="dk1">
          <a:tint val="20000"/>
        </a:schemeClr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 z="-4005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 z="57150" extrusionH="635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 z="57150" extrusionH="635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 z="57150" extrusionH="635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 z="57150" extrusionH="635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 z="-400500" extrusionH="63500" contourW="12700" prstMaterial="matte">
      <a:contourClr>
        <a:schemeClr val="lt1">
          <a:tint val="50000"/>
        </a:schemeClr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trBgShp">
    <dgm:scene3d>
      <a:camera prst="orthographicFront"/>
      <a:lightRig rig="threePt" dir="t"/>
    </dgm:scene3d>
    <dgm:sp3d z="-4005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 z="57150" extrusionH="63500" contourW="12700" prstMaterial="matte">
      <a:contourClr>
        <a:schemeClr val="lt1">
          <a:tint val="50000"/>
        </a:schemeClr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12</xdr:col>
      <xdr:colOff>7936</xdr:colOff>
      <xdr:row>26</xdr:row>
      <xdr:rowOff>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7A893385-6B65-4283-8C41-513969263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0</xdr:rowOff>
    </xdr:from>
    <xdr:to>
      <xdr:col>9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878652-E3F4-4818-90C6-4D5D58A87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4.5703125" customWidth="1"/>
  </cols>
  <sheetData>
    <row r="1" spans="1:2" ht="33.75" x14ac:dyDescent="0.65">
      <c r="A1" s="4" t="s">
        <v>3</v>
      </c>
    </row>
    <row r="3" spans="1:2" x14ac:dyDescent="0.25">
      <c r="A3" s="1" t="s">
        <v>0</v>
      </c>
      <c r="B3" s="2" t="s">
        <v>12</v>
      </c>
    </row>
    <row r="4" spans="1:2" x14ac:dyDescent="0.25">
      <c r="A4" s="1" t="s">
        <v>1</v>
      </c>
      <c r="B4" s="3">
        <v>45352</v>
      </c>
    </row>
    <row r="5" spans="1:2" ht="30" x14ac:dyDescent="0.25">
      <c r="A5" s="1" t="s">
        <v>2</v>
      </c>
      <c r="B5" s="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76D1B-8D06-47C6-8226-5E2F0B980D5E}">
  <dimension ref="A1:B8"/>
  <sheetViews>
    <sheetView topLeftCell="A4" zoomScale="120" zoomScaleNormal="120" workbookViewId="0">
      <selection activeCell="A2" sqref="A2"/>
    </sheetView>
  </sheetViews>
  <sheetFormatPr defaultRowHeight="15" x14ac:dyDescent="0.25"/>
  <cols>
    <col min="1" max="1" width="13" customWidth="1"/>
    <col min="2" max="2" width="23.5703125" bestFit="1" customWidth="1"/>
  </cols>
  <sheetData>
    <row r="1" spans="1:2" ht="30.75" x14ac:dyDescent="0.65">
      <c r="A1" s="5" t="s">
        <v>3</v>
      </c>
    </row>
    <row r="2" spans="1:2" ht="18.75" x14ac:dyDescent="0.3">
      <c r="A2" s="18" t="s">
        <v>64</v>
      </c>
    </row>
    <row r="4" spans="1:2" x14ac:dyDescent="0.25">
      <c r="A4" s="15" t="s">
        <v>55</v>
      </c>
      <c r="B4" s="16" t="s">
        <v>56</v>
      </c>
    </row>
    <row r="5" spans="1:2" x14ac:dyDescent="0.25">
      <c r="A5" s="15" t="s">
        <v>57</v>
      </c>
      <c r="B5" s="16" t="s">
        <v>58</v>
      </c>
    </row>
    <row r="6" spans="1:2" x14ac:dyDescent="0.25">
      <c r="A6" s="15" t="s">
        <v>59</v>
      </c>
      <c r="B6" s="16" t="s">
        <v>60</v>
      </c>
    </row>
    <row r="7" spans="1:2" x14ac:dyDescent="0.25">
      <c r="A7" s="15" t="s">
        <v>61</v>
      </c>
      <c r="B7" s="16" t="s">
        <v>62</v>
      </c>
    </row>
    <row r="8" spans="1:2" x14ac:dyDescent="0.25">
      <c r="A8" s="15" t="s">
        <v>63</v>
      </c>
      <c r="B8" s="17">
        <v>83814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148FA-A14F-418B-BF43-4660F1097B50}">
  <dimension ref="A1:G49"/>
  <sheetViews>
    <sheetView zoomScale="120" zoomScaleNormal="120" workbookViewId="0"/>
  </sheetViews>
  <sheetFormatPr defaultRowHeight="15" x14ac:dyDescent="0.25"/>
  <cols>
    <col min="1" max="1" width="32.7109375" customWidth="1"/>
    <col min="2" max="2" width="12" bestFit="1" customWidth="1"/>
    <col min="4" max="4" width="4" customWidth="1"/>
    <col min="5" max="5" width="21.7109375" customWidth="1"/>
    <col min="6" max="6" width="12" customWidth="1"/>
  </cols>
  <sheetData>
    <row r="1" spans="1:7" ht="30.75" x14ac:dyDescent="0.65">
      <c r="A1" s="5" t="s">
        <v>3</v>
      </c>
    </row>
    <row r="2" spans="1:7" ht="18.75" x14ac:dyDescent="0.3">
      <c r="A2" s="7" t="s">
        <v>14</v>
      </c>
    </row>
    <row r="3" spans="1:7" ht="18.75" x14ac:dyDescent="0.3">
      <c r="A3" s="7"/>
    </row>
    <row r="4" spans="1:7" ht="18.75" x14ac:dyDescent="0.3">
      <c r="A4" s="7" t="s">
        <v>48</v>
      </c>
      <c r="E4" s="7" t="s">
        <v>49</v>
      </c>
    </row>
    <row r="5" spans="1:7" ht="15.75" x14ac:dyDescent="0.25">
      <c r="A5" s="6" t="s">
        <v>15</v>
      </c>
      <c r="B5" s="14" t="s">
        <v>50</v>
      </c>
      <c r="C5" s="14" t="s">
        <v>16</v>
      </c>
      <c r="E5" s="6" t="s">
        <v>15</v>
      </c>
      <c r="F5" s="14" t="s">
        <v>50</v>
      </c>
      <c r="G5" s="14" t="s">
        <v>16</v>
      </c>
    </row>
    <row r="6" spans="1:7" x14ac:dyDescent="0.25">
      <c r="A6" s="11" t="s">
        <v>17</v>
      </c>
      <c r="B6" s="12">
        <f>SUM(B7:B11)</f>
        <v>27300</v>
      </c>
      <c r="C6" s="13">
        <f>B6/($B$6+$B$12+$B$15+$B$21+$B$31+$B$43+$B$49)</f>
        <v>5.8634020618556701E-2</v>
      </c>
      <c r="E6" t="s">
        <v>51</v>
      </c>
      <c r="F6" s="19">
        <v>105400</v>
      </c>
      <c r="G6" s="9">
        <f>F6/$F$10</f>
        <v>0.16541117388575016</v>
      </c>
    </row>
    <row r="7" spans="1:7" x14ac:dyDescent="0.25">
      <c r="A7" s="10" t="s">
        <v>18</v>
      </c>
      <c r="B7" s="8">
        <v>7500</v>
      </c>
      <c r="C7" s="9">
        <f>B7/$B$6</f>
        <v>0.27472527472527475</v>
      </c>
      <c r="E7" t="s">
        <v>53</v>
      </c>
      <c r="F7" s="19">
        <f>B6+B12+B15+B21+B31+B43+B49</f>
        <v>465600</v>
      </c>
      <c r="G7" s="9">
        <f>F7/$F$10</f>
        <v>0.73069679849340863</v>
      </c>
    </row>
    <row r="8" spans="1:7" x14ac:dyDescent="0.25">
      <c r="A8" s="10" t="s">
        <v>19</v>
      </c>
      <c r="B8" s="8">
        <v>5000</v>
      </c>
      <c r="C8" s="9">
        <f>B8/$B$6</f>
        <v>0.18315018315018314</v>
      </c>
      <c r="E8" t="s">
        <v>52</v>
      </c>
      <c r="F8" s="19">
        <v>23200</v>
      </c>
      <c r="G8" s="9">
        <f>F8/$F$10</f>
        <v>3.6409290646578781E-2</v>
      </c>
    </row>
    <row r="9" spans="1:7" x14ac:dyDescent="0.25">
      <c r="A9" s="10" t="s">
        <v>20</v>
      </c>
      <c r="B9" s="8">
        <v>6500</v>
      </c>
      <c r="C9" s="9">
        <f>B9/$B$6</f>
        <v>0.23809523809523808</v>
      </c>
      <c r="E9" t="s">
        <v>54</v>
      </c>
      <c r="F9" s="19">
        <v>43000</v>
      </c>
      <c r="G9" s="9">
        <f>F9/$F$10</f>
        <v>6.7482736974262394E-2</v>
      </c>
    </row>
    <row r="10" spans="1:7" x14ac:dyDescent="0.25">
      <c r="A10" s="10" t="s">
        <v>21</v>
      </c>
      <c r="B10" s="8">
        <v>5600</v>
      </c>
      <c r="C10" s="9">
        <f>B10/$B$6</f>
        <v>0.20512820512820512</v>
      </c>
      <c r="E10" s="11" t="s">
        <v>11</v>
      </c>
      <c r="F10" s="20">
        <f>SUM(F6:F9)</f>
        <v>637200</v>
      </c>
      <c r="G10" s="13">
        <f>F10/$F$10</f>
        <v>1</v>
      </c>
    </row>
    <row r="11" spans="1:7" x14ac:dyDescent="0.25">
      <c r="A11" s="10" t="s">
        <v>22</v>
      </c>
      <c r="B11" s="8">
        <v>2700</v>
      </c>
      <c r="C11" s="9">
        <f>B11/$B$6</f>
        <v>9.8901098901098897E-2</v>
      </c>
    </row>
    <row r="12" spans="1:7" x14ac:dyDescent="0.25">
      <c r="A12" s="11" t="s">
        <v>23</v>
      </c>
      <c r="B12" s="12">
        <f>SUM(B13:B14)</f>
        <v>40600</v>
      </c>
      <c r="C12" s="13">
        <f>B12/($B$6+$B$12+$B$15+$B$21+$B$31+$B$43+$B$49)</f>
        <v>8.7199312714776628E-2</v>
      </c>
    </row>
    <row r="13" spans="1:7" x14ac:dyDescent="0.25">
      <c r="A13" s="10" t="s">
        <v>24</v>
      </c>
      <c r="B13" s="8">
        <v>40000</v>
      </c>
      <c r="C13" s="9">
        <f>B13/$B$12</f>
        <v>0.98522167487684731</v>
      </c>
    </row>
    <row r="14" spans="1:7" x14ac:dyDescent="0.25">
      <c r="A14" s="10" t="s">
        <v>22</v>
      </c>
      <c r="B14" s="8">
        <v>600</v>
      </c>
      <c r="C14" s="9">
        <f>B14/$B$12</f>
        <v>1.4778325123152709E-2</v>
      </c>
    </row>
    <row r="15" spans="1:7" x14ac:dyDescent="0.25">
      <c r="A15" s="11" t="s">
        <v>4</v>
      </c>
      <c r="B15" s="12">
        <f>SUM(B16:B20)</f>
        <v>70600</v>
      </c>
      <c r="C15" s="13">
        <f>B15/($B$6+$B$12+$B$15+$B$21+$B$31+$B$43+$B$49)</f>
        <v>0.15163230240549827</v>
      </c>
    </row>
    <row r="16" spans="1:7" x14ac:dyDescent="0.25">
      <c r="A16" s="10" t="s">
        <v>25</v>
      </c>
      <c r="B16" s="8">
        <v>54700</v>
      </c>
      <c r="C16" s="9">
        <f>B16/$B$15</f>
        <v>0.77478753541076484</v>
      </c>
    </row>
    <row r="17" spans="1:3" x14ac:dyDescent="0.25">
      <c r="A17" s="10" t="s">
        <v>26</v>
      </c>
      <c r="B17" s="8">
        <v>8200</v>
      </c>
      <c r="C17" s="9">
        <f>B17/$B$15</f>
        <v>0.11614730878186968</v>
      </c>
    </row>
    <row r="18" spans="1:3" x14ac:dyDescent="0.25">
      <c r="A18" s="10" t="s">
        <v>27</v>
      </c>
      <c r="B18" s="8">
        <v>3500</v>
      </c>
      <c r="C18" s="9">
        <f>B18/$B$15</f>
        <v>4.9575070821529746E-2</v>
      </c>
    </row>
    <row r="19" spans="1:3" x14ac:dyDescent="0.25">
      <c r="A19" s="10" t="s">
        <v>28</v>
      </c>
      <c r="B19" s="8">
        <v>2400</v>
      </c>
      <c r="C19" s="9">
        <f>B19/$B$15</f>
        <v>3.39943342776204E-2</v>
      </c>
    </row>
    <row r="20" spans="1:3" x14ac:dyDescent="0.25">
      <c r="A20" s="10" t="s">
        <v>22</v>
      </c>
      <c r="B20" s="8">
        <v>1800</v>
      </c>
      <c r="C20" s="9">
        <f>B20/$B$15</f>
        <v>2.5495750708215296E-2</v>
      </c>
    </row>
    <row r="21" spans="1:3" x14ac:dyDescent="0.25">
      <c r="A21" s="11" t="s">
        <v>29</v>
      </c>
      <c r="B21" s="12">
        <f>SUM(B22:B30)</f>
        <v>177200</v>
      </c>
      <c r="C21" s="13">
        <f>B21/($B$6+$B$12+$B$15+$B$21+$B$31+$B$43+$B$49)</f>
        <v>0.38058419243986252</v>
      </c>
    </row>
    <row r="22" spans="1:3" x14ac:dyDescent="0.25">
      <c r="A22" s="10" t="s">
        <v>30</v>
      </c>
      <c r="B22" s="8">
        <v>25300</v>
      </c>
      <c r="C22" s="9">
        <f>B22/$B$21</f>
        <v>0.14277652370203162</v>
      </c>
    </row>
    <row r="23" spans="1:3" x14ac:dyDescent="0.25">
      <c r="A23" s="10" t="s">
        <v>31</v>
      </c>
      <c r="B23" s="8">
        <v>11900</v>
      </c>
      <c r="C23" s="9">
        <f t="shared" ref="C23:C30" si="0">B23/$B$21</f>
        <v>6.7155756207674944E-2</v>
      </c>
    </row>
    <row r="24" spans="1:3" x14ac:dyDescent="0.25">
      <c r="A24" s="10" t="s">
        <v>32</v>
      </c>
      <c r="B24" s="8">
        <v>15500</v>
      </c>
      <c r="C24" s="9">
        <f t="shared" si="0"/>
        <v>8.7471783295711064E-2</v>
      </c>
    </row>
    <row r="25" spans="1:3" x14ac:dyDescent="0.25">
      <c r="A25" s="10" t="s">
        <v>22</v>
      </c>
      <c r="B25" s="8">
        <v>800</v>
      </c>
      <c r="C25" s="9">
        <f t="shared" si="0"/>
        <v>4.5146726862302479E-3</v>
      </c>
    </row>
    <row r="26" spans="1:3" x14ac:dyDescent="0.25">
      <c r="A26" s="10" t="s">
        <v>33</v>
      </c>
      <c r="B26" s="8">
        <v>74200</v>
      </c>
      <c r="C26" s="9">
        <f t="shared" si="0"/>
        <v>0.41873589164785552</v>
      </c>
    </row>
    <row r="27" spans="1:3" x14ac:dyDescent="0.25">
      <c r="A27" s="10" t="s">
        <v>5</v>
      </c>
      <c r="B27" s="8">
        <v>17700</v>
      </c>
      <c r="C27" s="9">
        <f t="shared" si="0"/>
        <v>9.9887133182844243E-2</v>
      </c>
    </row>
    <row r="28" spans="1:3" x14ac:dyDescent="0.25">
      <c r="A28" s="10" t="s">
        <v>7</v>
      </c>
      <c r="B28" s="8">
        <v>15000</v>
      </c>
      <c r="C28" s="9">
        <f t="shared" si="0"/>
        <v>8.4650112866817159E-2</v>
      </c>
    </row>
    <row r="29" spans="1:3" x14ac:dyDescent="0.25">
      <c r="A29" s="10" t="s">
        <v>6</v>
      </c>
      <c r="B29" s="8">
        <v>16500</v>
      </c>
      <c r="C29" s="9">
        <f t="shared" si="0"/>
        <v>9.3115124153498874E-2</v>
      </c>
    </row>
    <row r="30" spans="1:3" x14ac:dyDescent="0.25">
      <c r="A30" s="10" t="s">
        <v>22</v>
      </c>
      <c r="B30" s="8">
        <v>300</v>
      </c>
      <c r="C30" s="9">
        <f t="shared" si="0"/>
        <v>1.6930022573363431E-3</v>
      </c>
    </row>
    <row r="31" spans="1:3" x14ac:dyDescent="0.25">
      <c r="A31" s="11" t="s">
        <v>34</v>
      </c>
      <c r="B31" s="12">
        <f>SUM(B32:B42)</f>
        <v>102400</v>
      </c>
      <c r="C31" s="13">
        <f>B31/($B$6+$B$12+$B$15+$B$21+$B$31+$B$43+$B$49)</f>
        <v>0.21993127147766323</v>
      </c>
    </row>
    <row r="32" spans="1:3" x14ac:dyDescent="0.25">
      <c r="A32" s="10" t="s">
        <v>8</v>
      </c>
      <c r="B32" s="8">
        <v>7200</v>
      </c>
      <c r="C32" s="9">
        <f>B32/$B$31</f>
        <v>7.03125E-2</v>
      </c>
    </row>
    <row r="33" spans="1:3" x14ac:dyDescent="0.25">
      <c r="A33" s="10" t="s">
        <v>9</v>
      </c>
      <c r="B33" s="8">
        <v>14100</v>
      </c>
      <c r="C33" s="9">
        <f t="shared" ref="C33:C42" si="1">B33/$B$31</f>
        <v>0.1376953125</v>
      </c>
    </row>
    <row r="34" spans="1:3" x14ac:dyDescent="0.25">
      <c r="A34" s="10" t="s">
        <v>35</v>
      </c>
      <c r="B34" s="8">
        <v>15800</v>
      </c>
      <c r="C34" s="9">
        <f t="shared" si="1"/>
        <v>0.154296875</v>
      </c>
    </row>
    <row r="35" spans="1:3" x14ac:dyDescent="0.25">
      <c r="A35" s="10" t="s">
        <v>36</v>
      </c>
      <c r="B35" s="8">
        <v>12500</v>
      </c>
      <c r="C35" s="9">
        <f t="shared" si="1"/>
        <v>0.1220703125</v>
      </c>
    </row>
    <row r="36" spans="1:3" x14ac:dyDescent="0.25">
      <c r="A36" s="10" t="s">
        <v>37</v>
      </c>
      <c r="B36" s="8">
        <v>4500</v>
      </c>
      <c r="C36" s="9">
        <f t="shared" si="1"/>
        <v>4.39453125E-2</v>
      </c>
    </row>
    <row r="37" spans="1:3" x14ac:dyDescent="0.25">
      <c r="A37" s="10" t="s">
        <v>38</v>
      </c>
      <c r="B37" s="8">
        <v>13100</v>
      </c>
      <c r="C37" s="9">
        <f t="shared" si="1"/>
        <v>0.1279296875</v>
      </c>
    </row>
    <row r="38" spans="1:3" x14ac:dyDescent="0.25">
      <c r="A38" s="10" t="s">
        <v>10</v>
      </c>
      <c r="B38" s="8">
        <v>6300</v>
      </c>
      <c r="C38" s="9">
        <f t="shared" si="1"/>
        <v>6.15234375E-2</v>
      </c>
    </row>
    <row r="39" spans="1:3" x14ac:dyDescent="0.25">
      <c r="A39" s="10" t="s">
        <v>39</v>
      </c>
      <c r="B39" s="8">
        <v>18600</v>
      </c>
      <c r="C39" s="9">
        <f t="shared" si="1"/>
        <v>0.181640625</v>
      </c>
    </row>
    <row r="40" spans="1:3" x14ac:dyDescent="0.25">
      <c r="A40" s="10" t="s">
        <v>40</v>
      </c>
      <c r="B40" s="8">
        <v>6400</v>
      </c>
      <c r="C40" s="9">
        <f t="shared" si="1"/>
        <v>6.25E-2</v>
      </c>
    </row>
    <row r="41" spans="1:3" x14ac:dyDescent="0.25">
      <c r="A41" s="10" t="s">
        <v>41</v>
      </c>
      <c r="B41" s="8">
        <v>3100</v>
      </c>
      <c r="C41" s="9">
        <f t="shared" si="1"/>
        <v>3.02734375E-2</v>
      </c>
    </row>
    <row r="42" spans="1:3" x14ac:dyDescent="0.25">
      <c r="A42" s="10" t="s">
        <v>22</v>
      </c>
      <c r="B42" s="8">
        <v>800</v>
      </c>
      <c r="C42" s="9">
        <f t="shared" si="1"/>
        <v>7.8125E-3</v>
      </c>
    </row>
    <row r="43" spans="1:3" x14ac:dyDescent="0.25">
      <c r="A43" s="11" t="s">
        <v>42</v>
      </c>
      <c r="B43" s="12">
        <f>SUM(B44:B48)</f>
        <v>44100</v>
      </c>
      <c r="C43" s="13">
        <f>B43/($B$6+$B$12+$B$15+$B$21+$B$31+$B$43+$B$49)</f>
        <v>9.4716494845360821E-2</v>
      </c>
    </row>
    <row r="44" spans="1:3" x14ac:dyDescent="0.25">
      <c r="A44" s="10" t="s">
        <v>43</v>
      </c>
      <c r="B44" s="8">
        <v>8600</v>
      </c>
      <c r="C44" s="9">
        <f>B44/$B$43</f>
        <v>0.19501133786848074</v>
      </c>
    </row>
    <row r="45" spans="1:3" x14ac:dyDescent="0.25">
      <c r="A45" s="10" t="s">
        <v>44</v>
      </c>
      <c r="B45" s="8">
        <v>24100</v>
      </c>
      <c r="C45" s="9">
        <f>B45/$B$43</f>
        <v>0.54648526077097503</v>
      </c>
    </row>
    <row r="46" spans="1:3" x14ac:dyDescent="0.25">
      <c r="A46" s="10" t="s">
        <v>45</v>
      </c>
      <c r="B46" s="8">
        <v>5600</v>
      </c>
      <c r="C46" s="9">
        <f>B46/$B$43</f>
        <v>0.12698412698412698</v>
      </c>
    </row>
    <row r="47" spans="1:3" x14ac:dyDescent="0.25">
      <c r="A47" s="10" t="s">
        <v>46</v>
      </c>
      <c r="B47" s="8">
        <v>3400</v>
      </c>
      <c r="C47" s="9">
        <f>B47/$B$43</f>
        <v>7.7097505668934238E-2</v>
      </c>
    </row>
    <row r="48" spans="1:3" x14ac:dyDescent="0.25">
      <c r="A48" s="10" t="s">
        <v>22</v>
      </c>
      <c r="B48" s="8">
        <v>2400</v>
      </c>
      <c r="C48" s="9">
        <f>B48/$B$43</f>
        <v>5.4421768707482991E-2</v>
      </c>
    </row>
    <row r="49" spans="1:3" x14ac:dyDescent="0.25">
      <c r="A49" s="11" t="s">
        <v>47</v>
      </c>
      <c r="B49" s="12">
        <v>3400</v>
      </c>
      <c r="C49" s="13">
        <f>B49/($B$6+$B$12+$B$15+$B$21+$B$31+$B$43+$B$49)</f>
        <v>7.302405498281787E-3</v>
      </c>
    </row>
  </sheetData>
  <pageMargins left="0.7" right="0.7" top="0.75" bottom="0.75" header="0.3" footer="0.3"/>
  <pageSetup orientation="portrait" horizontalDpi="4294967295" verticalDpi="4294967295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Documentation</vt:lpstr>
      <vt:lpstr>Home Summary</vt:lpstr>
      <vt:lpstr>Budget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Appendix C: Review Assignment</dc:title>
  <dc:subject>home; construction; budget</dc:subject>
  <dc:creator/>
  <cp:keywords/>
  <dc:description/>
  <cp:lastModifiedBy/>
  <dcterms:created xsi:type="dcterms:W3CDTF">2019-05-19T03:45:23Z</dcterms:created>
  <dcterms:modified xsi:type="dcterms:W3CDTF">2022-01-24T17:23:47Z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ient">
    <vt:lpwstr>Anna Lopez</vt:lpwstr>
  </property>
</Properties>
</file>
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11\Case1\"/>
    </mc:Choice>
  </mc:AlternateContent>
  <xr:revisionPtr revIDLastSave="0" documentId="13_ncr:1_{4E1BAA00-2D47-4C25-8540-95CF0F8204BC}" xr6:coauthVersionLast="46" xr6:coauthVersionMax="46" xr10:uidLastSave="{00000000-0000-0000-0000-000000000000}"/>
  <bookViews>
    <workbookView xWindow="-120" yWindow="-120" windowWidth="29040" windowHeight="15840" xr2:uid="{2F0C41C2-64FB-428D-84ED-90F49444DDBB}"/>
  </bookViews>
  <sheets>
    <sheet name="Documentation" sheetId="9" r:id="rId1"/>
    <sheet name="Revenue Report" sheetId="5" r:id="rId2"/>
    <sheet name="Region Report" sheetId="10" r:id="rId3"/>
    <sheet name="Hospital Sales" sheetId="13" r:id="rId4"/>
    <sheet name="Sales Commissions" sheetId="12" r:id="rId5"/>
    <sheet name="Tables and Measures" sheetId="8" r:id="rId6"/>
  </sheets>
  <definedNames>
    <definedName name="_xlcn.WorksheetConnection_NP_EX_11_Alcmaeon.xlsxAgents1" hidden="1">Agents</definedName>
    <definedName name="_xlcn.WorksheetConnection_NP_EX_11_Alcmaeon.xlsxHospitals1" hidden="1">Hospitals</definedName>
    <definedName name="_xlcn.WorksheetConnection_NP_EX_11_Alcmaeon.xlsxProducts1" hidden="1">Products</definedName>
  </definedNames>
  <calcPr calcId="191029"/>
  <pivotCaches>
    <pivotCache cacheId="5" r:id="rId7"/>
    <pivotCache cacheId="6" r:id="rId8"/>
    <pivotCache cacheId="7" r:id="rId9"/>
    <pivotCache cacheId="8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NP_EX_11_Alcmaeon.xlsx!Products"/>
          <x15:modelTable id="Hospitals" name="Hospitals" connection="WorksheetConnection_NP_EX_11_Alcmaeon.xlsx!Hospitals"/>
          <x15:modelTable id="Agents" name="Agents" connection="WorksheetConnection_NP_EX_11_Alcmaeon.xlsx!Agents"/>
          <x15:modelTable id="Sales2" name="Sales" connection="Connection"/>
        </x15:modelTables>
        <x15:modelRelationships>
          <x15:modelRelationship fromTable="Sales" fromColumn="Agent" toTable="Agents" toColumn="Agent"/>
          <x15:modelRelationship fromTable="Sales" fromColumn="Hospital" toTable="Hospitals" toColumn="Hospital"/>
          <x15:modelRelationship fromTable="Sales" fromColumn="Product" toTable="Products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8741E-FF2B-43C4-B390-7F0C8A285D6A}" name="Connection" type="104" refreshedVersion="0" background="1">
    <extLst>
      <ext xmlns:x15="http://schemas.microsoft.com/office/spreadsheetml/2010/11/main" uri="{DE250136-89BD-433C-8126-D09CA5730AF9}">
        <x15:connection id="Sales2"/>
      </ext>
    </extLst>
  </connection>
  <connection id="2" xr16:uid="{93AF9A66-47EF-460D-B6AB-060FE90D4EF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8D5D86E-D7DF-41EE-BB07-1515DF63D16F}" name="WorksheetConnection_NP_EX_11_Alcmaeon.xlsx!Agents" type="102" refreshedVersion="6" minRefreshableVersion="5">
    <extLst>
      <ext xmlns:x15="http://schemas.microsoft.com/office/spreadsheetml/2010/11/main" uri="{DE250136-89BD-433C-8126-D09CA5730AF9}">
        <x15:connection id="Agents">
          <x15:rangePr sourceName="_xlcn.WorksheetConnection_NP_EX_11_Alcmaeon.xlsxAgents1"/>
        </x15:connection>
      </ext>
    </extLst>
  </connection>
  <connection id="4" xr16:uid="{560695E5-5796-4633-97E9-CE9231C6343E}" name="WorksheetConnection_NP_EX_11_Alcmaeon.xlsx!Hospitals" type="102" refreshedVersion="6" minRefreshableVersion="5">
    <extLst>
      <ext xmlns:x15="http://schemas.microsoft.com/office/spreadsheetml/2010/11/main" uri="{DE250136-89BD-433C-8126-D09CA5730AF9}">
        <x15:connection id="Hospitals">
          <x15:rangePr sourceName="_xlcn.WorksheetConnection_NP_EX_11_Alcmaeon.xlsxHospitals1"/>
        </x15:connection>
      </ext>
    </extLst>
  </connection>
  <connection id="5" xr16:uid="{A743E806-B8AA-4BAA-85E3-BA7D4003FD5A}" name="WorksheetConnection_NP_EX_11_Alcmaeon.xlsx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NP_EX_11_Alcmaeon.xlsxProducts1"/>
        </x15:connection>
      </ext>
    </extLst>
  </connection>
</connections>
</file>

<file path=xl/sharedStrings.xml><?xml version="1.0" encoding="utf-8"?>
<sst xmlns="http://schemas.openxmlformats.org/spreadsheetml/2006/main" count="209" uniqueCount="111">
  <si>
    <t>Date</t>
  </si>
  <si>
    <t>Units Sold</t>
  </si>
  <si>
    <t>Revenue</t>
  </si>
  <si>
    <t>Hospital</t>
  </si>
  <si>
    <t>Product</t>
  </si>
  <si>
    <t>Sales Region</t>
  </si>
  <si>
    <t>Name</t>
  </si>
  <si>
    <t>Base Salary</t>
  </si>
  <si>
    <t>Sales Minimum</t>
  </si>
  <si>
    <t>Commission </t>
  </si>
  <si>
    <t>Hospital Name</t>
  </si>
  <si>
    <t>Region</t>
  </si>
  <si>
    <t>Street</t>
  </si>
  <si>
    <t>City</t>
  </si>
  <si>
    <t>State</t>
  </si>
  <si>
    <t>Postal Code</t>
  </si>
  <si>
    <t>Phone</t>
  </si>
  <si>
    <t>Agent</t>
  </si>
  <si>
    <t>Product Name</t>
  </si>
  <si>
    <t>Product Description</t>
  </si>
  <si>
    <t>Field</t>
  </si>
  <si>
    <t>Data Type</t>
  </si>
  <si>
    <t>Notes</t>
  </si>
  <si>
    <t>text</t>
  </si>
  <si>
    <t>Contact phone number</t>
  </si>
  <si>
    <t>number</t>
  </si>
  <si>
    <t>date</t>
  </si>
  <si>
    <t>currency</t>
  </si>
  <si>
    <t>Formula</t>
  </si>
  <si>
    <t>Alcmaeon</t>
  </si>
  <si>
    <t>Tables and Measures</t>
  </si>
  <si>
    <t>Hospitals Table</t>
  </si>
  <si>
    <t>Hospital ID</t>
  </si>
  <si>
    <t>Name of hospital</t>
  </si>
  <si>
    <t>Sales region</t>
  </si>
  <si>
    <t>Street address</t>
  </si>
  <si>
    <t>Postal code</t>
  </si>
  <si>
    <t>Sales Table</t>
  </si>
  <si>
    <t>Date of sale</t>
  </si>
  <si>
    <t>Sales agent ID</t>
  </si>
  <si>
    <t>Software product ID</t>
  </si>
  <si>
    <t>Software licenses sold to hospital</t>
  </si>
  <si>
    <t>Revenue generated by the sale</t>
  </si>
  <si>
    <t>Agents Table</t>
  </si>
  <si>
    <t>Sales agent region</t>
  </si>
  <si>
    <t>Name of sales agent</t>
  </si>
  <si>
    <t>Base salary before commissions</t>
  </si>
  <si>
    <t>Minimum revenue to generate commissions</t>
  </si>
  <si>
    <t>Commision rate</t>
  </si>
  <si>
    <t>Products Table</t>
  </si>
  <si>
    <t>Name of software product</t>
  </si>
  <si>
    <t>Description of software product</t>
  </si>
  <si>
    <t>Measure Name</t>
  </si>
  <si>
    <t>Author</t>
  </si>
  <si>
    <t>Purpose</t>
  </si>
  <si>
    <t>Revenue Report</t>
  </si>
  <si>
    <t>Region Report</t>
  </si>
  <si>
    <t>Sales Commissions</t>
  </si>
  <si>
    <t>Earned Commission</t>
  </si>
  <si>
    <t>Total Compensation</t>
  </si>
  <si>
    <t>Hospital Sales</t>
  </si>
  <si>
    <t xml:space="preserve">Commission earned by revenue generated above a minimum amount </t>
  </si>
  <si>
    <t>Total compensation from base salary and earned commission</t>
  </si>
  <si>
    <t>SUM(Agents[Base Salary])+[Earned Commission]</t>
  </si>
  <si>
    <t>(SUM([Revenue]) - SUM(Agents[Sales Minimum]))*SUM(Agents[Commission])</t>
  </si>
  <si>
    <t>Measures for the Sales table</t>
  </si>
  <si>
    <t>Date (Month)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</si>
  <si>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</si>
  <si>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</si>
  <si>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</si>
  <si>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</si>
  <si>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</si>
  <si>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</si>
  <si>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</si>
  <si>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</si>
  <si>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</si>
  <si>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</si>
  <si>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</si>
  <si>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</si>
  <si>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 analyze software sales made to hospitals and clinics in 2024</t>
  </si>
  <si>
    <t>Rank</t>
  </si>
  <si>
    <t>Total Revenue</t>
  </si>
  <si>
    <t>Running Total</t>
  </si>
  <si>
    <t>Percentage</t>
  </si>
  <si>
    <t>Midwest</t>
  </si>
  <si>
    <t>Northeast</t>
  </si>
  <si>
    <t>Southeast</t>
  </si>
  <si>
    <t>Southwest</t>
  </si>
  <si>
    <t>West</t>
  </si>
  <si>
    <t>Grand Total</t>
  </si>
  <si>
    <t>Brandi Hernandez</t>
  </si>
  <si>
    <t>Christopher Stoddard</t>
  </si>
  <si>
    <t>Marie Flanagan</t>
  </si>
  <si>
    <t>James Magallon</t>
  </si>
  <si>
    <t>Rose Lewis</t>
  </si>
  <si>
    <t>Wayne Manning</t>
  </si>
  <si>
    <t>Maude Brown</t>
  </si>
  <si>
    <t>Sandra Butters</t>
  </si>
  <si>
    <t>Shirley Vitela</t>
  </si>
  <si>
    <t>Andrew West</t>
  </si>
  <si>
    <t>Herbert Collins</t>
  </si>
  <si>
    <t>Jessica West</t>
  </si>
  <si>
    <t>Retha Cain</t>
  </si>
  <si>
    <t>Tam Wu</t>
  </si>
  <si>
    <t>Teresa Johnson</t>
  </si>
  <si>
    <t>Percent</t>
  </si>
  <si>
    <t>Clients</t>
  </si>
  <si>
    <t xml:space="preserve">Base Salary </t>
  </si>
  <si>
    <t>Commission Rate</t>
  </si>
  <si>
    <t>Revenue Generated</t>
  </si>
  <si>
    <t>Selene Marados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</si>
</sst>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\$#,##0.00"/>
    <numFmt numFmtId="165" formatCode="\$#,##0;\(\$#,##0\);\$#,##0"/>
    <numFmt numFmtId="166" formatCode="0.00%;\-0.00%;0.00%"/>
  </numFmts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28"/>
      <color theme="9"/>
      <name val="Aharoni"/>
    </font>
    <font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5" borderId="1" xfId="2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6" fillId="0" borderId="0" xfId="1" applyFont="1"/>
    <xf numFmtId="0" fontId="7" fillId="0" borderId="1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65758912035" backgroundQuery="1" createdVersion="6" refreshedVersion="6" minRefreshableVersion="3" recordCount="0" supportSubquery="1" supportAdvancedDrill="1" xr:uid="{2AFFB5B7-6BF6-4B3D-A72E-B91A20CF0D87}">
  <cacheSource type="external" connectionId="2"/>
  <cacheFields count="5">
    <cacheField name="[Sales].[Date (Month)].[Date (Month)]" caption="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Revenue]" caption="Sum of Revenue" numFmtId="0" hierarchy="29" level="32767"/>
    <cacheField name="Dummy0" numFmtId="0" hierarchy="39" level="32767">
      <extLst>
        <ext xmlns:x14="http://schemas.microsoft.com/office/spreadsheetml/2009/9/main" uri="{63CAB8AC-B538-458d-9737-405883B0398D}">
          <x14:cacheField ignore="1"/>
        </ext>
      </extLst>
    </cacheField>
    <cacheField name="Dummy1" numFmtId="0" hierarchy="40" level="32767">
      <extLst>
        <ext xmlns:x14="http://schemas.microsoft.com/office/spreadsheetml/2009/9/main" uri="{63CAB8AC-B538-458d-9737-405883B0398D}">
          <x14:cacheField ignore="1"/>
        </ext>
      </extLst>
    </cacheField>
    <cacheField name="Dummy2" numFmtId="0" hierarchy="41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2">
    <cacheHierarchy uniqueName="[Agents].[Agent]" caption="Agent" attribute="1" defaultMemberUniqueName="[Agents].[Agent].[All]" allUniqueName="[Agents].[Agent].[All]" dimensionUniqueName="[Agents]" displayFolder="" count="0" memberValueDatatype="130" unbalanced="0"/>
    <cacheHierarchy uniqueName="[Agents].[Sales Region]" caption="Sales Region" attribute="1" defaultMemberUniqueName="[Agents].[Sales Region].[All]" allUniqueName="[Agents].[Sales Region].[All]" dimensionUniqueName="[Agents]" displayFolder="" count="0" memberValueDatatype="130" unbalanced="0"/>
    <cacheHierarchy uniqueName="[Agents].[Name]" caption="Name" attribute="1" defaultMemberUniqueName="[Agents].[Name].[All]" allUniqueName="[Agents].[Name].[All]" dimensionUniqueName="[Agents]" displayFolder="" count="0" memberValueDatatype="130" unbalanced="0"/>
    <cacheHierarchy uniqueName="[Agents].[Base Salary]" caption="Base Salary" attribute="1" defaultMemberUniqueName="[Agents].[Base Salary].[All]" allUniqueName="[Agents].[Base Salary].[All]" dimensionUniqueName="[Agents]" displayFolder="" count="0" memberValueDatatype="20" unbalanced="0"/>
    <cacheHierarchy uniqueName="[Agents].[Sales Minimum]" caption="Sales Minimum" attribute="1" defaultMemberUniqueName="[Agents].[Sales Minimum].[All]" allUniqueName="[Agents].[Sales Minimum].[All]" dimensionUniqueName="[Agents]" displayFolder="" count="0" memberValueDatatype="20" unbalanced="0"/>
    <cacheHierarchy uniqueName="[Agents].[Commission]" caption="Commission" attribute="1" defaultMemberUniqueName="[Agents].[Commission].[All]" allUniqueName="[Agents].[Commission].[All]" dimensionUniqueName="[Agents]" displayFolder="" count="0" memberValueDatatype="5" unbalanced="0"/>
    <cacheHierarchy uniqueName="[Hospitals].[Hospital]" caption="Hospital" attribute="1" defaultMemberUniqueName="[Hospitals].[Hospital].[All]" allUniqueName="[Hospitals].[Hospital].[All]" dimensionUniqueName="[Hospitals]" displayFolder="" count="0" memberValueDatatype="130" unbalanced="0"/>
    <cacheHierarchy uniqueName="[Hospitals].[Hospital Name]" caption="Hospital Name" attribute="1" defaultMemberUniqueName="[Hospitals].[Hospital Name].[All]" allUniqueName="[Hospitals].[Hospital Name].[All]" dimensionUniqueName="[Hospitals]" displayFolder="" count="0" memberValueDatatype="130" unbalanced="0"/>
    <cacheHierarchy uniqueName="[Hospitals].[Region]" caption="Region" attribute="1" defaultMemberUniqueName="[Hospitals].[Region].[All]" allUniqueName="[Hospitals].[Region].[All]" dimensionUniqueName="[Hospitals]" displayFolder="" count="0" memberValueDatatype="130" unbalanced="0"/>
    <cacheHierarchy uniqueName="[Hospitals].[Street]" caption="Street" attribute="1" defaultMemberUniqueName="[Hospitals].[Street].[All]" allUniqueName="[Hospitals].[Street].[All]" dimensionUniqueName="[Hospitals]" displayFolder="" count="0" memberValueDatatype="130" unbalanced="0"/>
    <cacheHierarchy uniqueName="[Hospitals].[City]" caption="City" attribute="1" defaultMemberUniqueName="[Hospitals].[City].[All]" allUniqueName="[Hospitals].[City].[All]" dimensionUniqueName="[Hospitals]" displayFolder="" count="0" memberValueDatatype="130" unbalanced="0"/>
    <cacheHierarchy uniqueName="[Hospitals].[State]" caption="State" attribute="1" defaultMemberUniqueName="[Hospitals].[State].[All]" allUniqueName="[Hospitals].[State].[All]" dimensionUniqueName="[Hospitals]" displayFolder="" count="0" memberValueDatatype="130" unbalanced="0"/>
    <cacheHierarchy uniqueName="[Hospitals].[Postal Code]" caption="Postal Code" attribute="1" defaultMemberUniqueName="[Hospitals].[Postal Code].[All]" allUniqueName="[Hospitals].[Postal Code].[All]" dimensionUniqueName="[Hospitals]" displayFolder="" count="0" memberValueDatatype="130" unbalanced="0"/>
    <cacheHierarchy uniqueName="[Hospitals].[Phone]" caption="Phone" attribute="1" defaultMemberUniqueName="[Hospitals].[Phone].[All]" allUniqueName="[Hospitals].[Phone].[All]" dimensionUniqueName="[Hospital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Agent]" caption="Agent" attribute="1" defaultMemberUniqueName="[Sales].[Agent].[All]" allUniqueName="[Sales].[Agent].[All]" dimensionUniqueName="[Sales]" displayFolder="" count="0" memberValueDatatype="130" unbalanced="0"/>
    <cacheHierarchy uniqueName="[Sales].[Hospital]" caption="Hospital" attribute="1" defaultMemberUniqueName="[Sales].[Hospital].[All]" allUniqueName="[Sales].[Hospital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Units Sold]" caption="Units Sold" attribute="1" defaultMemberUniqueName="[Sales].[Units Sold].[All]" allUniqueName="[Sales].[Units Sold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6" unbalanced="0"/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0"/>
      </fieldsUsage>
    </cacheHierarchy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Base Salary]" caption="Sum of Base Salary" measure="1" displayFolder="" measureGroup="Ag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mmission]" caption="Sum of Commission" measure="1" displayFolder="" measureGroup="Agent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Minimum]" caption="Sum of Sales Minimum" measure="1" displayFolder="" measureGroup="Ag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Hospital 2]" caption="Count of Hospital 2" measure="1" displayFolder="" measureGroup="Hospita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Hospital]" caption="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Hospital]" caption="Distinct 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Earned Commission]" caption="Earned Commission" measure="1" displayFolder="" measureGroup="Sales" count="0"/>
    <cacheHierarchy uniqueName="[Measures].[Total Compensation]" caption="Total Compensation" measure="1" displayFolder="" measureGroup="Sales" count="0"/>
    <cacheHierarchy uniqueName="[Measures].[__XL_Count Agents]" caption="__XL_Count Agents" measure="1" displayFolder="" measureGroup="Agents" count="0" hidden="1"/>
    <cacheHierarchy uniqueName="[Measures].[__XL_Count Hospitals]" caption="__XL_Count Hospitals" measure="1" displayFolder="" measureGroup="Hospitals" count="0" hidden="1"/>
    <cacheHierarchy uniqueName="[Measures].[__XL_Count Products]" caption="__XL_Count Products" measure="1" displayFolder="" measureGroup="Products" count="0" hidden="1"/>
    <cacheHierarchy uniqueName="[Measures].[__XL_Count Sales2]" caption="__XL_Count Sales2" measure="1" displayFolder="" measureGroup="Sales" count="0" hidden="1"/>
    <cacheHierarchy uniqueName="[Measures].[__No measures defined]" caption="__No measures defined" measure="1" displayFolder="" count="0" hidden="1"/>
    <cacheHierarchy uniqueName="Dummy0" caption="Agent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Dummy1" caption="Agent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Dummy2" caption="Agent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Agents" uniqueName="[Agents]" caption="Agents"/>
    <dimension name="Hospitals" uniqueName="[Hospitals]" caption="Hospital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Agents" caption="Agents"/>
    <measureGroup name="Hospitals" caption="Hospital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65759953705" backgroundQuery="1" createdVersion="6" refreshedVersion="6" minRefreshableVersion="3" recordCount="0" supportSubquery="1" supportAdvancedDrill="1" xr:uid="{3F7FEF89-BD47-4F7F-AAE6-CBD60D5CEAC4}">
  <cacheSource type="external" connectionId="2"/>
  <cacheFields count="4">
    <cacheField name="[Agents].[Sales Region].[Sales Region]" caption="Sales Region" numFmtId="0" hierarchy="1" level="1">
      <sharedItems count="5">
        <s v="Midwest"/>
        <s v="Northeast"/>
        <s v="Southeast"/>
        <s v="Southwest"/>
        <s v="West"/>
      </sharedItems>
    </cacheField>
    <cacheField name="[Agents].[Name].[Name]" caption="Name" numFmtId="0" hierarchy="2" level="1">
      <sharedItems count="15">
        <s v="Brandi Hernandez"/>
        <s v="Christopher Stoddard"/>
        <s v="Marie Flanagan"/>
        <s v="James Magallon"/>
        <s v="Rose Lewis"/>
        <s v="Wayne Manning"/>
        <s v="Maude Brown"/>
        <s v="Sandra Butters"/>
        <s v="Shirley Vitela"/>
        <s v="Andrew West"/>
        <s v="Herbert Collins"/>
        <s v="Jessica West"/>
        <s v="Retha Cain"/>
        <s v="Tam Wu"/>
        <s v="Teresa Johnson"/>
      </sharedItems>
    </cacheField>
    <cacheField name="[Measures].[Sum of Revenue]" caption="Sum of Revenue" numFmtId="0" hierarchy="29" level="32767"/>
    <cacheField name="Dummy0" numFmtId="0" hierarchy="3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0">
    <cacheHierarchy uniqueName="[Agents].[Agent]" caption="Agent" attribute="1" defaultMemberUniqueName="[Agents].[Agent].[All]" allUniqueName="[Agents].[Agent].[All]" dimensionUniqueName="[Agents]" displayFolder="" count="0" memberValueDatatype="130" unbalanced="0"/>
    <cacheHierarchy uniqueName="[Agents].[Sales Region]" caption="Sales Region" attribute="1" defaultMemberUniqueName="[Agents].[Sales Region].[All]" allUniqueName="[Agents].[Sales Region].[All]" dimensionUniqueName="[Agents]" displayFolder="" count="2" memberValueDatatype="130" unbalanced="0">
      <fieldsUsage count="2">
        <fieldUsage x="-1"/>
        <fieldUsage x="0"/>
      </fieldsUsage>
    </cacheHierarchy>
    <cacheHierarchy uniqueName="[Agents].[Name]" caption="Name" attribute="1" defaultMemberUniqueName="[Agents].[Name].[All]" allUniqueName="[Agents].[Name].[All]" dimensionUniqueName="[Agents]" displayFolder="" count="2" memberValueDatatype="130" unbalanced="0">
      <fieldsUsage count="2">
        <fieldUsage x="-1"/>
        <fieldUsage x="1"/>
      </fieldsUsage>
    </cacheHierarchy>
    <cacheHierarchy uniqueName="[Agents].[Base Salary]" caption="Base Salary" attribute="1" defaultMemberUniqueName="[Agents].[Base Salary].[All]" allUniqueName="[Agents].[Base Salary].[All]" dimensionUniqueName="[Agents]" displayFolder="" count="0" memberValueDatatype="20" unbalanced="0"/>
    <cacheHierarchy uniqueName="[Agents].[Sales Minimum]" caption="Sales Minimum" attribute="1" defaultMemberUniqueName="[Agents].[Sales Minimum].[All]" allUniqueName="[Agents].[Sales Minimum].[All]" dimensionUniqueName="[Agents]" displayFolder="" count="0" memberValueDatatype="20" unbalanced="0"/>
    <cacheHierarchy uniqueName="[Agents].[Commission]" caption="Commission" attribute="1" defaultMemberUniqueName="[Agents].[Commission].[All]" allUniqueName="[Agents].[Commission].[All]" dimensionUniqueName="[Agents]" displayFolder="" count="0" memberValueDatatype="5" unbalanced="0"/>
    <cacheHierarchy uniqueName="[Hospitals].[Hospital]" caption="Hospital" attribute="1" defaultMemberUniqueName="[Hospitals].[Hospital].[All]" allUniqueName="[Hospitals].[Hospital].[All]" dimensionUniqueName="[Hospitals]" displayFolder="" count="0" memberValueDatatype="130" unbalanced="0"/>
    <cacheHierarchy uniqueName="[Hospitals].[Hospital Name]" caption="Hospital Name" attribute="1" defaultMemberUniqueName="[Hospitals].[Hospital Name].[All]" allUniqueName="[Hospitals].[Hospital Name].[All]" dimensionUniqueName="[Hospitals]" displayFolder="" count="0" memberValueDatatype="130" unbalanced="0"/>
    <cacheHierarchy uniqueName="[Hospitals].[Region]" caption="Region" attribute="1" defaultMemberUniqueName="[Hospitals].[Region].[All]" allUniqueName="[Hospitals].[Region].[All]" dimensionUniqueName="[Hospitals]" displayFolder="" count="0" memberValueDatatype="130" unbalanced="0"/>
    <cacheHierarchy uniqueName="[Hospitals].[Street]" caption="Street" attribute="1" defaultMemberUniqueName="[Hospitals].[Street].[All]" allUniqueName="[Hospitals].[Street].[All]" dimensionUniqueName="[Hospitals]" displayFolder="" count="0" memberValueDatatype="130" unbalanced="0"/>
    <cacheHierarchy uniqueName="[Hospitals].[City]" caption="City" attribute="1" defaultMemberUniqueName="[Hospitals].[City].[All]" allUniqueName="[Hospitals].[City].[All]" dimensionUniqueName="[Hospitals]" displayFolder="" count="0" memberValueDatatype="130" unbalanced="0"/>
    <cacheHierarchy uniqueName="[Hospitals].[State]" caption="State" attribute="1" defaultMemberUniqueName="[Hospitals].[State].[All]" allUniqueName="[Hospitals].[State].[All]" dimensionUniqueName="[Hospitals]" displayFolder="" count="0" memberValueDatatype="130" unbalanced="0"/>
    <cacheHierarchy uniqueName="[Hospitals].[Postal Code]" caption="Postal Code" attribute="1" defaultMemberUniqueName="[Hospitals].[Postal Code].[All]" allUniqueName="[Hospitals].[Postal Code].[All]" dimensionUniqueName="[Hospitals]" displayFolder="" count="0" memberValueDatatype="130" unbalanced="0"/>
    <cacheHierarchy uniqueName="[Hospitals].[Phone]" caption="Phone" attribute="1" defaultMemberUniqueName="[Hospitals].[Phone].[All]" allUniqueName="[Hospitals].[Phone].[All]" dimensionUniqueName="[Hospital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Agent]" caption="Agent" attribute="1" defaultMemberUniqueName="[Sales].[Agent].[All]" allUniqueName="[Sales].[Agent].[All]" dimensionUniqueName="[Sales]" displayFolder="" count="0" memberValueDatatype="130" unbalanced="0"/>
    <cacheHierarchy uniqueName="[Sales].[Hospital]" caption="Hospital" attribute="1" defaultMemberUniqueName="[Sales].[Hospital].[All]" allUniqueName="[Sales].[Hospital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Units Sold]" caption="Units Sold" attribute="1" defaultMemberUniqueName="[Sales].[Units Sold].[All]" allUniqueName="[Sales].[Units Sold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6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Base Salary]" caption="Sum of Base Salary" measure="1" displayFolder="" measureGroup="Ag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mmission]" caption="Sum of Commission" measure="1" displayFolder="" measureGroup="Agent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Minimum]" caption="Sum of Sales Minimum" measure="1" displayFolder="" measureGroup="Ag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Hospital 2]" caption="Count of Hospital 2" measure="1" displayFolder="" measureGroup="Hospita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Hospital]" caption="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Hospital]" caption="Distinct 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Earned Commission]" caption="Earned Commission" measure="1" displayFolder="" measureGroup="Sales" count="0"/>
    <cacheHierarchy uniqueName="[Measures].[Total Compensation]" caption="Total Compensation" measure="1" displayFolder="" measureGroup="Sales" count="0"/>
    <cacheHierarchy uniqueName="[Measures].[__XL_Count Agents]" caption="__XL_Count Agents" measure="1" displayFolder="" measureGroup="Agents" count="0" hidden="1"/>
    <cacheHierarchy uniqueName="[Measures].[__XL_Count Hospitals]" caption="__XL_Count Hospitals" measure="1" displayFolder="" measureGroup="Hospitals" count="0" hidden="1"/>
    <cacheHierarchy uniqueName="[Measures].[__XL_Count Products]" caption="__XL_Count Products" measure="1" displayFolder="" measureGroup="Products" count="0" hidden="1"/>
    <cacheHierarchy uniqueName="[Measures].[__XL_Count Sales2]" caption="__XL_Count Sales2" measure="1" displayFolder="" measureGroup="Sales" count="0" hidden="1"/>
    <cacheHierarchy uniqueName="[Measures].[__No measures defined]" caption="__No measures defined" measure="1" displayFolder="" count="0" hidden="1"/>
    <cacheHierarchy uniqueName="Dummy0" caption="Agent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Agents" uniqueName="[Agents]" caption="Agents"/>
    <dimension name="Hospitals" uniqueName="[Hospitals]" caption="Hospital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Agents" caption="Agents"/>
    <measureGroup name="Hospitals" caption="Hospital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65760879629" backgroundQuery="1" createdVersion="6" refreshedVersion="6" minRefreshableVersion="3" recordCount="0" supportSubquery="1" supportAdvancedDrill="1" xr:uid="{BD280F9F-4BB3-45D2-B6EC-30C4901FB6B9}">
  <cacheSource type="external" connectionId="2"/>
  <cacheFields count="3">
    <cacheField name="[Measures].[Distinct Count of Hospital]" caption="Distinct Count of Hospital" numFmtId="0" hierarchy="31" level="32767"/>
    <cacheField name="[Agents].[Name].[Name]" caption="Name" numFmtId="0" hierarchy="2" level="1">
      <sharedItems count="15">
        <s v="Andrew West"/>
        <s v="Brandi Hernandez"/>
        <s v="Christopher Stoddard"/>
        <s v="Herbert Collins"/>
        <s v="James Magallon"/>
        <s v="Jessica West"/>
        <s v="Marie Flanagan"/>
        <s v="Maude Brown"/>
        <s v="Retha Cain"/>
        <s v="Rose Lewis"/>
        <s v="Sandra Butters"/>
        <s v="Shirley Vitela"/>
        <s v="Tam Wu"/>
        <s v="Teresa Johnson"/>
        <s v="Wayne Manning"/>
      </sharedItems>
    </cacheField>
    <cacheField name="[Sales].[Date (Month)].[Date (Month)]" caption="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9">
    <cacheHierarchy uniqueName="[Agents].[Agent]" caption="Agent" attribute="1" defaultMemberUniqueName="[Agents].[Agent].[All]" allUniqueName="[Agents].[Agent].[All]" dimensionUniqueName="[Agents]" displayFolder="" count="0" memberValueDatatype="130" unbalanced="0"/>
    <cacheHierarchy uniqueName="[Agents].[Sales Region]" caption="Sales Region" attribute="1" defaultMemberUniqueName="[Agents].[Sales Region].[All]" allUniqueName="[Agents].[Sales Region].[All]" dimensionUniqueName="[Agents]" displayFolder="" count="0" memberValueDatatype="130" unbalanced="0"/>
    <cacheHierarchy uniqueName="[Agents].[Name]" caption="Name" attribute="1" defaultMemberUniqueName="[Agents].[Name].[All]" allUniqueName="[Agents].[Name].[All]" dimensionUniqueName="[Agents]" displayFolder="" count="2" memberValueDatatype="130" unbalanced="0">
      <fieldsUsage count="2">
        <fieldUsage x="-1"/>
        <fieldUsage x="1"/>
      </fieldsUsage>
    </cacheHierarchy>
    <cacheHierarchy uniqueName="[Agents].[Base Salary]" caption="Base Salary" attribute="1" defaultMemberUniqueName="[Agents].[Base Salary].[All]" allUniqueName="[Agents].[Base Salary].[All]" dimensionUniqueName="[Agents]" displayFolder="" count="0" memberValueDatatype="20" unbalanced="0"/>
    <cacheHierarchy uniqueName="[Agents].[Sales Minimum]" caption="Sales Minimum" attribute="1" defaultMemberUniqueName="[Agents].[Sales Minimum].[All]" allUniqueName="[Agents].[Sales Minimum].[All]" dimensionUniqueName="[Agents]" displayFolder="" count="0" memberValueDatatype="20" unbalanced="0"/>
    <cacheHierarchy uniqueName="[Agents].[Commission]" caption="Commission" attribute="1" defaultMemberUniqueName="[Agents].[Commission].[All]" allUniqueName="[Agents].[Commission].[All]" dimensionUniqueName="[Agents]" displayFolder="" count="0" memberValueDatatype="5" unbalanced="0"/>
    <cacheHierarchy uniqueName="[Hospitals].[Hospital]" caption="Hospital" attribute="1" defaultMemberUniqueName="[Hospitals].[Hospital].[All]" allUniqueName="[Hospitals].[Hospital].[All]" dimensionUniqueName="[Hospitals]" displayFolder="" count="0" memberValueDatatype="130" unbalanced="0"/>
    <cacheHierarchy uniqueName="[Hospitals].[Hospital Name]" caption="Hospital Name" attribute="1" defaultMemberUniqueName="[Hospitals].[Hospital Name].[All]" allUniqueName="[Hospitals].[Hospital Name].[All]" dimensionUniqueName="[Hospitals]" displayFolder="" count="0" memberValueDatatype="130" unbalanced="0"/>
    <cacheHierarchy uniqueName="[Hospitals].[Region]" caption="Region" attribute="1" defaultMemberUniqueName="[Hospitals].[Region].[All]" allUniqueName="[Hospitals].[Region].[All]" dimensionUniqueName="[Hospitals]" displayFolder="" count="0" memberValueDatatype="130" unbalanced="0"/>
    <cacheHierarchy uniqueName="[Hospitals].[Street]" caption="Street" attribute="1" defaultMemberUniqueName="[Hospitals].[Street].[All]" allUniqueName="[Hospitals].[Street].[All]" dimensionUniqueName="[Hospitals]" displayFolder="" count="0" memberValueDatatype="130" unbalanced="0"/>
    <cacheHierarchy uniqueName="[Hospitals].[City]" caption="City" attribute="1" defaultMemberUniqueName="[Hospitals].[City].[All]" allUniqueName="[Hospitals].[City].[All]" dimensionUniqueName="[Hospitals]" displayFolder="" count="0" memberValueDatatype="130" unbalanced="0"/>
    <cacheHierarchy uniqueName="[Hospitals].[State]" caption="State" attribute="1" defaultMemberUniqueName="[Hospitals].[State].[All]" allUniqueName="[Hospitals].[State].[All]" dimensionUniqueName="[Hospitals]" displayFolder="" count="0" memberValueDatatype="130" unbalanced="0"/>
    <cacheHierarchy uniqueName="[Hospitals].[Postal Code]" caption="Postal Code" attribute="1" defaultMemberUniqueName="[Hospitals].[Postal Code].[All]" allUniqueName="[Hospitals].[Postal Code].[All]" dimensionUniqueName="[Hospitals]" displayFolder="" count="0" memberValueDatatype="130" unbalanced="0"/>
    <cacheHierarchy uniqueName="[Hospitals].[Phone]" caption="Phone" attribute="1" defaultMemberUniqueName="[Hospitals].[Phone].[All]" allUniqueName="[Hospitals].[Phone].[All]" dimensionUniqueName="[Hospital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Agent]" caption="Agent" attribute="1" defaultMemberUniqueName="[Sales].[Agent].[All]" allUniqueName="[Sales].[Agent].[All]" dimensionUniqueName="[Sales]" displayFolder="" count="0" memberValueDatatype="130" unbalanced="0"/>
    <cacheHierarchy uniqueName="[Sales].[Hospital]" caption="Hospital" attribute="1" defaultMemberUniqueName="[Sales].[Hospital].[All]" allUniqueName="[Sales].[Hospital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Units Sold]" caption="Units Sold" attribute="1" defaultMemberUniqueName="[Sales].[Units Sold].[All]" allUniqueName="[Sales].[Units Sold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6" unbalanced="0"/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2"/>
      </fieldsUsage>
    </cacheHierarchy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Base Salary]" caption="Sum of Base Salary" measure="1" displayFolder="" measureGroup="Agen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mmission]" caption="Sum of Commission" measure="1" displayFolder="" measureGroup="Agent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Minimum]" caption="Sum of Sales Minimum" measure="1" displayFolder="" measureGroup="Ag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Hospital 2]" caption="Count of Hospital 2" measure="1" displayFolder="" measureGroup="Hospita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Sale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Hospital]" caption="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Hospital]" caption="Distinct Count of Hospital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Earned Commission]" caption="Earned Commission" measure="1" displayFolder="" measureGroup="Sales" count="0"/>
    <cacheHierarchy uniqueName="[Measures].[Total Compensation]" caption="Total Compensation" measure="1" displayFolder="" measureGroup="Sales" count="0"/>
    <cacheHierarchy uniqueName="[Measures].[__XL_Count Agents]" caption="__XL_Count Agents" measure="1" displayFolder="" measureGroup="Agents" count="0" hidden="1"/>
    <cacheHierarchy uniqueName="[Measures].[__XL_Count Hospitals]" caption="__XL_Count Hospitals" measure="1" displayFolder="" measureGroup="Hospitals" count="0" hidden="1"/>
    <cacheHierarchy uniqueName="[Measures].[__XL_Count Products]" caption="__XL_Count Products" measure="1" displayFolder="" measureGroup="Products" count="0" hidden="1"/>
    <cacheHierarchy uniqueName="[Measures].[__XL_Count Sales2]" caption="__XL_Count Sales2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5">
    <dimension name="Agents" uniqueName="[Agents]" caption="Agents"/>
    <dimension name="Hospitals" uniqueName="[Hospitals]" caption="Hospital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Agents" caption="Agents"/>
    <measureGroup name="Hospitals" caption="Hospital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51.766127083334" backgroundQuery="1" createdVersion="6" refreshedVersion="6" minRefreshableVersion="3" recordCount="0" supportSubquery="1" supportAdvancedDrill="1" xr:uid="{B5177DFE-E5B8-4C49-8E6E-9C5E0E38ABC6}">
  <cacheSource type="external" connectionId="2"/>
  <cacheFields count="6">
    <cacheField name="[Agents].[Name].[Name]" caption="Name" numFmtId="0" hierarchy="2" level="1">
      <sharedItems count="15">
        <s v="Andrew West"/>
        <s v="Brandi Hernandez"/>
        <s v="Christopher Stoddard"/>
        <s v="Herbert Collins"/>
        <s v="James Magallon"/>
        <s v="Jessica West"/>
        <s v="Marie Flanagan"/>
        <s v="Maude Brown"/>
        <s v="Retha Cain"/>
        <s v="Rose Lewis"/>
        <s v="Sandra Butters"/>
        <s v="Shirley Vitela"/>
        <s v="Tam Wu"/>
        <s v="Teresa Johnson"/>
        <s v="Wayne Manning"/>
      </sharedItems>
    </cacheField>
    <cacheField name="[Measures].[Sum of Base Salary]" caption="Sum of Base Salary" numFmtId="0" hierarchy="25" level="32767"/>
    <cacheField name="[Measures].[Sum of Commission]" caption="Sum of Commission" numFmtId="0" hierarchy="26" level="32767"/>
    <cacheField name="[Measures].[Sum of Revenue]" caption="Sum of Revenue" numFmtId="0" hierarchy="29" level="32767"/>
    <cacheField name="[Measures].[Earned Commission]" caption="Earned Commission" numFmtId="0" hierarchy="32" level="32767"/>
    <cacheField name="[Measures].[Total Compensation]" caption="Total Compensation" numFmtId="0" hierarchy="33" level="32767"/>
  </cacheFields>
  <cacheHierarchies count="39">
    <cacheHierarchy uniqueName="[Agents].[Agent]" caption="Agent" attribute="1" defaultMemberUniqueName="[Agents].[Agent].[All]" allUniqueName="[Agents].[Agent].[All]" dimensionUniqueName="[Agents]" displayFolder="" count="0" memberValueDatatype="130" unbalanced="0"/>
    <cacheHierarchy uniqueName="[Agents].[Sales Region]" caption="Sales Region" attribute="1" defaultMemberUniqueName="[Agents].[Sales Region].[All]" allUniqueName="[Agents].[Sales Region].[All]" dimensionUniqueName="[Agents]" displayFolder="" count="0" memberValueDatatype="130" unbalanced="0"/>
    <cacheHierarchy uniqueName="[Agents].[Name]" caption="Name" attribute="1" defaultMemberUniqueName="[Agents].[Name].[All]" allUniqueName="[Agents].[Name].[All]" dimensionUniqueName="[Agents]" displayFolder="" count="2" memberValueDatatype="130" unbalanced="0">
      <fieldsUsage count="2">
        <fieldUsage x="-1"/>
        <fieldUsage x="0"/>
      </fieldsUsage>
    </cacheHierarchy>
    <cacheHierarchy uniqueName="[Agents].[Base Salary]" caption="Base Salary" attribute="1" defaultMemberUniqueName="[Agents].[Base Salary].[All]" allUniqueName="[Agents].[Base Salary].[All]" dimensionUniqueName="[Agents]" displayFolder="" count="0" memberValueDatatype="20" unbalanced="0"/>
    <cacheHierarchy uniqueName="[Agents].[Sales Minimum]" caption="Sales Minimum" attribute="1" defaultMemberUniqueName="[Agents].[Sales Minimum].[All]" allUniqueName="[Agents].[Sales Minimum].[All]" dimensionUniqueName="[Agents]" displayFolder="" count="0" memberValueDatatype="20" unbalanced="0"/>
    <cacheHierarchy uniqueName="[Agents].[Commission]" caption="Commission" attribute="1" defaultMemberUniqueName="[Agents].[Commission].[All]" allUniqueName="[Agents].[Commission].[All]" dimensionUniqueName="[Agents]" displayFolder="" count="0" memberValueDatatype="5" unbalanced="0"/>
    <cacheHierarchy uniqueName="[Hospitals].[Hospital]" caption="Hospital" attribute="1" defaultMemberUniqueName="[Hospitals].[Hospital].[All]" allUniqueName="[Hospitals].[Hospital].[All]" dimensionUniqueName="[Hospitals]" displayFolder="" count="0" memberValueDatatype="130" unbalanced="0"/>
    <cacheHierarchy uniqueName="[Hospitals].[Hospital Name]" caption="Hospital Name" attribute="1" defaultMemberUniqueName="[Hospitals].[Hospital Name].[All]" allUniqueName="[Hospitals].[Hospital Name].[All]" dimensionUniqueName="[Hospitals]" displayFolder="" count="0" memberValueDatatype="130" unbalanced="0"/>
    <cacheHierarchy uniqueName="[Hospitals].[Region]" caption="Region" attribute="1" defaultMemberUniqueName="[Hospitals].[Region].[All]" allUniqueName="[Hospitals].[Region].[All]" dimensionUniqueName="[Hospitals]" displayFolder="" count="0" memberValueDatatype="130" unbalanced="0"/>
    <cacheHierarchy uniqueName="[Hospitals].[Street]" caption="Street" attribute="1" defaultMemberUniqueName="[Hospitals].[Street].[All]" allUniqueName="[Hospitals].[Street].[All]" dimensionUniqueName="[Hospitals]" displayFolder="" count="0" memberValueDatatype="130" unbalanced="0"/>
    <cacheHierarchy uniqueName="[Hospitals].[City]" caption="City" attribute="1" defaultMemberUniqueName="[Hospitals].[City].[All]" allUniqueName="[Hospitals].[City].[All]" dimensionUniqueName="[Hospitals]" displayFolder="" count="0" memberValueDatatype="130" unbalanced="0"/>
    <cacheHierarchy uniqueName="[Hospitals].[State]" caption="State" attribute="1" defaultMemberUniqueName="[Hospitals].[State].[All]" allUniqueName="[Hospitals].[State].[All]" dimensionUniqueName="[Hospitals]" displayFolder="" count="0" memberValueDatatype="130" unbalanced="0"/>
    <cacheHierarchy uniqueName="[Hospitals].[Postal Code]" caption="Postal Code" attribute="1" defaultMemberUniqueName="[Hospitals].[Postal Code].[All]" allUniqueName="[Hospitals].[Postal Code].[All]" dimensionUniqueName="[Hospitals]" displayFolder="" count="0" memberValueDatatype="130" unbalanced="0"/>
    <cacheHierarchy uniqueName="[Hospitals].[Phone]" caption="Phone" attribute="1" defaultMemberUniqueName="[Hospitals].[Phone].[All]" allUniqueName="[Hospitals].[Phone].[All]" dimensionUniqueName="[Hospital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Agent]" caption="Agent" attribute="1" defaultMemberUniqueName="[Sales].[Agent].[All]" allUniqueName="[Sales].[Agent].[All]" dimensionUniqueName="[Sales]" displayFolder="" count="0" memberValueDatatype="130" unbalanced="0"/>
    <cacheHierarchy uniqueName="[Sales].[Hospital]" caption="Hospital" attribute="1" defaultMemberUniqueName="[Sales].[Hospital].[All]" allUniqueName="[Sales].[Hospital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Units Sold]" caption="Units Sold" attribute="1" defaultMemberUniqueName="[Sales].[Units Sold].[All]" allUniqueName="[Sales].[Units Sold].[All]" dimensionUniqueName="[Sales]" displayFolder="" count="0" memberValueDatatype="20" unbalanced="0"/>
    <cacheHierarchy uniqueName="[Sales].[Revenue]" caption="Revenue" attribute="1" defaultMemberUniqueName="[Sales].[Revenue].[All]" allUniqueName="[Sales].[Revenue].[All]" dimensionUniqueName="[Sales]" displayFolder="" count="0" memberValueDatatype="6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Sum of Base Salary]" caption="Sum of Base Salary" measure="1" displayFolder="" measureGroup="Agen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ommission]" caption="Sum of Commission" measure="1" displayFolder="" measureGroup="Ag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ales Minimum]" caption="Sum of Sales Minimum" measure="1" displayFolder="" measureGroup="Agent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Hospital 2]" caption="Count of Hospital 2" measure="1" displayFolder="" measureGroup="Hospital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venue]" caption="Sum of Revenue" measure="1" displayFolder="" measureGroup="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Hospital]" caption="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Distinct Count of Hospital]" caption="Distinct Count of Hospital" measure="1" displayFolder="" measureGroup="Sales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Earned Commission]" caption="Earned Commission" measure="1" displayFolder="" measureGroup="Sales" count="0" oneField="1">
      <fieldsUsage count="1">
        <fieldUsage x="4"/>
      </fieldsUsage>
    </cacheHierarchy>
    <cacheHierarchy uniqueName="[Measures].[Total Compensation]" caption="Total Compensation" measure="1" displayFolder="" measureGroup="Sales" count="0" oneField="1">
      <fieldsUsage count="1">
        <fieldUsage x="5"/>
      </fieldsUsage>
    </cacheHierarchy>
    <cacheHierarchy uniqueName="[Measures].[__XL_Count Agents]" caption="__XL_Count Agents" measure="1" displayFolder="" measureGroup="Agents" count="0" hidden="1"/>
    <cacheHierarchy uniqueName="[Measures].[__XL_Count Hospitals]" caption="__XL_Count Hospitals" measure="1" displayFolder="" measureGroup="Hospitals" count="0" hidden="1"/>
    <cacheHierarchy uniqueName="[Measures].[__XL_Count Products]" caption="__XL_Count Products" measure="1" displayFolder="" measureGroup="Products" count="0" hidden="1"/>
    <cacheHierarchy uniqueName="[Measures].[__XL_Count Sales2]" caption="__XL_Count Sales2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5">
    <dimension name="Agents" uniqueName="[Agents]" caption="Agents"/>
    <dimension name="Hospitals" uniqueName="[Hospitals]" caption="Hospital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Agents" caption="Agents"/>
    <measureGroup name="Hospitals" caption="Hospital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68B44-160E-42C2-81F5-533D3900253B}" name="Revenue by Month" cacheId="5" applyNumberFormats="0" applyBorderFormats="0" applyFontFormats="0" applyPatternFormats="0" applyAlignmentFormats="0" applyWidthHeightFormats="1" dataCaption="Values" tag="0fd88026-ddc8-4afb-b5db-16ff4c39fa70" updatedVersion="6" minRefreshableVersion="3" useAutoFormatting="1" rowGrandTotals="0" colGrandTotals="0" itemPrintTitles="1" createdVersion="6" indent="0" compact="0" compactData="0" multipleFieldFilters="0">
  <location ref="B4:F16" firstHeaderRow="0" firstDataRow="1" firstDataCol="1"/>
  <pivotFields count="5">
    <pivotField axis="axisRow" compact="0" allDrilled="1" outline="0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compact="0" outline="0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ank" fld="1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Total Revenue" fld="2" baseField="0" baseItem="0">
      <extLst>
        <ext xmlns:x14="http://schemas.microsoft.com/office/spreadsheetml/2009/9/main" uri="{E15A36E0-9728-4e99-A89B-3F7291B0FE68}">
          <x14:dataField sourceField="1" uniqueName="[__Xl2].[Measures].[Sum of Revenue]"/>
        </ext>
      </extLst>
    </dataField>
    <dataField name="Running Total" fld="3" showDataAs="runTotal" baseField="0" baseItem="0">
      <extLst>
        <ext xmlns:x14="http://schemas.microsoft.com/office/spreadsheetml/2009/9/main" uri="{E15A36E0-9728-4e99-A89B-3F7291B0FE68}">
          <x14:dataField sourceField="1" uniqueName="[__Xl3].[Measures].[Sum of Revenue]"/>
        </ext>
      </extLst>
    </dataField>
    <dataField name="Percentage" fld="4" baseField="0" baseItem="0" numFmtId="10">
      <extLst>
        <ext xmlns:x14="http://schemas.microsoft.com/office/spreadsheetml/2009/9/main" uri="{E15A36E0-9728-4e99-A89B-3F7291B0FE68}">
          <x14:dataField pivotShowAs="percentOfRunningTotal" sourceField="1" uniqueName="[__Xl4].[Measures].[Sum of Revenue]"/>
        </ext>
      </extLst>
    </dataField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ercentage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5B517-F6E0-40FA-8053-E1D2AA1F5DDD}" name="Revenue by Region" cacheId="6" applyNumberFormats="0" applyBorderFormats="0" applyFontFormats="0" applyPatternFormats="0" applyAlignmentFormats="0" applyWidthHeightFormats="1" dataCaption="Values" tag="8a6a6693-d124-494c-a318-d6828d956fed" updatedVersion="6" minRefreshableVersion="3" useAutoFormatting="1" itemPrintTitles="1" createdVersion="6" indent="0" compact="0" outline="1" outlineData="1" compactData="0" multipleFieldFilters="0">
  <location ref="B4:E25" firstHeaderRow="0" firstDataRow="1" firstDataCol="2"/>
  <pivotFields count="4">
    <pivotField axis="axisRow" compact="0" allDrilled="1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allDrilled="1" showAll="0" sortType="descending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1"/>
  </rowFields>
  <rowItems count="21">
    <i>
      <x v="2"/>
    </i>
    <i r="1">
      <x v="8"/>
    </i>
    <i r="1">
      <x v="7"/>
    </i>
    <i r="1">
      <x v="6"/>
    </i>
    <i>
      <x v="4"/>
    </i>
    <i r="1">
      <x v="14"/>
    </i>
    <i r="1">
      <x v="13"/>
    </i>
    <i r="1">
      <x v="12"/>
    </i>
    <i>
      <x/>
    </i>
    <i r="1">
      <x v="1"/>
    </i>
    <i r="1">
      <x/>
    </i>
    <i r="1">
      <x v="2"/>
    </i>
    <i>
      <x v="1"/>
    </i>
    <i r="1">
      <x v="4"/>
    </i>
    <i r="1">
      <x v="3"/>
    </i>
    <i r="1">
      <x v="5"/>
    </i>
    <i>
      <x v="3"/>
    </i>
    <i r="1">
      <x v="11"/>
    </i>
    <i r="1">
      <x v="10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2" baseField="0" baseItem="0"/>
    <dataField name="Percent" fld="3" baseField="0" baseItem="0" numFmtId="10">
      <extLst>
        <ext xmlns:x14="http://schemas.microsoft.com/office/spreadsheetml/2009/9/main" uri="{E15A36E0-9728-4e99-A89B-3F7291B0FE68}">
          <x14:dataField pivotShowAs="percentOfParentRow" sourceField="2" uniqueName="[__Xl2].[Measures].[Sum of Revenue]"/>
        </ext>
      </extLst>
    </dataField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ercen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en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75BB7-4158-4C81-8337-9539F3672837}" name="Clients" cacheId="7" applyNumberFormats="0" applyBorderFormats="0" applyFontFormats="0" applyPatternFormats="0" applyAlignmentFormats="0" applyWidthHeightFormats="1" dataCaption="Values" missingCaption="0" tag="a443f172-bebc-4483-9200-081c329699eb" updatedVersion="6" minRefreshableVersion="3" useAutoFormatting="1" itemPrintTitles="1" createdVersion="6" indent="0" compact="0" compactData="0" multipleFieldFilters="0">
  <location ref="B4:O21" firstHeaderRow="1" firstDataRow="2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lients" fld="0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lient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Ag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1CDDC-2C0F-4BCC-8DCD-13AFF071CBDF}" name="Commissions" cacheId="8" applyNumberFormats="0" applyBorderFormats="0" applyFontFormats="0" applyPatternFormats="0" applyAlignmentFormats="0" applyWidthHeightFormats="1" dataCaption="Values" tag="0ac9ea76-db63-4a1e-b70d-23d3e5d4e916" updatedVersion="6" minRefreshableVersion="3" useAutoFormatting="1" rowGrandTotals="0" colGrandTotals="0" itemPrintTitles="1" createdVersion="6" indent="0" compact="0" compactData="0" multipleFieldFilters="0">
  <location ref="B4:G19" firstHeaderRow="0" firstDataRow="1" firstDataCol="1"/>
  <pivotFields count="6">
    <pivotField axis="axisRow" compact="0" allDrilled="1" outline="0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5">
    <i>
      <x v="11"/>
    </i>
    <i>
      <x v="13"/>
    </i>
    <i>
      <x v="2"/>
    </i>
    <i>
      <x v="4"/>
    </i>
    <i>
      <x v="9"/>
    </i>
    <i>
      <x v="1"/>
    </i>
    <i>
      <x v="10"/>
    </i>
    <i>
      <x v="5"/>
    </i>
    <i>
      <x v="6"/>
    </i>
    <i>
      <x v="12"/>
    </i>
    <i>
      <x v="7"/>
    </i>
    <i>
      <x v="8"/>
    </i>
    <i>
      <x v="3"/>
    </i>
    <i>
      <x/>
    </i>
    <i>
      <x v="1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ase Salary " fld="1" baseField="0" baseItem="0"/>
    <dataField name="Commission Rate" fld="2" baseField="0" baseItem="0"/>
    <dataField name="Revenue Generated" fld="3" baseField="0" baseItem="0"/>
    <dataField fld="4" subtotal="count" baseField="0" baseItem="0"/>
    <dataField fld="5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ase Salary "/>
    <pivotHierarchy dragToData="1" caption="Commission Rate"/>
    <pivotHierarchy dragToData="1"/>
    <pivotHierarchy dragToData="1"/>
    <pivotHierarchy dragToData="1" caption="Revenue Generate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gent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1582-07B3-4414-9BAC-ABED1DE0ED64}">
  <dimension ref="A1:B5"/>
  <sheetViews>
    <sheetView tabSelected="1" zoomScale="120" zoomScaleNormal="120" workbookViewId="0">
      <selection activeCell="B4" sqref="B4"/>
    </sheetView>
  </sheetViews>
  <sheetFormatPr defaultRowHeight="15" x14ac:dyDescent="0.25"/>
  <cols>
    <col min="2" max="2" width="44.5703125" customWidth="1"/>
  </cols>
  <sheetData>
    <row r="1" spans="1:2" ht="35.25" x14ac:dyDescent="0.5">
      <c r="A1" s="10" t="s">
        <v>29</v>
      </c>
    </row>
    <row r="3" spans="1:2" x14ac:dyDescent="0.25">
      <c r="A3" s="7" t="s">
        <v>53</v>
      </c>
      <c r="B3" s="8" t="s">
        <v>110</v>
      </c>
    </row>
    <row r="4" spans="1:2" x14ac:dyDescent="0.25">
      <c r="A4" s="7" t="s">
        <v>0</v>
      </c>
      <c r="B4" s="9">
        <v>45658</v>
      </c>
    </row>
    <row r="5" spans="1:2" ht="30" x14ac:dyDescent="0.25">
      <c r="A5" s="7" t="s">
        <v>54</v>
      </c>
      <c r="B5" s="8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760C-1F0D-467D-A131-5477A1D90A70}">
  <dimension ref="B1:F16"/>
  <sheetViews>
    <sheetView zoomScale="120" zoomScaleNormal="120" workbookViewId="0">
      <selection activeCell="F4" sqref="F4"/>
    </sheetView>
  </sheetViews>
  <sheetFormatPr defaultRowHeight="15" x14ac:dyDescent="0.25"/>
  <cols>
    <col min="1" max="1" width="3" customWidth="1"/>
    <col min="2" max="2" width="15.42578125" bestFit="1" customWidth="1"/>
    <col min="3" max="3" width="5.5703125" bestFit="1" customWidth="1"/>
    <col min="4" max="4" width="14.140625" bestFit="1" customWidth="1"/>
    <col min="5" max="5" width="14.5703125" bestFit="1" customWidth="1"/>
    <col min="6" max="6" width="11.28515625" bestFit="1" customWidth="1"/>
  </cols>
  <sheetData>
    <row r="1" spans="2:6" ht="35.25" x14ac:dyDescent="0.5">
      <c r="B1" s="10" t="s">
        <v>29</v>
      </c>
    </row>
    <row r="2" spans="2:6" ht="18.75" x14ac:dyDescent="0.3">
      <c r="B2" s="1" t="s">
        <v>55</v>
      </c>
    </row>
    <row r="4" spans="2:6" x14ac:dyDescent="0.25">
      <c r="B4" s="12" t="s">
        <v>66</v>
      </c>
      <c r="C4" t="s">
        <v>80</v>
      </c>
      <c r="D4" t="s">
        <v>81</v>
      </c>
      <c r="E4" t="s">
        <v>82</v>
      </c>
      <c r="F4" t="s">
        <v>83</v>
      </c>
    </row>
    <row r="5" spans="2:6" x14ac:dyDescent="0.25">
      <c r="B5" t="s">
        <v>67</v>
      </c>
      <c r="C5" s="13">
        <v>6</v>
      </c>
      <c r="D5" s="15">
        <v>1359537</v>
      </c>
      <c r="E5" s="15">
        <v>1359537</v>
      </c>
      <c r="F5" s="14">
        <v>7.3704724195157639E-2</v>
      </c>
    </row>
    <row r="6" spans="2:6" x14ac:dyDescent="0.25">
      <c r="B6" t="s">
        <v>68</v>
      </c>
      <c r="C6" s="13">
        <v>8</v>
      </c>
      <c r="D6" s="15">
        <v>1219055</v>
      </c>
      <c r="E6" s="15">
        <v>2578592</v>
      </c>
      <c r="F6" s="14">
        <v>0.13979348276055742</v>
      </c>
    </row>
    <row r="7" spans="2:6" x14ac:dyDescent="0.25">
      <c r="B7" t="s">
        <v>69</v>
      </c>
      <c r="C7" s="13">
        <v>5</v>
      </c>
      <c r="D7" s="15">
        <v>1566517</v>
      </c>
      <c r="E7" s="15">
        <v>4145109</v>
      </c>
      <c r="F7" s="14">
        <v>0.22471923574265776</v>
      </c>
    </row>
    <row r="8" spans="2:6" x14ac:dyDescent="0.25">
      <c r="B8" t="s">
        <v>70</v>
      </c>
      <c r="C8" s="13">
        <v>3</v>
      </c>
      <c r="D8" s="15">
        <v>2007674</v>
      </c>
      <c r="E8" s="15">
        <v>6152783</v>
      </c>
      <c r="F8" s="14">
        <v>0.33356148015659348</v>
      </c>
    </row>
    <row r="9" spans="2:6" x14ac:dyDescent="0.25">
      <c r="B9" t="s">
        <v>71</v>
      </c>
      <c r="C9" s="13">
        <v>2</v>
      </c>
      <c r="D9" s="15">
        <v>2587138</v>
      </c>
      <c r="E9" s="15">
        <v>8739921</v>
      </c>
      <c r="F9" s="14">
        <v>0.47381826812544742</v>
      </c>
    </row>
    <row r="10" spans="2:6" x14ac:dyDescent="0.25">
      <c r="B10" t="s">
        <v>72</v>
      </c>
      <c r="C10" s="13">
        <v>1</v>
      </c>
      <c r="D10" s="15">
        <v>2867031</v>
      </c>
      <c r="E10" s="15">
        <v>11606952</v>
      </c>
      <c r="F10" s="14">
        <v>0.62924892511673713</v>
      </c>
    </row>
    <row r="11" spans="2:6" x14ac:dyDescent="0.25">
      <c r="B11" t="s">
        <v>73</v>
      </c>
      <c r="C11" s="13">
        <v>4</v>
      </c>
      <c r="D11" s="15">
        <v>1756823</v>
      </c>
      <c r="E11" s="15">
        <v>13363775</v>
      </c>
      <c r="F11" s="14">
        <v>0.72449175754771133</v>
      </c>
    </row>
    <row r="12" spans="2:6" x14ac:dyDescent="0.25">
      <c r="B12" t="s">
        <v>74</v>
      </c>
      <c r="C12" s="13">
        <v>9</v>
      </c>
      <c r="D12" s="15">
        <v>1017489</v>
      </c>
      <c r="E12" s="15">
        <v>14381264</v>
      </c>
      <c r="F12" s="14">
        <v>0.77965299708485281</v>
      </c>
    </row>
    <row r="13" spans="2:6" x14ac:dyDescent="0.25">
      <c r="B13" t="s">
        <v>75</v>
      </c>
      <c r="C13" s="13">
        <v>11</v>
      </c>
      <c r="D13" s="15">
        <v>905277</v>
      </c>
      <c r="E13" s="15">
        <v>15286541</v>
      </c>
      <c r="F13" s="14">
        <v>0.82873087551347946</v>
      </c>
    </row>
    <row r="14" spans="2:6" x14ac:dyDescent="0.25">
      <c r="B14" t="s">
        <v>76</v>
      </c>
      <c r="C14" s="13">
        <v>7</v>
      </c>
      <c r="D14" s="15">
        <v>1313471</v>
      </c>
      <c r="E14" s="15">
        <v>16600012</v>
      </c>
      <c r="F14" s="14">
        <v>0.89993821874381297</v>
      </c>
    </row>
    <row r="15" spans="2:6" x14ac:dyDescent="0.25">
      <c r="B15" t="s">
        <v>77</v>
      </c>
      <c r="C15" s="13">
        <v>10</v>
      </c>
      <c r="D15" s="15">
        <v>1008754</v>
      </c>
      <c r="E15" s="15">
        <v>17608766</v>
      </c>
      <c r="F15" s="14">
        <v>0.95462590679552617</v>
      </c>
    </row>
    <row r="16" spans="2:6" x14ac:dyDescent="0.25">
      <c r="B16" t="s">
        <v>78</v>
      </c>
      <c r="C16" s="13">
        <v>12</v>
      </c>
      <c r="D16" s="15">
        <v>836958</v>
      </c>
      <c r="E16" s="15">
        <v>18445724</v>
      </c>
      <c r="F16" s="14">
        <v>1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7422-2B84-449C-B088-DDE958109080}">
  <dimension ref="B1:E25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  <col min="2" max="2" width="24.28515625" bestFit="1" customWidth="1"/>
    <col min="3" max="3" width="20.140625" bestFit="1" customWidth="1"/>
    <col min="4" max="4" width="14.85546875" bestFit="1" customWidth="1"/>
    <col min="5" max="5" width="8.5703125" bestFit="1" customWidth="1"/>
  </cols>
  <sheetData>
    <row r="1" spans="2:5" ht="35.25" x14ac:dyDescent="0.5">
      <c r="B1" s="10" t="s">
        <v>29</v>
      </c>
    </row>
    <row r="2" spans="2:5" ht="18.75" x14ac:dyDescent="0.3">
      <c r="B2" s="1" t="s">
        <v>56</v>
      </c>
    </row>
    <row r="4" spans="2:5" x14ac:dyDescent="0.25">
      <c r="B4" s="12" t="s">
        <v>5</v>
      </c>
      <c r="C4" s="12" t="s">
        <v>6</v>
      </c>
      <c r="D4" t="s">
        <v>81</v>
      </c>
      <c r="E4" t="s">
        <v>105</v>
      </c>
    </row>
    <row r="5" spans="2:5" x14ac:dyDescent="0.25">
      <c r="B5" t="s">
        <v>86</v>
      </c>
      <c r="D5" s="15">
        <v>4341601</v>
      </c>
      <c r="E5" s="14">
        <v>0.23537167746844742</v>
      </c>
    </row>
    <row r="6" spans="2:5" x14ac:dyDescent="0.25">
      <c r="C6" t="s">
        <v>98</v>
      </c>
      <c r="D6" s="15">
        <v>2318229</v>
      </c>
      <c r="E6" s="14">
        <v>0.5339571738628216</v>
      </c>
    </row>
    <row r="7" spans="2:5" x14ac:dyDescent="0.25">
      <c r="C7" t="s">
        <v>97</v>
      </c>
      <c r="D7" s="15">
        <v>1028320</v>
      </c>
      <c r="E7" s="14">
        <v>0.23685271861693416</v>
      </c>
    </row>
    <row r="8" spans="2:5" x14ac:dyDescent="0.25">
      <c r="C8" t="s">
        <v>96</v>
      </c>
      <c r="D8" s="15">
        <v>995052</v>
      </c>
      <c r="E8" s="14">
        <v>0.22919010752024427</v>
      </c>
    </row>
    <row r="9" spans="2:5" x14ac:dyDescent="0.25">
      <c r="B9" t="s">
        <v>88</v>
      </c>
      <c r="D9" s="15">
        <v>4241675</v>
      </c>
      <c r="E9" s="14">
        <v>0.22995437858660359</v>
      </c>
    </row>
    <row r="10" spans="2:5" x14ac:dyDescent="0.25">
      <c r="C10" t="s">
        <v>104</v>
      </c>
      <c r="D10" s="15">
        <v>1921060</v>
      </c>
      <c r="E10" s="14">
        <v>0.45290127131380881</v>
      </c>
    </row>
    <row r="11" spans="2:5" x14ac:dyDescent="0.25">
      <c r="C11" t="s">
        <v>103</v>
      </c>
      <c r="D11" s="15">
        <v>1229540</v>
      </c>
      <c r="E11" s="14">
        <v>0.28987133620562633</v>
      </c>
    </row>
    <row r="12" spans="2:5" x14ac:dyDescent="0.25">
      <c r="C12" t="s">
        <v>102</v>
      </c>
      <c r="D12" s="15">
        <v>1091075</v>
      </c>
      <c r="E12" s="14">
        <v>0.25722739248056486</v>
      </c>
    </row>
    <row r="13" spans="2:5" x14ac:dyDescent="0.25">
      <c r="B13" t="s">
        <v>84</v>
      </c>
      <c r="D13" s="15">
        <v>3787101</v>
      </c>
      <c r="E13" s="14">
        <v>0.20531050990462613</v>
      </c>
    </row>
    <row r="14" spans="2:5" x14ac:dyDescent="0.25">
      <c r="C14" t="s">
        <v>91</v>
      </c>
      <c r="D14" s="15">
        <v>1561140</v>
      </c>
      <c r="E14" s="14">
        <v>0.41222560475677833</v>
      </c>
    </row>
    <row r="15" spans="2:5" x14ac:dyDescent="0.25">
      <c r="C15" t="s">
        <v>90</v>
      </c>
      <c r="D15" s="15">
        <v>1190686</v>
      </c>
      <c r="E15" s="14">
        <v>0.31440566280117693</v>
      </c>
    </row>
    <row r="16" spans="2:5" x14ac:dyDescent="0.25">
      <c r="C16" t="s">
        <v>92</v>
      </c>
      <c r="D16" s="15">
        <v>1035275</v>
      </c>
      <c r="E16" s="14">
        <v>0.27336873244204474</v>
      </c>
    </row>
    <row r="17" spans="2:5" x14ac:dyDescent="0.25">
      <c r="B17" t="s">
        <v>85</v>
      </c>
      <c r="D17" s="15">
        <v>3758364</v>
      </c>
      <c r="E17" s="14">
        <v>0.20375258786263961</v>
      </c>
    </row>
    <row r="18" spans="2:5" x14ac:dyDescent="0.25">
      <c r="C18" t="s">
        <v>94</v>
      </c>
      <c r="D18" s="15">
        <v>1577753</v>
      </c>
      <c r="E18" s="14">
        <v>0.41979781628389373</v>
      </c>
    </row>
    <row r="19" spans="2:5" x14ac:dyDescent="0.25">
      <c r="C19" t="s">
        <v>93</v>
      </c>
      <c r="D19" s="15">
        <v>1450881</v>
      </c>
      <c r="E19" s="14">
        <v>0.38604057510129408</v>
      </c>
    </row>
    <row r="20" spans="2:5" x14ac:dyDescent="0.25">
      <c r="C20" t="s">
        <v>95</v>
      </c>
      <c r="D20" s="15">
        <v>729730</v>
      </c>
      <c r="E20" s="14">
        <v>0.19416160861481219</v>
      </c>
    </row>
    <row r="21" spans="2:5" x14ac:dyDescent="0.25">
      <c r="B21" t="s">
        <v>87</v>
      </c>
      <c r="D21" s="15">
        <v>2316983</v>
      </c>
      <c r="E21" s="14">
        <v>0.12561084617768323</v>
      </c>
    </row>
    <row r="22" spans="2:5" x14ac:dyDescent="0.25">
      <c r="C22" t="s">
        <v>101</v>
      </c>
      <c r="D22" s="15">
        <v>898330</v>
      </c>
      <c r="E22" s="14">
        <v>0.38771540404051302</v>
      </c>
    </row>
    <row r="23" spans="2:5" x14ac:dyDescent="0.25">
      <c r="C23" t="s">
        <v>100</v>
      </c>
      <c r="D23" s="15">
        <v>749874</v>
      </c>
      <c r="E23" s="14">
        <v>0.3236424263794771</v>
      </c>
    </row>
    <row r="24" spans="2:5" x14ac:dyDescent="0.25">
      <c r="C24" t="s">
        <v>99</v>
      </c>
      <c r="D24" s="15">
        <v>668779</v>
      </c>
      <c r="E24" s="14">
        <v>0.28864216958000988</v>
      </c>
    </row>
    <row r="25" spans="2:5" x14ac:dyDescent="0.25">
      <c r="B25" t="s">
        <v>89</v>
      </c>
      <c r="D25" s="15">
        <v>18445724</v>
      </c>
      <c r="E25" s="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6018-4902-4EC9-B206-A342D42C310A}">
  <dimension ref="B1:O21"/>
  <sheetViews>
    <sheetView zoomScale="120" zoomScaleNormal="120" workbookViewId="0">
      <selection activeCell="B4" sqref="B4"/>
    </sheetView>
  </sheetViews>
  <sheetFormatPr defaultRowHeight="15" x14ac:dyDescent="0.25"/>
  <cols>
    <col min="1" max="1" width="3" customWidth="1"/>
    <col min="2" max="2" width="20.140625" bestFit="1" customWidth="1"/>
    <col min="3" max="14" width="15.42578125" bestFit="1" customWidth="1"/>
    <col min="15" max="15" width="11.5703125" bestFit="1" customWidth="1"/>
  </cols>
  <sheetData>
    <row r="1" spans="2:15" ht="35.25" x14ac:dyDescent="0.5">
      <c r="B1" s="10" t="s">
        <v>29</v>
      </c>
    </row>
    <row r="2" spans="2:15" ht="18.75" x14ac:dyDescent="0.3">
      <c r="B2" s="1" t="s">
        <v>60</v>
      </c>
    </row>
    <row r="4" spans="2:15" x14ac:dyDescent="0.25">
      <c r="B4" s="12" t="s">
        <v>106</v>
      </c>
      <c r="C4" s="12" t="s">
        <v>66</v>
      </c>
    </row>
    <row r="5" spans="2:15" x14ac:dyDescent="0.25">
      <c r="B5" s="12" t="s">
        <v>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89</v>
      </c>
    </row>
    <row r="6" spans="2:15" x14ac:dyDescent="0.25">
      <c r="B6" t="s">
        <v>99</v>
      </c>
      <c r="C6" s="13">
        <v>0</v>
      </c>
      <c r="D6" s="13">
        <v>2</v>
      </c>
      <c r="E6" s="13">
        <v>2</v>
      </c>
      <c r="F6" s="13">
        <v>5</v>
      </c>
      <c r="G6" s="13">
        <v>4</v>
      </c>
      <c r="H6" s="13">
        <v>3</v>
      </c>
      <c r="I6" s="13">
        <v>1</v>
      </c>
      <c r="J6" s="13">
        <v>0</v>
      </c>
      <c r="K6" s="13">
        <v>2</v>
      </c>
      <c r="L6" s="13">
        <v>3</v>
      </c>
      <c r="M6" s="13">
        <v>1</v>
      </c>
      <c r="N6" s="13">
        <v>0</v>
      </c>
      <c r="O6" s="13">
        <v>23</v>
      </c>
    </row>
    <row r="7" spans="2:15" x14ac:dyDescent="0.25">
      <c r="B7" t="s">
        <v>90</v>
      </c>
      <c r="C7" s="13">
        <v>2</v>
      </c>
      <c r="D7" s="13">
        <v>5</v>
      </c>
      <c r="E7" s="13">
        <v>3</v>
      </c>
      <c r="F7" s="13">
        <v>7</v>
      </c>
      <c r="G7" s="13">
        <v>7</v>
      </c>
      <c r="H7" s="13">
        <v>6</v>
      </c>
      <c r="I7" s="13">
        <v>4</v>
      </c>
      <c r="J7" s="13">
        <v>1</v>
      </c>
      <c r="K7" s="13">
        <v>1</v>
      </c>
      <c r="L7" s="13">
        <v>4</v>
      </c>
      <c r="M7" s="13">
        <v>3</v>
      </c>
      <c r="N7" s="13">
        <v>3</v>
      </c>
      <c r="O7" s="13">
        <v>46</v>
      </c>
    </row>
    <row r="8" spans="2:15" x14ac:dyDescent="0.25">
      <c r="B8" t="s">
        <v>91</v>
      </c>
      <c r="C8" s="13">
        <v>7</v>
      </c>
      <c r="D8" s="13">
        <v>4</v>
      </c>
      <c r="E8" s="13">
        <v>2</v>
      </c>
      <c r="F8" s="13">
        <v>3</v>
      </c>
      <c r="G8" s="13">
        <v>4</v>
      </c>
      <c r="H8" s="13">
        <v>10</v>
      </c>
      <c r="I8" s="13">
        <v>6</v>
      </c>
      <c r="J8" s="13">
        <v>2</v>
      </c>
      <c r="K8" s="13">
        <v>2</v>
      </c>
      <c r="L8" s="13">
        <v>4</v>
      </c>
      <c r="M8" s="13">
        <v>5</v>
      </c>
      <c r="N8" s="13">
        <v>5</v>
      </c>
      <c r="O8" s="13">
        <v>54</v>
      </c>
    </row>
    <row r="9" spans="2:15" x14ac:dyDescent="0.25">
      <c r="B9" t="s">
        <v>100</v>
      </c>
      <c r="C9" s="13">
        <v>3</v>
      </c>
      <c r="D9" s="13">
        <v>0</v>
      </c>
      <c r="E9" s="13">
        <v>4</v>
      </c>
      <c r="F9" s="13">
        <v>4</v>
      </c>
      <c r="G9" s="13">
        <v>6</v>
      </c>
      <c r="H9" s="13">
        <v>3</v>
      </c>
      <c r="I9" s="13">
        <v>2</v>
      </c>
      <c r="J9" s="13">
        <v>2</v>
      </c>
      <c r="K9" s="13">
        <v>3</v>
      </c>
      <c r="L9" s="13">
        <v>2</v>
      </c>
      <c r="M9" s="13">
        <v>1</v>
      </c>
      <c r="N9" s="13">
        <v>0</v>
      </c>
      <c r="O9" s="13">
        <v>30</v>
      </c>
    </row>
    <row r="10" spans="2:15" x14ac:dyDescent="0.25">
      <c r="B10" t="s">
        <v>93</v>
      </c>
      <c r="C10" s="13">
        <v>5</v>
      </c>
      <c r="D10" s="13">
        <v>4</v>
      </c>
      <c r="E10" s="13">
        <v>7</v>
      </c>
      <c r="F10" s="13">
        <v>4</v>
      </c>
      <c r="G10" s="13">
        <v>8</v>
      </c>
      <c r="H10" s="13">
        <v>8</v>
      </c>
      <c r="I10" s="13">
        <v>5</v>
      </c>
      <c r="J10" s="13">
        <v>4</v>
      </c>
      <c r="K10" s="13">
        <v>3</v>
      </c>
      <c r="L10" s="13">
        <v>1</v>
      </c>
      <c r="M10" s="13">
        <v>1</v>
      </c>
      <c r="N10" s="13">
        <v>1</v>
      </c>
      <c r="O10" s="13">
        <v>51</v>
      </c>
    </row>
    <row r="11" spans="2:15" x14ac:dyDescent="0.25">
      <c r="B11" t="s">
        <v>101</v>
      </c>
      <c r="C11" s="13">
        <v>1</v>
      </c>
      <c r="D11" s="13">
        <v>4</v>
      </c>
      <c r="E11" s="13">
        <v>0</v>
      </c>
      <c r="F11" s="13">
        <v>3</v>
      </c>
      <c r="G11" s="13">
        <v>3</v>
      </c>
      <c r="H11" s="13">
        <v>3</v>
      </c>
      <c r="I11" s="13">
        <v>3</v>
      </c>
      <c r="J11" s="13">
        <v>4</v>
      </c>
      <c r="K11" s="13">
        <v>2</v>
      </c>
      <c r="L11" s="13">
        <v>3</v>
      </c>
      <c r="M11" s="13">
        <v>2</v>
      </c>
      <c r="N11" s="13">
        <v>3</v>
      </c>
      <c r="O11" s="13">
        <v>31</v>
      </c>
    </row>
    <row r="12" spans="2:15" x14ac:dyDescent="0.25">
      <c r="B12" t="s">
        <v>92</v>
      </c>
      <c r="C12" s="13">
        <v>1</v>
      </c>
      <c r="D12" s="13">
        <v>3</v>
      </c>
      <c r="E12" s="13">
        <v>5</v>
      </c>
      <c r="F12" s="13">
        <v>5</v>
      </c>
      <c r="G12" s="13">
        <v>5</v>
      </c>
      <c r="H12" s="13">
        <v>8</v>
      </c>
      <c r="I12" s="13">
        <v>1</v>
      </c>
      <c r="J12" s="13">
        <v>1</v>
      </c>
      <c r="K12" s="13">
        <v>2</v>
      </c>
      <c r="L12" s="13">
        <v>2</v>
      </c>
      <c r="M12" s="13">
        <v>2</v>
      </c>
      <c r="N12" s="13">
        <v>2</v>
      </c>
      <c r="O12" s="13">
        <v>36</v>
      </c>
    </row>
    <row r="13" spans="2:15" x14ac:dyDescent="0.25">
      <c r="B13" t="s">
        <v>96</v>
      </c>
      <c r="C13" s="13">
        <v>3</v>
      </c>
      <c r="D13" s="13">
        <v>1</v>
      </c>
      <c r="E13" s="13">
        <v>4</v>
      </c>
      <c r="F13" s="13">
        <v>5</v>
      </c>
      <c r="G13" s="13">
        <v>7</v>
      </c>
      <c r="H13" s="13">
        <v>5</v>
      </c>
      <c r="I13" s="13">
        <v>5</v>
      </c>
      <c r="J13" s="13">
        <v>1</v>
      </c>
      <c r="K13" s="13">
        <v>1</v>
      </c>
      <c r="L13" s="13">
        <v>2</v>
      </c>
      <c r="M13" s="13">
        <v>2</v>
      </c>
      <c r="N13" s="13">
        <v>1</v>
      </c>
      <c r="O13" s="13">
        <v>37</v>
      </c>
    </row>
    <row r="14" spans="2:15" x14ac:dyDescent="0.25">
      <c r="B14" t="s">
        <v>102</v>
      </c>
      <c r="C14" s="13">
        <v>3</v>
      </c>
      <c r="D14" s="13">
        <v>2</v>
      </c>
      <c r="E14" s="13">
        <v>3</v>
      </c>
      <c r="F14" s="13">
        <v>4</v>
      </c>
      <c r="G14" s="13">
        <v>7</v>
      </c>
      <c r="H14" s="13">
        <v>6</v>
      </c>
      <c r="I14" s="13">
        <v>2</v>
      </c>
      <c r="J14" s="13">
        <v>5</v>
      </c>
      <c r="K14" s="13">
        <v>4</v>
      </c>
      <c r="L14" s="13">
        <v>3</v>
      </c>
      <c r="M14" s="13">
        <v>3</v>
      </c>
      <c r="N14" s="13">
        <v>0</v>
      </c>
      <c r="O14" s="13">
        <v>42</v>
      </c>
    </row>
    <row r="15" spans="2:15" x14ac:dyDescent="0.25">
      <c r="B15" t="s">
        <v>94</v>
      </c>
      <c r="C15" s="13">
        <v>6</v>
      </c>
      <c r="D15" s="13">
        <v>3</v>
      </c>
      <c r="E15" s="13">
        <v>2</v>
      </c>
      <c r="F15" s="13">
        <v>8</v>
      </c>
      <c r="G15" s="13">
        <v>9</v>
      </c>
      <c r="H15" s="13">
        <v>8</v>
      </c>
      <c r="I15" s="13">
        <v>5</v>
      </c>
      <c r="J15" s="13">
        <v>1</v>
      </c>
      <c r="K15" s="13">
        <v>4</v>
      </c>
      <c r="L15" s="13">
        <v>4</v>
      </c>
      <c r="M15" s="13">
        <v>4</v>
      </c>
      <c r="N15" s="13">
        <v>4</v>
      </c>
      <c r="O15" s="13">
        <v>58</v>
      </c>
    </row>
    <row r="16" spans="2:15" x14ac:dyDescent="0.25">
      <c r="B16" t="s">
        <v>97</v>
      </c>
      <c r="C16" s="13">
        <v>3</v>
      </c>
      <c r="D16" s="13">
        <v>3</v>
      </c>
      <c r="E16" s="13">
        <v>5</v>
      </c>
      <c r="F16" s="13">
        <v>2</v>
      </c>
      <c r="G16" s="13">
        <v>4</v>
      </c>
      <c r="H16" s="13">
        <v>4</v>
      </c>
      <c r="I16" s="13">
        <v>4</v>
      </c>
      <c r="J16" s="13">
        <v>2</v>
      </c>
      <c r="K16" s="13">
        <v>2</v>
      </c>
      <c r="L16" s="13">
        <v>5</v>
      </c>
      <c r="M16" s="13">
        <v>0</v>
      </c>
      <c r="N16" s="13">
        <v>1</v>
      </c>
      <c r="O16" s="13">
        <v>35</v>
      </c>
    </row>
    <row r="17" spans="2:15" x14ac:dyDescent="0.25">
      <c r="B17" t="s">
        <v>98</v>
      </c>
      <c r="C17" s="13">
        <v>9</v>
      </c>
      <c r="D17" s="13">
        <v>8</v>
      </c>
      <c r="E17" s="13">
        <v>6</v>
      </c>
      <c r="F17" s="13">
        <v>9</v>
      </c>
      <c r="G17" s="13">
        <v>8</v>
      </c>
      <c r="H17" s="13">
        <v>13</v>
      </c>
      <c r="I17" s="13">
        <v>7</v>
      </c>
      <c r="J17" s="13">
        <v>4</v>
      </c>
      <c r="K17" s="13">
        <v>3</v>
      </c>
      <c r="L17" s="13">
        <v>3</v>
      </c>
      <c r="M17" s="13">
        <v>7</v>
      </c>
      <c r="N17" s="13">
        <v>4</v>
      </c>
      <c r="O17" s="13">
        <v>81</v>
      </c>
    </row>
    <row r="18" spans="2:15" x14ac:dyDescent="0.25">
      <c r="B18" t="s">
        <v>103</v>
      </c>
      <c r="C18" s="13">
        <v>1</v>
      </c>
      <c r="D18" s="13">
        <v>1</v>
      </c>
      <c r="E18" s="13">
        <v>4</v>
      </c>
      <c r="F18" s="13">
        <v>3</v>
      </c>
      <c r="G18" s="13">
        <v>12</v>
      </c>
      <c r="H18" s="13">
        <v>9</v>
      </c>
      <c r="I18" s="13">
        <v>7</v>
      </c>
      <c r="J18" s="13">
        <v>6</v>
      </c>
      <c r="K18" s="13">
        <v>3</v>
      </c>
      <c r="L18" s="13">
        <v>1</v>
      </c>
      <c r="M18" s="13">
        <v>1</v>
      </c>
      <c r="N18" s="13">
        <v>1</v>
      </c>
      <c r="O18" s="13">
        <v>49</v>
      </c>
    </row>
    <row r="19" spans="2:15" x14ac:dyDescent="0.25">
      <c r="B19" t="s">
        <v>104</v>
      </c>
      <c r="C19" s="13">
        <v>4</v>
      </c>
      <c r="D19" s="13">
        <v>3</v>
      </c>
      <c r="E19" s="13">
        <v>6</v>
      </c>
      <c r="F19" s="13">
        <v>5</v>
      </c>
      <c r="G19" s="13">
        <v>7</v>
      </c>
      <c r="H19" s="13">
        <v>9</v>
      </c>
      <c r="I19" s="13">
        <v>11</v>
      </c>
      <c r="J19" s="13">
        <v>6</v>
      </c>
      <c r="K19" s="13">
        <v>4</v>
      </c>
      <c r="L19" s="13">
        <v>5</v>
      </c>
      <c r="M19" s="13">
        <v>5</v>
      </c>
      <c r="N19" s="13">
        <v>5</v>
      </c>
      <c r="O19" s="13">
        <v>70</v>
      </c>
    </row>
    <row r="20" spans="2:15" x14ac:dyDescent="0.25">
      <c r="B20" t="s">
        <v>95</v>
      </c>
      <c r="C20" s="13">
        <v>2</v>
      </c>
      <c r="D20" s="13">
        <v>2</v>
      </c>
      <c r="E20" s="13">
        <v>3</v>
      </c>
      <c r="F20" s="13">
        <v>3</v>
      </c>
      <c r="G20" s="13">
        <v>4</v>
      </c>
      <c r="H20" s="13">
        <v>4</v>
      </c>
      <c r="I20" s="13">
        <v>3</v>
      </c>
      <c r="J20" s="13">
        <v>0</v>
      </c>
      <c r="K20" s="13">
        <v>1</v>
      </c>
      <c r="L20" s="13">
        <v>2</v>
      </c>
      <c r="M20" s="13">
        <v>2</v>
      </c>
      <c r="N20" s="13">
        <v>1</v>
      </c>
      <c r="O20" s="13">
        <v>27</v>
      </c>
    </row>
    <row r="21" spans="2:15" x14ac:dyDescent="0.25">
      <c r="B21" t="s">
        <v>89</v>
      </c>
      <c r="C21" s="13">
        <v>50</v>
      </c>
      <c r="D21" s="13">
        <v>45</v>
      </c>
      <c r="E21" s="13">
        <v>56</v>
      </c>
      <c r="F21" s="13">
        <v>70</v>
      </c>
      <c r="G21" s="13">
        <v>95</v>
      </c>
      <c r="H21" s="13">
        <v>99</v>
      </c>
      <c r="I21" s="13">
        <v>66</v>
      </c>
      <c r="J21" s="13">
        <v>39</v>
      </c>
      <c r="K21" s="13">
        <v>37</v>
      </c>
      <c r="L21" s="13">
        <v>44</v>
      </c>
      <c r="M21" s="13">
        <v>39</v>
      </c>
      <c r="N21" s="13">
        <v>31</v>
      </c>
      <c r="O21" s="13">
        <v>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98E4-99E1-4C08-B3D4-971B56F0B4C3}">
  <dimension ref="B1:G19"/>
  <sheetViews>
    <sheetView zoomScale="120" zoomScaleNormal="120" workbookViewId="0"/>
  </sheetViews>
  <sheetFormatPr defaultRowHeight="15" x14ac:dyDescent="0.25"/>
  <cols>
    <col min="1" max="1" width="3" customWidth="1"/>
    <col min="2" max="2" width="20.140625" bestFit="1" customWidth="1"/>
    <col min="3" max="3" width="11.7109375" bestFit="1" customWidth="1"/>
    <col min="4" max="4" width="16.7109375" bestFit="1" customWidth="1"/>
    <col min="5" max="6" width="19.140625" bestFit="1" customWidth="1"/>
    <col min="7" max="7" width="19.42578125" bestFit="1" customWidth="1"/>
  </cols>
  <sheetData>
    <row r="1" spans="2:7" ht="35.25" x14ac:dyDescent="0.5">
      <c r="B1" s="10" t="s">
        <v>29</v>
      </c>
    </row>
    <row r="2" spans="2:7" ht="18.75" x14ac:dyDescent="0.3">
      <c r="B2" s="1" t="s">
        <v>57</v>
      </c>
    </row>
    <row r="4" spans="2:7" x14ac:dyDescent="0.25">
      <c r="B4" s="12" t="s">
        <v>6</v>
      </c>
      <c r="C4" t="s">
        <v>107</v>
      </c>
      <c r="D4" t="s">
        <v>108</v>
      </c>
      <c r="E4" t="s">
        <v>109</v>
      </c>
      <c r="F4" t="s">
        <v>58</v>
      </c>
      <c r="G4" t="s">
        <v>59</v>
      </c>
    </row>
    <row r="5" spans="2:7" x14ac:dyDescent="0.25">
      <c r="B5" t="s">
        <v>98</v>
      </c>
      <c r="C5" s="16">
        <v>42500</v>
      </c>
      <c r="D5" s="17">
        <v>0.05</v>
      </c>
      <c r="E5" s="15">
        <v>2318229</v>
      </c>
      <c r="F5" s="16">
        <v>98411.45</v>
      </c>
      <c r="G5" s="16">
        <v>140911.45000000001</v>
      </c>
    </row>
    <row r="6" spans="2:7" x14ac:dyDescent="0.25">
      <c r="B6" t="s">
        <v>104</v>
      </c>
      <c r="C6" s="16">
        <v>42500</v>
      </c>
      <c r="D6" s="17">
        <v>0.06</v>
      </c>
      <c r="E6" s="15">
        <v>1921060</v>
      </c>
      <c r="F6" s="16">
        <v>94263.6</v>
      </c>
      <c r="G6" s="16">
        <v>136763.6</v>
      </c>
    </row>
    <row r="7" spans="2:7" x14ac:dyDescent="0.25">
      <c r="B7" t="s">
        <v>91</v>
      </c>
      <c r="C7" s="16">
        <v>42500</v>
      </c>
      <c r="D7" s="17">
        <v>0.06</v>
      </c>
      <c r="E7" s="15">
        <v>1561140</v>
      </c>
      <c r="F7" s="16">
        <v>72668.399999999994</v>
      </c>
      <c r="G7" s="16">
        <v>115168.4</v>
      </c>
    </row>
    <row r="8" spans="2:7" x14ac:dyDescent="0.25">
      <c r="B8" t="s">
        <v>93</v>
      </c>
      <c r="C8" s="16">
        <v>42500</v>
      </c>
      <c r="D8" s="17">
        <v>0.05</v>
      </c>
      <c r="E8" s="15">
        <v>1450881</v>
      </c>
      <c r="F8" s="16">
        <v>55044.05</v>
      </c>
      <c r="G8" s="16">
        <v>97544.05</v>
      </c>
    </row>
    <row r="9" spans="2:7" x14ac:dyDescent="0.25">
      <c r="B9" t="s">
        <v>94</v>
      </c>
      <c r="C9" s="16">
        <v>35000</v>
      </c>
      <c r="D9" s="17">
        <v>0.05</v>
      </c>
      <c r="E9" s="15">
        <v>1577753</v>
      </c>
      <c r="F9" s="16">
        <v>61387.65</v>
      </c>
      <c r="G9" s="16">
        <v>96387.65</v>
      </c>
    </row>
    <row r="10" spans="2:7" x14ac:dyDescent="0.25">
      <c r="B10" t="s">
        <v>90</v>
      </c>
      <c r="C10" s="16">
        <v>50000</v>
      </c>
      <c r="D10" s="17">
        <v>0.05</v>
      </c>
      <c r="E10" s="15">
        <v>1190686</v>
      </c>
      <c r="F10" s="16">
        <v>42034.3</v>
      </c>
      <c r="G10" s="16">
        <v>92034.3</v>
      </c>
    </row>
    <row r="11" spans="2:7" x14ac:dyDescent="0.25">
      <c r="B11" t="s">
        <v>97</v>
      </c>
      <c r="C11" s="16">
        <v>42500</v>
      </c>
      <c r="D11" s="17">
        <v>0.06</v>
      </c>
      <c r="E11" s="15">
        <v>1028320</v>
      </c>
      <c r="F11" s="16">
        <v>40699.199999999997</v>
      </c>
      <c r="G11" s="16">
        <v>83199.199999999997</v>
      </c>
    </row>
    <row r="12" spans="2:7" x14ac:dyDescent="0.25">
      <c r="B12" t="s">
        <v>101</v>
      </c>
      <c r="C12" s="16">
        <v>45000</v>
      </c>
      <c r="D12" s="17">
        <v>0.06</v>
      </c>
      <c r="E12" s="15">
        <v>898330</v>
      </c>
      <c r="F12" s="16">
        <v>32899.800000000003</v>
      </c>
      <c r="G12" s="16">
        <v>77899.8</v>
      </c>
    </row>
    <row r="13" spans="2:7" x14ac:dyDescent="0.25">
      <c r="B13" t="s">
        <v>92</v>
      </c>
      <c r="C13" s="16">
        <v>35000</v>
      </c>
      <c r="D13" s="17">
        <v>0.06</v>
      </c>
      <c r="E13" s="15">
        <v>1035275</v>
      </c>
      <c r="F13" s="16">
        <v>41116.5</v>
      </c>
      <c r="G13" s="16">
        <v>76116.5</v>
      </c>
    </row>
    <row r="14" spans="2:7" x14ac:dyDescent="0.25">
      <c r="B14" t="s">
        <v>103</v>
      </c>
      <c r="C14" s="16">
        <v>32500</v>
      </c>
      <c r="D14" s="17">
        <v>0.04</v>
      </c>
      <c r="E14" s="15">
        <v>1229540</v>
      </c>
      <c r="F14" s="16">
        <v>35181.599999999999</v>
      </c>
      <c r="G14" s="16">
        <v>67681.600000000006</v>
      </c>
    </row>
    <row r="15" spans="2:7" x14ac:dyDescent="0.25">
      <c r="B15" t="s">
        <v>96</v>
      </c>
      <c r="C15" s="16">
        <v>40000</v>
      </c>
      <c r="D15" s="17">
        <v>0.04</v>
      </c>
      <c r="E15" s="15">
        <v>995052</v>
      </c>
      <c r="F15" s="16">
        <v>25802.080000000002</v>
      </c>
      <c r="G15" s="16">
        <v>65802.080000000002</v>
      </c>
    </row>
    <row r="16" spans="2:7" x14ac:dyDescent="0.25">
      <c r="B16" t="s">
        <v>102</v>
      </c>
      <c r="C16" s="16">
        <v>35000</v>
      </c>
      <c r="D16" s="17">
        <v>0.04</v>
      </c>
      <c r="E16" s="15">
        <v>1091075</v>
      </c>
      <c r="F16" s="16">
        <v>29643</v>
      </c>
      <c r="G16" s="16">
        <v>64643</v>
      </c>
    </row>
    <row r="17" spans="2:7" x14ac:dyDescent="0.25">
      <c r="B17" t="s">
        <v>100</v>
      </c>
      <c r="C17" s="16">
        <v>40000</v>
      </c>
      <c r="D17" s="17">
        <v>0.05</v>
      </c>
      <c r="E17" s="15">
        <v>749874</v>
      </c>
      <c r="F17" s="16">
        <v>19993.7</v>
      </c>
      <c r="G17" s="16">
        <v>59993.7</v>
      </c>
    </row>
    <row r="18" spans="2:7" x14ac:dyDescent="0.25">
      <c r="B18" t="s">
        <v>99</v>
      </c>
      <c r="C18" s="16">
        <v>32500</v>
      </c>
      <c r="D18" s="17">
        <v>0.06</v>
      </c>
      <c r="E18" s="15">
        <v>668779</v>
      </c>
      <c r="F18" s="16">
        <v>19126.740000000002</v>
      </c>
      <c r="G18" s="16">
        <v>51626.74</v>
      </c>
    </row>
    <row r="19" spans="2:7" x14ac:dyDescent="0.25">
      <c r="B19" t="s">
        <v>95</v>
      </c>
      <c r="C19" s="16">
        <v>30000</v>
      </c>
      <c r="D19" s="17">
        <v>0.05</v>
      </c>
      <c r="E19" s="15">
        <v>729730</v>
      </c>
      <c r="F19" s="16">
        <v>18986.5</v>
      </c>
      <c r="G19" s="16">
        <v>48986.5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B263-22BB-437E-BE6E-E1677DAC0BF1}">
  <dimension ref="B1:E42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32.28515625" customWidth="1"/>
    <col min="5" max="5" width="68.85546875" customWidth="1"/>
  </cols>
  <sheetData>
    <row r="1" spans="2:4" ht="35.25" x14ac:dyDescent="0.5">
      <c r="B1" s="10" t="s">
        <v>29</v>
      </c>
    </row>
    <row r="2" spans="2:4" ht="18.75" x14ac:dyDescent="0.3">
      <c r="B2" s="1" t="s">
        <v>30</v>
      </c>
    </row>
    <row r="4" spans="2:4" x14ac:dyDescent="0.25">
      <c r="B4" s="2" t="s">
        <v>43</v>
      </c>
    </row>
    <row r="5" spans="2:4" x14ac:dyDescent="0.25">
      <c r="B5" s="3" t="s">
        <v>20</v>
      </c>
      <c r="C5" s="3" t="s">
        <v>21</v>
      </c>
      <c r="D5" s="3" t="s">
        <v>22</v>
      </c>
    </row>
    <row r="6" spans="2:4" x14ac:dyDescent="0.25">
      <c r="B6" s="4" t="s">
        <v>17</v>
      </c>
      <c r="C6" s="5" t="s">
        <v>23</v>
      </c>
      <c r="D6" s="6" t="s">
        <v>39</v>
      </c>
    </row>
    <row r="7" spans="2:4" x14ac:dyDescent="0.25">
      <c r="B7" s="4" t="s">
        <v>5</v>
      </c>
      <c r="C7" s="5" t="s">
        <v>23</v>
      </c>
      <c r="D7" s="6" t="s">
        <v>44</v>
      </c>
    </row>
    <row r="8" spans="2:4" x14ac:dyDescent="0.25">
      <c r="B8" s="4" t="s">
        <v>6</v>
      </c>
      <c r="C8" s="5" t="s">
        <v>23</v>
      </c>
      <c r="D8" s="6" t="s">
        <v>45</v>
      </c>
    </row>
    <row r="9" spans="2:4" x14ac:dyDescent="0.25">
      <c r="B9" s="4" t="s">
        <v>7</v>
      </c>
      <c r="C9" s="5" t="s">
        <v>27</v>
      </c>
      <c r="D9" s="6" t="s">
        <v>46</v>
      </c>
    </row>
    <row r="10" spans="2:4" x14ac:dyDescent="0.25">
      <c r="B10" s="4" t="s">
        <v>8</v>
      </c>
      <c r="C10" s="5" t="s">
        <v>27</v>
      </c>
      <c r="D10" s="6" t="s">
        <v>47</v>
      </c>
    </row>
    <row r="11" spans="2:4" x14ac:dyDescent="0.25">
      <c r="B11" s="4" t="s">
        <v>9</v>
      </c>
      <c r="C11" s="5" t="s">
        <v>25</v>
      </c>
      <c r="D11" s="6" t="s">
        <v>48</v>
      </c>
    </row>
    <row r="13" spans="2:4" x14ac:dyDescent="0.25">
      <c r="B13" s="2" t="s">
        <v>31</v>
      </c>
    </row>
    <row r="14" spans="2:4" x14ac:dyDescent="0.25">
      <c r="B14" s="3" t="s">
        <v>20</v>
      </c>
      <c r="C14" s="3" t="s">
        <v>21</v>
      </c>
      <c r="D14" s="3" t="s">
        <v>22</v>
      </c>
    </row>
    <row r="15" spans="2:4" x14ac:dyDescent="0.25">
      <c r="B15" s="4" t="s">
        <v>3</v>
      </c>
      <c r="C15" s="5" t="s">
        <v>23</v>
      </c>
      <c r="D15" s="6" t="s">
        <v>32</v>
      </c>
    </row>
    <row r="16" spans="2:4" x14ac:dyDescent="0.25">
      <c r="B16" s="4" t="s">
        <v>10</v>
      </c>
      <c r="C16" s="5" t="s">
        <v>23</v>
      </c>
      <c r="D16" s="6" t="s">
        <v>33</v>
      </c>
    </row>
    <row r="17" spans="2:4" x14ac:dyDescent="0.25">
      <c r="B17" s="4" t="s">
        <v>11</v>
      </c>
      <c r="C17" s="5" t="s">
        <v>23</v>
      </c>
      <c r="D17" s="6" t="s">
        <v>34</v>
      </c>
    </row>
    <row r="18" spans="2:4" x14ac:dyDescent="0.25">
      <c r="B18" s="4" t="s">
        <v>12</v>
      </c>
      <c r="C18" s="5" t="s">
        <v>23</v>
      </c>
      <c r="D18" s="6" t="s">
        <v>35</v>
      </c>
    </row>
    <row r="19" spans="2:4" x14ac:dyDescent="0.25">
      <c r="B19" s="4" t="s">
        <v>13</v>
      </c>
      <c r="C19" s="5" t="s">
        <v>23</v>
      </c>
      <c r="D19" s="6" t="s">
        <v>13</v>
      </c>
    </row>
    <row r="20" spans="2:4" x14ac:dyDescent="0.25">
      <c r="B20" s="4" t="s">
        <v>14</v>
      </c>
      <c r="C20" s="5" t="s">
        <v>23</v>
      </c>
      <c r="D20" s="6" t="s">
        <v>14</v>
      </c>
    </row>
    <row r="21" spans="2:4" x14ac:dyDescent="0.25">
      <c r="B21" s="4" t="s">
        <v>15</v>
      </c>
      <c r="C21" s="5" t="s">
        <v>23</v>
      </c>
      <c r="D21" s="6" t="s">
        <v>36</v>
      </c>
    </row>
    <row r="22" spans="2:4" x14ac:dyDescent="0.25">
      <c r="B22" s="4" t="s">
        <v>16</v>
      </c>
      <c r="C22" s="5" t="s">
        <v>23</v>
      </c>
      <c r="D22" s="6" t="s">
        <v>24</v>
      </c>
    </row>
    <row r="24" spans="2:4" x14ac:dyDescent="0.25">
      <c r="B24" s="2" t="s">
        <v>49</v>
      </c>
    </row>
    <row r="25" spans="2:4" x14ac:dyDescent="0.25">
      <c r="B25" s="3" t="s">
        <v>20</v>
      </c>
      <c r="C25" s="3" t="s">
        <v>21</v>
      </c>
      <c r="D25" s="3" t="s">
        <v>22</v>
      </c>
    </row>
    <row r="26" spans="2:4" x14ac:dyDescent="0.25">
      <c r="B26" s="4" t="s">
        <v>4</v>
      </c>
      <c r="C26" s="5" t="s">
        <v>26</v>
      </c>
      <c r="D26" s="6" t="s">
        <v>40</v>
      </c>
    </row>
    <row r="27" spans="2:4" x14ac:dyDescent="0.25">
      <c r="B27" s="4" t="s">
        <v>18</v>
      </c>
      <c r="C27" s="5" t="s">
        <v>23</v>
      </c>
      <c r="D27" s="6" t="s">
        <v>50</v>
      </c>
    </row>
    <row r="28" spans="2:4" x14ac:dyDescent="0.25">
      <c r="B28" s="4" t="s">
        <v>19</v>
      </c>
      <c r="C28" s="5" t="s">
        <v>23</v>
      </c>
      <c r="D28" s="6" t="s">
        <v>51</v>
      </c>
    </row>
    <row r="30" spans="2:4" x14ac:dyDescent="0.25">
      <c r="B30" s="2" t="s">
        <v>37</v>
      </c>
    </row>
    <row r="31" spans="2:4" x14ac:dyDescent="0.25">
      <c r="B31" s="3" t="s">
        <v>20</v>
      </c>
      <c r="C31" s="3" t="s">
        <v>21</v>
      </c>
      <c r="D31" s="3" t="s">
        <v>22</v>
      </c>
    </row>
    <row r="32" spans="2:4" x14ac:dyDescent="0.25">
      <c r="B32" s="4" t="s">
        <v>0</v>
      </c>
      <c r="C32" s="5" t="s">
        <v>26</v>
      </c>
      <c r="D32" s="6" t="s">
        <v>38</v>
      </c>
    </row>
    <row r="33" spans="2:5" x14ac:dyDescent="0.25">
      <c r="B33" s="4" t="s">
        <v>17</v>
      </c>
      <c r="C33" s="5" t="s">
        <v>23</v>
      </c>
      <c r="D33" s="6" t="s">
        <v>39</v>
      </c>
    </row>
    <row r="34" spans="2:5" x14ac:dyDescent="0.25">
      <c r="B34" s="4" t="s">
        <v>3</v>
      </c>
      <c r="C34" s="5" t="s">
        <v>23</v>
      </c>
      <c r="D34" s="6" t="s">
        <v>32</v>
      </c>
    </row>
    <row r="35" spans="2:5" x14ac:dyDescent="0.25">
      <c r="B35" s="4" t="s">
        <v>4</v>
      </c>
      <c r="C35" s="5" t="s">
        <v>23</v>
      </c>
      <c r="D35" s="6" t="s">
        <v>40</v>
      </c>
    </row>
    <row r="36" spans="2:5" x14ac:dyDescent="0.25">
      <c r="B36" s="4" t="s">
        <v>1</v>
      </c>
      <c r="C36" s="5" t="s">
        <v>23</v>
      </c>
      <c r="D36" s="6" t="s">
        <v>41</v>
      </c>
    </row>
    <row r="37" spans="2:5" x14ac:dyDescent="0.25">
      <c r="B37" s="4" t="s">
        <v>2</v>
      </c>
      <c r="C37" s="5" t="s">
        <v>27</v>
      </c>
      <c r="D37" s="6" t="s">
        <v>42</v>
      </c>
    </row>
    <row r="39" spans="2:5" x14ac:dyDescent="0.25">
      <c r="B39" s="2" t="s">
        <v>65</v>
      </c>
    </row>
    <row r="40" spans="2:5" x14ac:dyDescent="0.25">
      <c r="B40" s="3" t="s">
        <v>52</v>
      </c>
      <c r="C40" s="3" t="s">
        <v>21</v>
      </c>
      <c r="D40" s="3" t="s">
        <v>22</v>
      </c>
      <c r="E40" s="3" t="s">
        <v>28</v>
      </c>
    </row>
    <row r="41" spans="2:5" ht="45" x14ac:dyDescent="0.25">
      <c r="B41" s="4" t="s">
        <v>58</v>
      </c>
      <c r="C41" s="5" t="s">
        <v>27</v>
      </c>
      <c r="D41" s="6" t="s">
        <v>61</v>
      </c>
      <c r="E41" s="11" t="s">
        <v>64</v>
      </c>
    </row>
    <row r="42" spans="2:5" ht="30" x14ac:dyDescent="0.25">
      <c r="B42" s="4" t="s">
        <v>59</v>
      </c>
      <c r="C42" s="5" t="s">
        <v>27</v>
      </c>
      <c r="D42" s="6" t="s">
        <v>62</v>
      </c>
      <c r="E42" s="11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719ACC3-F563-4493-8AEB-B057BB166771}">
  <ds:schemaRefs/>
</ds:datastoreItem>
</file>

<file path=customXml/itemProps2.xml><?xml version="1.0" encoding="utf-8"?>
<ds:datastoreItem xmlns:ds="http://schemas.openxmlformats.org/officeDocument/2006/customXml" ds:itemID="{05ECCA8B-075F-45D1-AD33-018988F36486}">
  <ds:schemaRefs/>
</ds:datastoreItem>
</file>

<file path=customXml/itemProps3.xml><?xml version="1.0" encoding="utf-8"?>
<ds:datastoreItem xmlns:ds="http://schemas.openxmlformats.org/officeDocument/2006/customXml" ds:itemID="{5CDE1918-219A-48B3-950B-191734E146C0}">
  <ds:schemaRefs/>
</ds:datastoreItem>
</file>

<file path=customXml/itemProps4.xml><?xml version="1.0" encoding="utf-8"?>
<ds:datastoreItem xmlns:ds="http://schemas.openxmlformats.org/officeDocument/2006/customXml" ds:itemID="{FAB53C99-7E4C-458C-8264-3EE790F03FFB}">
  <ds:schemaRefs/>
</ds:datastoreItem>
</file>

<file path=customXml/itemProps5.xml><?xml version="1.0" encoding="utf-8"?>
<ds:datastoreItem xmlns:ds="http://schemas.openxmlformats.org/officeDocument/2006/customXml" ds:itemID="{B2CC32EC-08E0-4BF3-B9E5-764D1F9AE41F}">
  <ds:schemaRefs/>
</ds:datastoreItem>
</file>

<file path=customXml/itemProps6.xml><?xml version="1.0" encoding="utf-8"?>
<ds:datastoreItem xmlns:ds="http://schemas.openxmlformats.org/officeDocument/2006/customXml" ds:itemID="{BE022EF6-3740-4246-86BC-7D810C3CA4A6}">
  <ds:schemaRefs/>
</ds:datastoreItem>
</file>

<file path=customXml/itemProps7.xml><?xml version="1.0" encoding="utf-8"?>
<ds:datastoreItem xmlns:ds="http://schemas.openxmlformats.org/officeDocument/2006/customXml" ds:itemID="{E34DD3F2-B627-469B-AD9A-621E162F28E8}">
  <ds:schemaRefs/>
</ds:datastoreItem>
</file>

<file path=customXml/itemProps8.xml><?xml version="1.0" encoding="utf-8"?>
<ds:datastoreItem xmlns:ds="http://schemas.openxmlformats.org/officeDocument/2006/customXml" ds:itemID="{B9B42DD5-A834-4ADE-9AEE-07079C055A56}">
  <ds:schemaRefs/>
</ds:datastoreItem>
</file>

<file path=customXml/itemProps9.xml><?xml version="1.0" encoding="utf-8"?>
<ds:datastoreItem xmlns:ds="http://schemas.openxmlformats.org/officeDocument/2006/customXml" ds:itemID="{3CB9EE53-DBC5-459C-9A42-A36E9460AB97}">
  <ds:schemaRefs/>
</ds:datastoreItem>
</file>

<file path=customXml/itemProps10.xml><?xml version="1.0" encoding="utf-8"?>
<ds:datastoreItem xmlns:ds="http://schemas.openxmlformats.org/officeDocument/2006/customXml" ds:itemID="{1CF67CC3-E929-474E-914B-5F1D2FE106F9}">
  <ds:schemaRefs/>
</ds:datastoreItem>
</file>

<file path=customXml/itemProps11.xml><?xml version="1.0" encoding="utf-8"?>
<ds:datastoreItem xmlns:ds="http://schemas.openxmlformats.org/officeDocument/2006/customXml" ds:itemID="{4B1B4B1E-2921-49E0-B9DE-96308B255F15}">
  <ds:schemaRefs/>
</ds:datastoreItem>
</file>

<file path=customXml/itemProps12.xml><?xml version="1.0" encoding="utf-8"?>
<ds:datastoreItem xmlns:ds="http://schemas.openxmlformats.org/officeDocument/2006/customXml" ds:itemID="{219B4223-4CAC-4200-A6AA-B252E8F84F27}">
  <ds:schemaRefs/>
</ds:datastoreItem>
</file>

<file path=customXml/itemProps13.xml><?xml version="1.0" encoding="utf-8"?>
<ds:datastoreItem xmlns:ds="http://schemas.openxmlformats.org/officeDocument/2006/customXml" ds:itemID="{AB488C79-0BD9-4B31-9124-310D5793C22C}">
  <ds:schemaRefs/>
</ds:datastoreItem>
</file>

<file path=customXml/itemProps14.xml><?xml version="1.0" encoding="utf-8"?>
<ds:datastoreItem xmlns:ds="http://schemas.openxmlformats.org/officeDocument/2006/customXml" ds:itemID="{54F05074-5424-45BD-BC52-BEFA1DEA32D5}">
  <ds:schemaRefs/>
</ds:datastoreItem>
</file>

<file path=customXml/itemProps15.xml><?xml version="1.0" encoding="utf-8"?>
<ds:datastoreItem xmlns:ds="http://schemas.openxmlformats.org/officeDocument/2006/customXml" ds:itemID="{8392DE3D-F2D0-4E06-91B0-AF83E0C21759}">
  <ds:schemaRefs/>
</ds:datastoreItem>
</file>

<file path=customXml/itemProps16.xml><?xml version="1.0" encoding="utf-8"?>
<ds:datastoreItem xmlns:ds="http://schemas.openxmlformats.org/officeDocument/2006/customXml" ds:itemID="{183F3204-4B6C-4DEB-99BC-E2F13921F76C}">
  <ds:schemaRefs/>
</ds:datastoreItem>
</file>

<file path=customXml/itemProps17.xml><?xml version="1.0" encoding="utf-8"?>
<ds:datastoreItem xmlns:ds="http://schemas.openxmlformats.org/officeDocument/2006/customXml" ds:itemID="{4C61A35C-97EC-4CED-8380-DADF81F389D9}">
  <ds:schemaRefs/>
</ds:datastoreItem>
</file>

<file path=customXml/itemProps18.xml><?xml version="1.0" encoding="utf-8"?>
<ds:datastoreItem xmlns:ds="http://schemas.openxmlformats.org/officeDocument/2006/customXml" ds:itemID="{7E03F19A-03F2-458C-81DF-E18A33CFCCF5}">
  <ds:schemaRefs/>
</ds:datastoreItem>
</file>

<file path=customXml/itemProps19.xml><?xml version="1.0" encoding="utf-8"?>
<ds:datastoreItem xmlns:ds="http://schemas.openxmlformats.org/officeDocument/2006/customXml" ds:itemID="{A1012A3E-9DBA-4162-A405-254E3DE6D477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43A10B2F-8D08-4424-8F8A-3FFAE1A7DB84}">
  <ds:schemaRefs/>
</ds:datastoreItem>
</file>

<file path=customXml/itemProps21.xml><?xml version="1.0" encoding="utf-8"?>
<ds:datastoreItem xmlns:ds="http://schemas.openxmlformats.org/officeDocument/2006/customXml" ds:itemID="{9A962797-C865-446E-91F1-53B426B8EAB0}">
  <ds:schemaRefs/>
</ds:datastoreItem>
</file>

<file path=customXml/itemProps22.xml><?xml version="1.0" encoding="utf-8"?>
<ds:datastoreItem xmlns:ds="http://schemas.openxmlformats.org/officeDocument/2006/customXml" ds:itemID="{414CC62E-9393-409F-938E-234E984B05FD}">
  <ds:schemaRefs/>
</ds:datastoreItem>
</file>

<file path=customXml/itemProps23.xml><?xml version="1.0" encoding="utf-8"?>
<ds:datastoreItem xmlns:ds="http://schemas.openxmlformats.org/officeDocument/2006/customXml" ds:itemID="{E207CD98-9894-497C-9321-E0209ABEEFAD}">
  <ds:schemaRefs/>
</ds:datastoreItem>
</file>

<file path=customXml/itemProps24.xml><?xml version="1.0" encoding="utf-8"?>
<ds:datastoreItem xmlns:ds="http://schemas.openxmlformats.org/officeDocument/2006/customXml" ds:itemID="{05658FB0-BAC8-4B5C-AE62-196B5B675BAC}">
  <ds:schemaRefs/>
</ds:datastoreItem>
</file>

<file path=customXml/itemProps25.xml><?xml version="1.0" encoding="utf-8"?>
<ds:datastoreItem xmlns:ds="http://schemas.openxmlformats.org/officeDocument/2006/customXml" ds:itemID="{9D62B11D-C92A-40DD-A0F4-34736BAAB02B}">
  <ds:schemaRefs/>
</ds:datastoreItem>
</file>

<file path=customXml/itemProps26.xml><?xml version="1.0" encoding="utf-8"?>
<ds:datastoreItem xmlns:ds="http://schemas.openxmlformats.org/officeDocument/2006/customXml" ds:itemID="{0D304D0A-28D0-4F6A-AAAB-ADAD5A95EE6E}">
  <ds:schemaRefs/>
</ds:datastoreItem>
</file>

<file path=customXml/itemProps27.xml><?xml version="1.0" encoding="utf-8"?>
<ds:datastoreItem xmlns:ds="http://schemas.openxmlformats.org/officeDocument/2006/customXml" ds:itemID="{B86EE079-2DF1-4E66-9105-0A060EFBDD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Revenue Report</vt:lpstr>
      <vt:lpstr>Region Report</vt:lpstr>
      <vt:lpstr>Hospital Sales</vt:lpstr>
      <vt:lpstr>Sales Commissions</vt:lpstr>
      <vt:lpstr>Tables and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11, Case Problem 1</dc:title>
  <dc:creator>Your Name</dc:creator>
  <cp:lastModifiedBy>Patrick Carey</cp:lastModifiedBy>
  <dcterms:created xsi:type="dcterms:W3CDTF">2019-02-25T23:49:46Z</dcterms:created>
  <dcterms:modified xsi:type="dcterms:W3CDTF">2021-09-16T00:57:31Z</dcterms:modified>
</cp:coreProperties>
</file>
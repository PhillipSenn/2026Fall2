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11\Case2\"/>
    </mc:Choice>
  </mc:AlternateContent>
  <xr:revisionPtr revIDLastSave="0" documentId="13_ncr:1_{2E6DBFEA-FBFA-476F-9D9A-1C17C5D34534}" xr6:coauthVersionLast="46" xr6:coauthVersionMax="46" xr10:uidLastSave="{00000000-0000-0000-0000-000000000000}"/>
  <bookViews>
    <workbookView xWindow="-120" yWindow="-120" windowWidth="29040" windowHeight="15840" xr2:uid="{3747ACEC-9DEF-4C92-9CE4-43E453B18C3E}"/>
  </bookViews>
  <sheets>
    <sheet name="Documentation" sheetId="2" r:id="rId1"/>
    <sheet name="Inventory Report" sheetId="6" r:id="rId2"/>
    <sheet name="Warehouse Grid" sheetId="5" r:id="rId3"/>
    <sheet name="Data Summary" sheetId="3" r:id="rId4"/>
  </sheets>
  <definedNames>
    <definedName name="_xlcn.WorksheetConnection_Book2Inventory" hidden="1">Inventory</definedName>
    <definedName name="_xlcn.WorksheetConnection_Book2Products" hidden="1">Products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2!Products"/>
          <x15:modelTable id="Inventory" name="Inventory" connection="WorksheetConnection_Book2!Inventory"/>
        </x15:modelTables>
        <x15:modelRelationships>
          <x15:modelRelationship fromTable="Inventory" fromColumn="SKU" toTable="Products" toColumn="SKU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392F0-7255-4B25-A5BC-3DB0EB8AC54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114210-C45D-4076-ADF2-570BB9A0141B}" name="WorksheetConnection_Book2!Inventory" type="102" refreshedVersion="6" minRefreshableVersion="5">
    <extLst>
      <ext xmlns:x15="http://schemas.microsoft.com/office/spreadsheetml/2010/11/main" uri="{DE250136-89BD-433C-8126-D09CA5730AF9}">
        <x15:connection id="Inventory">
          <x15:rangePr sourceName="_xlcn.WorksheetConnection_Book2Inventory"/>
        </x15:connection>
      </ext>
    </extLst>
  </connection>
  <connection id="3" xr16:uid="{26763C79-7BF0-46AD-9280-6475C0DC7A96}" name="WorksheetConnection_Book2!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WorksheetConnection_Book2Product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[Measures].[Inventory Value]"/>
    <s v="\$#,0.00;(\$#,0.00);\$#,0.00"/>
  </metadataStrings>
  <mdxMetadata count="1">
    <mdx n="0" f="v">
      <t c="1" si="2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<sst xmlns="http://schemas.openxmlformats.org/spreadsheetml/2006/main" count="334" uniqueCount="238">
  <si>
    <t>Author</t>
  </si>
  <si>
    <t>Date</t>
  </si>
  <si>
    <t>Purpose</t>
  </si>
  <si>
    <t>Computer Discount Essentials</t>
  </si>
  <si>
    <t>To monitor laptop supplies at the CDE warehouse</t>
  </si>
  <si>
    <t>Field</t>
  </si>
  <si>
    <t>Data Type</t>
  </si>
  <si>
    <t>Notes</t>
  </si>
  <si>
    <t>text</t>
  </si>
  <si>
    <t>currency</t>
  </si>
  <si>
    <t>number</t>
  </si>
  <si>
    <t>Products Table</t>
  </si>
  <si>
    <t>date</t>
  </si>
  <si>
    <t>Formula</t>
  </si>
  <si>
    <t>SKU</t>
  </si>
  <si>
    <t>Action</t>
  </si>
  <si>
    <t>Change</t>
  </si>
  <si>
    <t>Description</t>
  </si>
  <si>
    <t>Category</t>
  </si>
  <si>
    <t>Warehouse Row</t>
  </si>
  <si>
    <t>Storage Bin</t>
  </si>
  <si>
    <t>Restock Amount</t>
  </si>
  <si>
    <t>Initial QTY</t>
  </si>
  <si>
    <t>Restock Level</t>
  </si>
  <si>
    <t>Warehouse Grid</t>
  </si>
  <si>
    <t>Data Summary</t>
  </si>
  <si>
    <t>Date of inventory transaction</t>
  </si>
  <si>
    <t>Product ID</t>
  </si>
  <si>
    <t>Quantity added or subtracted from the inventory</t>
  </si>
  <si>
    <t>Type of transaction (Remove or Restock)</t>
  </si>
  <si>
    <t>Inventory Table</t>
  </si>
  <si>
    <t>Description of product</t>
  </si>
  <si>
    <t>Product category (Laptops, CPU Processors, Video Cards, Disk Drives,  Video Screens)</t>
  </si>
  <si>
    <t>Row location in warehouse (Row A through Row E)</t>
  </si>
  <si>
    <t>Bin location within warehouse row (Bin 1 through Bin 5)</t>
  </si>
  <si>
    <t>Initial quanity of product in the warehouse inventory</t>
  </si>
  <si>
    <t>Quantity level at which to restock the product</t>
  </si>
  <si>
    <t>Amount to order when product drops below Restock Level</t>
  </si>
  <si>
    <t>Inventory Value</t>
  </si>
  <si>
    <t>Value of the product in inventory</t>
  </si>
  <si>
    <t>Current QTY</t>
  </si>
  <si>
    <t>Unit Value</t>
  </si>
  <si>
    <t>Inventory Report</t>
  </si>
  <si>
    <t>Restock Order</t>
  </si>
  <si>
    <t>CURRENT INVENTORY VALUE:</t>
  </si>
  <si>
    <t>List Items</t>
  </si>
  <si>
    <t>Measures for the Products Table</t>
  </si>
  <si>
    <t>Measure</t>
  </si>
  <si>
    <t>[Sum of Initial QTY]+[Sum of Change]</t>
  </si>
  <si>
    <t>Current quantity in stock</t>
  </si>
  <si>
    <t>SUMX(Products, [Unit Value]*[Current QTY])</t>
  </si>
  <si>
    <t>Total value of the items in the inventory</t>
  </si>
  <si>
    <t>CONCATENATEX(Products, [Description], ", ")</t>
  </si>
  <si>
    <t>List of items from the warehouse inventory</t>
  </si>
  <si>
    <t>SUMX(Products, IF([Current QTY]&lt;[Restock Level], [Restock Amount], 0))</t>
  </si>
  <si>
    <t>Quantity of item to reorder</t>
  </si>
  <si>
    <t>Jamere Carter</t>
  </si>
  <si>
    <t>CPU Processors</t>
  </si>
  <si>
    <t>Disk Drives</t>
  </si>
  <si>
    <t>Laptops</t>
  </si>
  <si>
    <t>Video Cards</t>
  </si>
  <si>
    <t>Video Screens</t>
  </si>
  <si>
    <t>C-342-4</t>
  </si>
  <si>
    <t>C-499-2</t>
  </si>
  <si>
    <t>C-702-2</t>
  </si>
  <si>
    <t>C-746-3</t>
  </si>
  <si>
    <t>C-762-9</t>
  </si>
  <si>
    <t>C-824-4</t>
  </si>
  <si>
    <t>C-898-7</t>
  </si>
  <si>
    <t>C-929-5</t>
  </si>
  <si>
    <t>C-941-1</t>
  </si>
  <si>
    <t>D-123-6</t>
  </si>
  <si>
    <t>D-176-8</t>
  </si>
  <si>
    <t>D-240-1</t>
  </si>
  <si>
    <t>D-338-4</t>
  </si>
  <si>
    <t>D-369-1</t>
  </si>
  <si>
    <t>D-522-8</t>
  </si>
  <si>
    <t>D-709-2</t>
  </si>
  <si>
    <t>D-787-9</t>
  </si>
  <si>
    <t>D-816-2</t>
  </si>
  <si>
    <t>D-872-5</t>
  </si>
  <si>
    <t>D-884-1</t>
  </si>
  <si>
    <t>D-935-8</t>
  </si>
  <si>
    <t>L-117-7</t>
  </si>
  <si>
    <t>L-133-2</t>
  </si>
  <si>
    <t>L-216-3</t>
  </si>
  <si>
    <t>L-227-3</t>
  </si>
  <si>
    <t>L-246-1</t>
  </si>
  <si>
    <t>L-263-5</t>
  </si>
  <si>
    <t>L-268-3</t>
  </si>
  <si>
    <t>L-270-5</t>
  </si>
  <si>
    <t>L-271-8</t>
  </si>
  <si>
    <t>L-276-8</t>
  </si>
  <si>
    <t>L-308-6</t>
  </si>
  <si>
    <t>L-355-8</t>
  </si>
  <si>
    <t>L-371-3</t>
  </si>
  <si>
    <t>L-373-8</t>
  </si>
  <si>
    <t>L-386-2</t>
  </si>
  <si>
    <t>L-447-2</t>
  </si>
  <si>
    <t>L-448-9</t>
  </si>
  <si>
    <t>L-451-6</t>
  </si>
  <si>
    <t>L-497-7</t>
  </si>
  <si>
    <t>L-512-7</t>
  </si>
  <si>
    <t>L-514-2</t>
  </si>
  <si>
    <t>L-554-2</t>
  </si>
  <si>
    <t>L-627-2</t>
  </si>
  <si>
    <t>L-694-3</t>
  </si>
  <si>
    <t>L-793-8</t>
  </si>
  <si>
    <t>L-804-2</t>
  </si>
  <si>
    <t>L-823-9</t>
  </si>
  <si>
    <t>L-831-6</t>
  </si>
  <si>
    <t>L-867-5</t>
  </si>
  <si>
    <t>L-871-6</t>
  </si>
  <si>
    <t>L-883-9</t>
  </si>
  <si>
    <t>L-885-5</t>
  </si>
  <si>
    <t>L-889-7</t>
  </si>
  <si>
    <t>L-939-7</t>
  </si>
  <si>
    <t>L-956-9</t>
  </si>
  <si>
    <t>L-988-7</t>
  </si>
  <si>
    <t>V-243-5</t>
  </si>
  <si>
    <t>V-431-1</t>
  </si>
  <si>
    <t>V-615-1</t>
  </si>
  <si>
    <t>V-832-6</t>
  </si>
  <si>
    <t>V-847-3</t>
  </si>
  <si>
    <t>V-925-6</t>
  </si>
  <si>
    <t>V-115-2</t>
  </si>
  <si>
    <t>V-555-3</t>
  </si>
  <si>
    <t>V-666-7</t>
  </si>
  <si>
    <t>V-705-1</t>
  </si>
  <si>
    <t>V-754-4</t>
  </si>
  <si>
    <t>V-995-1</t>
  </si>
  <si>
    <t>[i7-77HQ cpu processor]</t>
  </si>
  <si>
    <t>[i7-47HQ cpu processor]</t>
  </si>
  <si>
    <t>[i5-73HQ cpu processor]</t>
  </si>
  <si>
    <t>[i7-67HQ cpu processor]</t>
  </si>
  <si>
    <t>[i7-78HK cpu processor]</t>
  </si>
  <si>
    <t>[i7-69HQ cpu processor]</t>
  </si>
  <si>
    <t>[i7-77K cpu processor]</t>
  </si>
  <si>
    <t>[i7-68HK cpu processor]</t>
  </si>
  <si>
    <t>[i7-87H cpu processor]</t>
  </si>
  <si>
    <t>[512 HDD disk drive]</t>
  </si>
  <si>
    <t>[1024 SSD PCI disk drive]</t>
  </si>
  <si>
    <t>[256 SSD disk drive]</t>
  </si>
  <si>
    <t>[512 SSD disk drive]</t>
  </si>
  <si>
    <t>[512 SSD PCI disk drive]</t>
  </si>
  <si>
    <t>[128 SSD disk drive]</t>
  </si>
  <si>
    <t>[1024 HDD disk drive]</t>
  </si>
  <si>
    <t>[256 SSD PCI disk drive]</t>
  </si>
  <si>
    <t>[256 HDD disk drive]</t>
  </si>
  <si>
    <t>[1024 SSD disk drive]</t>
  </si>
  <si>
    <t>[128 SSD PCI disk drive]</t>
  </si>
  <si>
    <t>[2048 HDD disk drive]</t>
  </si>
  <si>
    <t>[CDE 13 BusPro X laptop]</t>
  </si>
  <si>
    <t>[CDE 17  V laptop]</t>
  </si>
  <si>
    <t>[CDE 15 BusPro X laptop]</t>
  </si>
  <si>
    <t>[CDE 15 Gamer K laptop]</t>
  </si>
  <si>
    <t>[CDE 13 Gamer V laptop]</t>
  </si>
  <si>
    <t>[CDE 15 BusPro V laptop]</t>
  </si>
  <si>
    <t>[CDE 17 Gamer X laptop]</t>
  </si>
  <si>
    <t>[CDE 17 Gamer V laptop]</t>
  </si>
  <si>
    <t>[CDE 21 Gamer K laptop]</t>
  </si>
  <si>
    <t>[CDE 17 BusPro V laptop]</t>
  </si>
  <si>
    <t>[CDE 21 Gamer V laptop]</t>
  </si>
  <si>
    <t>[CDE 21  K laptop]</t>
  </si>
  <si>
    <t>[CDE 21  X laptop]</t>
  </si>
  <si>
    <t>[CDE 21 BusPro K laptop]</t>
  </si>
  <si>
    <t>[CDE 15 BusPro K laptop]</t>
  </si>
  <si>
    <t>[CDE 13 Gamer K laptop]</t>
  </si>
  <si>
    <t>[CDE 15  V laptop]</t>
  </si>
  <si>
    <t>[CDE 13 BusPro K laptop]</t>
  </si>
  <si>
    <t>[CDE 21 BusPro X laptop]</t>
  </si>
  <si>
    <t>[CDE 13  V laptop]</t>
  </si>
  <si>
    <t>[CDE 21  V laptop]</t>
  </si>
  <si>
    <t>[CDE 13 BusPro V laptop]</t>
  </si>
  <si>
    <t>[CDE 13  K laptop]</t>
  </si>
  <si>
    <t>[CDE 21 BusPro V laptop]</t>
  </si>
  <si>
    <t>[CDE 17  K laptop]</t>
  </si>
  <si>
    <t>[CDE 17 Gamer K laptop]</t>
  </si>
  <si>
    <t>[CDE 15  X laptop]</t>
  </si>
  <si>
    <t>[CDE 17  X laptop]</t>
  </si>
  <si>
    <t>[CDE 17 BusPro X laptop]</t>
  </si>
  <si>
    <t>[CDE 21 Gamer X laptop]</t>
  </si>
  <si>
    <t>[CDE 15  K laptop]</t>
  </si>
  <si>
    <t>[CDE 17 BusPro K laptop]</t>
  </si>
  <si>
    <t>[CDE 15 Gamer V laptop]</t>
  </si>
  <si>
    <t>[CDE 13  X laptop]</t>
  </si>
  <si>
    <t>[CDE 13 Gamer X laptop]</t>
  </si>
  <si>
    <t>[CDE 15 Gamer X laptop]</t>
  </si>
  <si>
    <t>[1080 SLI video card]</t>
  </si>
  <si>
    <t>[1070 Max-Q video card]</t>
  </si>
  <si>
    <t>[1070 16GB video card]</t>
  </si>
  <si>
    <t>[1080 8GB video card]</t>
  </si>
  <si>
    <t>[1080 Max-Q video card]</t>
  </si>
  <si>
    <t>[1060 6GB video card]</t>
  </si>
  <si>
    <t>[17.3" IPS video screen]</t>
  </si>
  <si>
    <t>[15.6" IPS video screen]</t>
  </si>
  <si>
    <t>[15.6" 120Hz video screen]</t>
  </si>
  <si>
    <t>[13.3" video screen]</t>
  </si>
  <si>
    <t>[15.6" video screen]</t>
  </si>
  <si>
    <t>[15.6" IPS G-Sync video screen]</t>
  </si>
  <si>
    <t>Starting QTY</t>
  </si>
  <si>
    <t>Change in QTY</t>
  </si>
  <si>
    <t>Row A</t>
  </si>
  <si>
    <t>Row B</t>
  </si>
  <si>
    <t>Row C</t>
  </si>
  <si>
    <t>Row D</t>
  </si>
  <si>
    <t>Row E</t>
  </si>
  <si>
    <t>Bin 1</t>
  </si>
  <si>
    <t>Bin 2</t>
  </si>
  <si>
    <t>Bin 3</t>
  </si>
  <si>
    <t>Bin 4</t>
  </si>
  <si>
    <t>Bin 5</t>
  </si>
  <si>
    <t>Item List</t>
  </si>
  <si>
    <t>[CDE 13  V laptop], [CDE 13  X laptop], [CDE 13  K laptop]</t>
  </si>
  <si>
    <t>[CDE 15  V laptop], [CDE 15  X laptop]</t>
  </si>
  <si>
    <t>[CDE 15  K laptop], [CDE 17  V laptop], [CDE 17  X laptop]</t>
  </si>
  <si>
    <t>[CDE 17  K laptop], [CDE 21  V laptop]</t>
  </si>
  <si>
    <t>[CDE 21  X laptop], [CDE 21  K laptop]</t>
  </si>
  <si>
    <t>[CDE 13 Gamer V laptop], [CDE 13 Gamer X laptop]</t>
  </si>
  <si>
    <t>[CDE 13 Gamer K laptop], [CDE 15 Gamer V laptop], [CDE 15 Gamer X laptop]</t>
  </si>
  <si>
    <t>[CDE 15 Gamer K laptop], [CDE 17 Gamer V laptop], [CDE 17 Gamer X laptop]</t>
  </si>
  <si>
    <t>[CDE 17 Gamer K laptop], [CDE 21 Gamer V laptop]</t>
  </si>
  <si>
    <t>[CDE 21 Gamer X laptop], [CDE 21 Gamer K laptop]</t>
  </si>
  <si>
    <t>[CDE 13 BusPro V laptop], [CDE 13 BusPro X laptop]</t>
  </si>
  <si>
    <t>[CDE 13 BusPro K laptop], [CDE 15 BusPro V laptop]</t>
  </si>
  <si>
    <t>[CDE 15 BusPro X laptop], [CDE 15 BusPro K laptop], [CDE 17 BusPro V laptop]</t>
  </si>
  <si>
    <t>[CDE 17 BusPro X laptop], [CDE 17 BusPro K laptop], [CDE 21 BusPro V laptop]</t>
  </si>
  <si>
    <t>[CDE 21 BusPro X laptop], [CDE 21 BusPro K laptop]</t>
  </si>
  <si>
    <t>[i7-69HQ cpu processor], [i7-77HQ cpu processor], [i7-78HK cpu processor]</t>
  </si>
  <si>
    <t>[i7-87H cpu processor], [i7-68HK cpu processor], [i7-67HQ cpu processor]</t>
  </si>
  <si>
    <t>[i7-77K cpu processor], [i7-47HQ cpu processor], [i5-73HQ cpu processor]</t>
  </si>
  <si>
    <t>[1080 SLI video card], [1080 Max-Q video card], [1080 8GB video card]</t>
  </si>
  <si>
    <t>[1070 Max-Q video card], [1060 6GB video card], [1070 16GB video card]</t>
  </si>
  <si>
    <t>[128 SSD disk drive], [128 SSD PCI disk drive], [256 SSD disk drive], [256 SSD PCI disk drive]</t>
  </si>
  <si>
    <t>[512 SSD disk drive], [512 SSD PCI disk drive], [1024 SSD disk drive], [1024 SSD PCI disk drive]</t>
  </si>
  <si>
    <t>[256 HDD disk drive], [512 HDD disk drive], [1024 HDD disk drive], [2048 HDD disk drive]</t>
  </si>
  <si>
    <t>[17.3" IPS video screen], [15.6" IPS video screen], [15.6" 120Hz video screen]</t>
  </si>
  <si>
    <t>[15.6" video screen], [15.6" IPS G-Sync video screen], [13.3" video screen]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</si>
</sst>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0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8"/>
      <color theme="9"/>
      <name val="Corbel"/>
      <family val="2"/>
    </font>
    <font>
      <sz val="14"/>
      <color theme="9" tint="-0.249977111117893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9">
    <xf numFmtId="0" fontId="0" fillId="0" borderId="0" xfId="0"/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1" applyFont="1"/>
    <xf numFmtId="0" fontId="5" fillId="0" borderId="0" xfId="0" applyFont="1"/>
    <xf numFmtId="0" fontId="6" fillId="0" borderId="0" xfId="0" applyFont="1"/>
    <xf numFmtId="0" fontId="2" fillId="3" borderId="1" xfId="3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0" xfId="0" applyNumberFormat="1"/>
    <xf numFmtId="0" fontId="8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9" fillId="0" borderId="1" xfId="0" applyFont="1" applyBorder="1" applyAlignment="1">
      <alignment vertical="top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wrapText="1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H5" s="6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volatileDependencies" Target="volatileDependenci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Patrick Carey" refreshedDate="44451.78082453704" backgroundQuery="1" createdVersion="3" refreshedVersion="6" minRefreshableVersion="3" recordCount="0" tupleCache="1" xr:uid="{63294FEB-A1F0-4124-8B28-5252783A281E}">
  <cacheSource type="external" connectionId="1"/>
  <cacheFields count="1">
    <cacheField name="[Measures].[MeasuresLevel]" caption="MeasuresLevel" numFmtId="0" hierarchy="4">
      <sharedItems count="1">
        <s v="[Measures].[Inventory Value]" c="Inventory Value"/>
      </sharedItems>
    </cacheField>
  </cacheFields>
  <cacheHierarchies count="23">
    <cacheHierarchy uniqueName="[Inventory].[Date]" caption="Date" attribute="1" time="1" defaultMemberUniqueName="[Inventory].[Date].[All]" allUniqueName="[Inventory].[Date].[All]" dimensionUniqueName="[Inventory]" displayFolder="" count="2" memberValueDatatype="7" unbalanced="0"/>
    <cacheHierarchy uniqueName="[Inventory].[SKU]" caption="SKU" attribute="1" defaultMemberUniqueName="[Inventory].[SKU].[All]" allUniqueName="[Inventory].[SKU].[All]" dimensionUniqueName="[Inventory]" displayFolder="" count="2" memberValueDatatype="130" unbalanced="0"/>
    <cacheHierarchy uniqueName="[Inventory].[Change]" caption="Change" attribute="1" defaultMemberUniqueName="[Inventory].[Change].[All]" allUniqueName="[Inventory].[Change].[All]" dimensionUniqueName="[Inventory]" displayFolder="" count="2" memberValueDatatype="20" unbalanced="0"/>
    <cacheHierarchy uniqueName="[Inventory].[Action]" caption="Action" attribute="1" defaultMemberUniqueName="[Inventory].[Action].[All]" allUniqueName="[Inventory].[Action].[All]" dimensionUniqueName="[Inventory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Products].[SKU]" caption="SKU" attribute="1" defaultMemberUniqueName="[Products].[SKU].[All]" allUniqueName="[Products].[SKU].[All]" dimensionUniqueName="[Products]" displayFolder="" count="2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Warehouse Row]" caption="Warehouse Row" attribute="1" defaultMemberUniqueName="[Products].[Warehouse Row].[All]" allUniqueName="[Products].[Warehouse Row].[All]" dimensionUniqueName="[Products]" displayFolder="" count="2" memberValueDatatype="130" unbalanced="0"/>
    <cacheHierarchy uniqueName="[Products].[Storage Bin]" caption="Storage Bin" attribute="1" defaultMemberUniqueName="[Products].[Storage Bin].[All]" allUniqueName="[Products].[Storage Bin].[All]" dimensionUniqueName="[Products]" displayFolder="" count="2" memberValueDatatype="130" unbalanced="0"/>
    <cacheHierarchy uniqueName="[Products].[Unit Value]" caption="Unit Value" attribute="1" defaultMemberUniqueName="[Products].[Unit Value].[All]" allUniqueName="[Products].[Unit Value].[All]" dimensionUniqueName="[Products]" displayFolder="" count="2" memberValueDatatype="5" unbalanced="0"/>
    <cacheHierarchy uniqueName="[Products].[Initial QTY]" caption="Initial QTY" attribute="1" defaultMemberUniqueName="[Products].[Initial QTY].[All]" allUniqueName="[Products].[Initial QTY].[All]" dimensionUniqueName="[Products]" displayFolder="" count="2" memberValueDatatype="20" unbalanced="0"/>
    <cacheHierarchy uniqueName="[Products].[Restock Level]" caption="Restock Level" attribute="1" defaultMemberUniqueName="[Products].[Restock Level].[All]" allUniqueName="[Products].[Restock Level].[All]" dimensionUniqueName="[Products]" displayFolder="" count="2" memberValueDatatype="20" unbalanced="0"/>
    <cacheHierarchy uniqueName="[Products].[Restock Amount]" caption="Restock Amount" attribute="1" defaultMemberUniqueName="[Products].[Restock Amount].[All]" allUniqueName="[Products].[Restock Amount].[All]" dimensionUniqueName="[Products]" displayFolder="" count="2" memberValueDatatype="20" unbalanced="0"/>
    <cacheHierarchy uniqueName="[Measures].[Sum of Initial QTY]" caption="Sum of Initial QTY" measure="1" displayFolder="" measureGroup="Product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hange]" caption="Sum of Change" measure="1" displayFolder="" measureGroup="Invento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urrent QTY]" caption="Current QTY" measure="1" displayFolder="" measureGroup="Products" count="0"/>
    <cacheHierarchy uniqueName="[Measures].[Inventory Value]" caption="Inventory Value" measure="1" displayFolder="" measureGroup="Products" count="0"/>
    <cacheHierarchy uniqueName="[Measures].[Restock Order]" caption="Restock Order" measure="1" displayFolder="" measureGroup="Products" count="0"/>
    <cacheHierarchy uniqueName="[Measures].[Item List]" caption="Item List" measure="1" displayFolder="" measureGroup="Products" count="0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No measures defined]" caption="__No measures defined" measure="1" displayFolder="" count="0" hidden="1"/>
  </cacheHierarchies>
  <kpis count="0"/>
  <tupleCache>
    <entries count="1">
      <n v="4044555.35" in="0">
        <tpls c="1">
          <tpl fld="0" item="0"/>
        </tpls>
      </n>
    </entries>
    <queryCache count="1">
      <query mdx="[Measures].[Inventory Value]">
        <tpls c="1">
          <tpl fld="0" item="0"/>
        </tpls>
      </query>
    </queryCache>
    <serverFormats count="1">
      <serverFormat format="\$#,0.00;(\$#,0.00);\$#,0.0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78082615741" backgroundQuery="1" createdVersion="6" refreshedVersion="6" minRefreshableVersion="3" recordCount="0" supportSubquery="1" supportAdvancedDrill="1" xr:uid="{1BEFF03A-155A-4797-A295-41B9BB66366B}">
  <cacheSource type="external" connectionId="1"/>
  <cacheFields count="8">
    <cacheField name="[Products].[Category].[Category]" caption="Category" numFmtId="0" hierarchy="6" level="1">
      <sharedItems count="5">
        <s v="CPU Processors"/>
        <s v="Disk Drives"/>
        <s v="Laptops"/>
        <s v="Video Cards"/>
        <s v="Video Screens"/>
      </sharedItems>
      <extLst>
        <ext xmlns:x15="http://schemas.microsoft.com/office/spreadsheetml/2010/11/main" uri="{4F2E5C28-24EA-4eb8-9CBF-B6C8F9C3D259}">
          <x15:cachedUniqueNames>
            <x15:cachedUniqueName index="0" name="[Products].[Category].&amp;[CPU Processors]"/>
            <x15:cachedUniqueName index="1" name="[Products].[Category].&amp;[Disk Drives]"/>
            <x15:cachedUniqueName index="2" name="[Products].[Category].&amp;[Laptops]"/>
            <x15:cachedUniqueName index="3" name="[Products].[Category].&amp;[Video Cards]"/>
            <x15:cachedUniqueName index="4" name="[Products].[Category].&amp;[Video Screens]"/>
          </x15:cachedUniqueNames>
        </ext>
      </extLst>
    </cacheField>
    <cacheField name="[Products].[SKU].[SKU]" caption="SKU" numFmtId="0" hierarchy="4" level="1">
      <sharedItems count="69">
        <s v="C-342-4"/>
        <s v="C-499-2"/>
        <s v="C-702-2"/>
        <s v="C-746-3"/>
        <s v="C-762-9"/>
        <s v="C-824-4"/>
        <s v="C-898-7"/>
        <s v="C-929-5"/>
        <s v="C-941-1"/>
        <s v="D-123-6"/>
        <s v="D-176-8"/>
        <s v="D-240-1"/>
        <s v="D-338-4"/>
        <s v="D-369-1"/>
        <s v="D-522-8"/>
        <s v="D-709-2"/>
        <s v="D-787-9"/>
        <s v="D-816-2"/>
        <s v="D-872-5"/>
        <s v="D-884-1"/>
        <s v="D-935-8"/>
        <s v="L-117-7"/>
        <s v="L-133-2"/>
        <s v="L-216-3"/>
        <s v="L-227-3"/>
        <s v="L-246-1"/>
        <s v="L-263-5"/>
        <s v="L-268-3"/>
        <s v="L-270-5"/>
        <s v="L-271-8"/>
        <s v="L-276-8"/>
        <s v="L-308-6"/>
        <s v="L-355-8"/>
        <s v="L-371-3"/>
        <s v="L-373-8"/>
        <s v="L-386-2"/>
        <s v="L-447-2"/>
        <s v="L-448-9"/>
        <s v="L-451-6"/>
        <s v="L-497-7"/>
        <s v="L-512-7"/>
        <s v="L-514-2"/>
        <s v="L-554-2"/>
        <s v="L-627-2"/>
        <s v="L-694-3"/>
        <s v="L-793-8"/>
        <s v="L-804-2"/>
        <s v="L-823-9"/>
        <s v="L-831-6"/>
        <s v="L-867-5"/>
        <s v="L-871-6"/>
        <s v="L-883-9"/>
        <s v="L-885-5"/>
        <s v="L-889-7"/>
        <s v="L-939-7"/>
        <s v="L-956-9"/>
        <s v="L-988-7"/>
        <s v="V-243-5"/>
        <s v="V-431-1"/>
        <s v="V-615-1"/>
        <s v="V-832-6"/>
        <s v="V-847-3"/>
        <s v="V-925-6"/>
        <s v="V-115-2"/>
        <s v="V-555-3"/>
        <s v="V-666-7"/>
        <s v="V-705-1"/>
        <s v="V-754-4"/>
        <s v="V-995-1"/>
      </sharedItems>
      <extLst>
        <ext xmlns:x15="http://schemas.microsoft.com/office/spreadsheetml/2010/11/main" uri="{4F2E5C28-24EA-4eb8-9CBF-B6C8F9C3D259}">
          <x15:cachedUniqueNames>
            <x15:cachedUniqueName index="0" name="[Products].[SKU].&amp;[C-342-4]"/>
            <x15:cachedUniqueName index="1" name="[Products].[SKU].&amp;[C-499-2]"/>
            <x15:cachedUniqueName index="2" name="[Products].[SKU].&amp;[C-702-2]"/>
            <x15:cachedUniqueName index="3" name="[Products].[SKU].&amp;[C-746-3]"/>
            <x15:cachedUniqueName index="4" name="[Products].[SKU].&amp;[C-762-9]"/>
            <x15:cachedUniqueName index="5" name="[Products].[SKU].&amp;[C-824-4]"/>
            <x15:cachedUniqueName index="6" name="[Products].[SKU].&amp;[C-898-7]"/>
            <x15:cachedUniqueName index="7" name="[Products].[SKU].&amp;[C-929-5]"/>
            <x15:cachedUniqueName index="8" name="[Products].[SKU].&amp;[C-941-1]"/>
            <x15:cachedUniqueName index="9" name="[Products].[SKU].&amp;[D-123-6]"/>
            <x15:cachedUniqueName index="10" name="[Products].[SKU].&amp;[D-176-8]"/>
            <x15:cachedUniqueName index="11" name="[Products].[SKU].&amp;[D-240-1]"/>
            <x15:cachedUniqueName index="12" name="[Products].[SKU].&amp;[D-338-4]"/>
            <x15:cachedUniqueName index="13" name="[Products].[SKU].&amp;[D-369-1]"/>
            <x15:cachedUniqueName index="14" name="[Products].[SKU].&amp;[D-522-8]"/>
            <x15:cachedUniqueName index="15" name="[Products].[SKU].&amp;[D-709-2]"/>
            <x15:cachedUniqueName index="16" name="[Products].[SKU].&amp;[D-787-9]"/>
            <x15:cachedUniqueName index="17" name="[Products].[SKU].&amp;[D-816-2]"/>
            <x15:cachedUniqueName index="18" name="[Products].[SKU].&amp;[D-872-5]"/>
            <x15:cachedUniqueName index="19" name="[Products].[SKU].&amp;[D-884-1]"/>
            <x15:cachedUniqueName index="20" name="[Products].[SKU].&amp;[D-935-8]"/>
            <x15:cachedUniqueName index="21" name="[Products].[SKU].&amp;[L-117-7]"/>
            <x15:cachedUniqueName index="22" name="[Products].[SKU].&amp;[L-133-2]"/>
            <x15:cachedUniqueName index="23" name="[Products].[SKU].&amp;[L-216-3]"/>
            <x15:cachedUniqueName index="24" name="[Products].[SKU].&amp;[L-227-3]"/>
            <x15:cachedUniqueName index="25" name="[Products].[SKU].&amp;[L-246-1]"/>
            <x15:cachedUniqueName index="26" name="[Products].[SKU].&amp;[L-263-5]"/>
            <x15:cachedUniqueName index="27" name="[Products].[SKU].&amp;[L-268-3]"/>
            <x15:cachedUniqueName index="28" name="[Products].[SKU].&amp;[L-270-5]"/>
            <x15:cachedUniqueName index="29" name="[Products].[SKU].&amp;[L-271-8]"/>
            <x15:cachedUniqueName index="30" name="[Products].[SKU].&amp;[L-276-8]"/>
            <x15:cachedUniqueName index="31" name="[Products].[SKU].&amp;[L-308-6]"/>
            <x15:cachedUniqueName index="32" name="[Products].[SKU].&amp;[L-355-8]"/>
            <x15:cachedUniqueName index="33" name="[Products].[SKU].&amp;[L-371-3]"/>
            <x15:cachedUniqueName index="34" name="[Products].[SKU].&amp;[L-373-8]"/>
            <x15:cachedUniqueName index="35" name="[Products].[SKU].&amp;[L-386-2]"/>
            <x15:cachedUniqueName index="36" name="[Products].[SKU].&amp;[L-447-2]"/>
            <x15:cachedUniqueName index="37" name="[Products].[SKU].&amp;[L-448-9]"/>
            <x15:cachedUniqueName index="38" name="[Products].[SKU].&amp;[L-451-6]"/>
            <x15:cachedUniqueName index="39" name="[Products].[SKU].&amp;[L-497-7]"/>
            <x15:cachedUniqueName index="40" name="[Products].[SKU].&amp;[L-512-7]"/>
            <x15:cachedUniqueName index="41" name="[Products].[SKU].&amp;[L-514-2]"/>
            <x15:cachedUniqueName index="42" name="[Products].[SKU].&amp;[L-554-2]"/>
            <x15:cachedUniqueName index="43" name="[Products].[SKU].&amp;[L-627-2]"/>
            <x15:cachedUniqueName index="44" name="[Products].[SKU].&amp;[L-694-3]"/>
            <x15:cachedUniqueName index="45" name="[Products].[SKU].&amp;[L-793-8]"/>
            <x15:cachedUniqueName index="46" name="[Products].[SKU].&amp;[L-804-2]"/>
            <x15:cachedUniqueName index="47" name="[Products].[SKU].&amp;[L-823-9]"/>
            <x15:cachedUniqueName index="48" name="[Products].[SKU].&amp;[L-831-6]"/>
            <x15:cachedUniqueName index="49" name="[Products].[SKU].&amp;[L-867-5]"/>
            <x15:cachedUniqueName index="50" name="[Products].[SKU].&amp;[L-871-6]"/>
            <x15:cachedUniqueName index="51" name="[Products].[SKU].&amp;[L-883-9]"/>
            <x15:cachedUniqueName index="52" name="[Products].[SKU].&amp;[L-885-5]"/>
            <x15:cachedUniqueName index="53" name="[Products].[SKU].&amp;[L-889-7]"/>
            <x15:cachedUniqueName index="54" name="[Products].[SKU].&amp;[L-939-7]"/>
            <x15:cachedUniqueName index="55" name="[Products].[SKU].&amp;[L-956-9]"/>
            <x15:cachedUniqueName index="56" name="[Products].[SKU].&amp;[L-988-7]"/>
            <x15:cachedUniqueName index="57" name="[Products].[SKU].&amp;[V-243-5]"/>
            <x15:cachedUniqueName index="58" name="[Products].[SKU].&amp;[V-431-1]"/>
            <x15:cachedUniqueName index="59" name="[Products].[SKU].&amp;[V-615-1]"/>
            <x15:cachedUniqueName index="60" name="[Products].[SKU].&amp;[V-832-6]"/>
            <x15:cachedUniqueName index="61" name="[Products].[SKU].&amp;[V-847-3]"/>
            <x15:cachedUniqueName index="62" name="[Products].[SKU].&amp;[V-925-6]"/>
            <x15:cachedUniqueName index="63" name="[Products].[SKU].&amp;[V-115-2]"/>
            <x15:cachedUniqueName index="64" name="[Products].[SKU].&amp;[V-555-3]"/>
            <x15:cachedUniqueName index="65" name="[Products].[SKU].&amp;[V-666-7]"/>
            <x15:cachedUniqueName index="66" name="[Products].[SKU].&amp;[V-705-1]"/>
            <x15:cachedUniqueName index="67" name="[Products].[SKU].&amp;[V-754-4]"/>
            <x15:cachedUniqueName index="68" name="[Products].[SKU].&amp;[V-995-1]"/>
          </x15:cachedUniqueNames>
        </ext>
      </extLst>
    </cacheField>
    <cacheField name="[Products].[Description].[Description]" caption="Description" numFmtId="0" hierarchy="5" level="1">
      <sharedItems count="69">
        <s v="[i7-77HQ cpu processor]"/>
        <s v="[i7-47HQ cpu processor]"/>
        <s v="[i5-73HQ cpu processor]"/>
        <s v="[i7-67HQ cpu processor]"/>
        <s v="[i7-78HK cpu processor]"/>
        <s v="[i7-69HQ cpu processor]"/>
        <s v="[i7-77K cpu processor]"/>
        <s v="[i7-68HK cpu processor]"/>
        <s v="[i7-87H cpu processor]"/>
        <s v="[512 HDD disk drive]"/>
        <s v="[1024 SSD PCI disk drive]"/>
        <s v="[256 SSD disk drive]"/>
        <s v="[512 SSD disk drive]"/>
        <s v="[512 SSD PCI disk drive]"/>
        <s v="[128 SSD disk drive]"/>
        <s v="[1024 HDD disk drive]"/>
        <s v="[256 SSD PCI disk drive]"/>
        <s v="[256 HDD disk drive]"/>
        <s v="[1024 SSD disk drive]"/>
        <s v="[128 SSD PCI disk drive]"/>
        <s v="[2048 HDD disk drive]"/>
        <s v="[CDE 13 BusPro X laptop]"/>
        <s v="[CDE 17  V laptop]"/>
        <s v="[CDE 15 BusPro X laptop]"/>
        <s v="[CDE 15 Gamer K laptop]"/>
        <s v="[CDE 13 Gamer V laptop]"/>
        <s v="[CDE 15 BusPro V laptop]"/>
        <s v="[CDE 17 Gamer X laptop]"/>
        <s v="[CDE 17 Gamer V laptop]"/>
        <s v="[CDE 21 Gamer K laptop]"/>
        <s v="[CDE 17 BusPro V laptop]"/>
        <s v="[CDE 21 Gamer V laptop]"/>
        <s v="[CDE 21  K laptop]"/>
        <s v="[CDE 21  X laptop]"/>
        <s v="[CDE 21 BusPro K laptop]"/>
        <s v="[CDE 15 BusPro K laptop]"/>
        <s v="[CDE 13 Gamer K laptop]"/>
        <s v="[CDE 15  V laptop]"/>
        <s v="[CDE 13 BusPro K laptop]"/>
        <s v="[CDE 21 BusPro X laptop]"/>
        <s v="[CDE 13  V laptop]"/>
        <s v="[CDE 21  V laptop]"/>
        <s v="[CDE 13 BusPro V laptop]"/>
        <s v="[CDE 13  K laptop]"/>
        <s v="[CDE 21 BusPro V laptop]"/>
        <s v="[CDE 17  K laptop]"/>
        <s v="[CDE 17 Gamer K laptop]"/>
        <s v="[CDE 15  X laptop]"/>
        <s v="[CDE 17  X laptop]"/>
        <s v="[CDE 17 BusPro X laptop]"/>
        <s v="[CDE 21 Gamer X laptop]"/>
        <s v="[CDE 15  K laptop]"/>
        <s v="[CDE 17 BusPro K laptop]"/>
        <s v="[CDE 15 Gamer V laptop]"/>
        <s v="[CDE 13  X laptop]"/>
        <s v="[CDE 13 Gamer X laptop]"/>
        <s v="[CDE 15 Gamer X laptop]"/>
        <s v="[1080 SLI video card]"/>
        <s v="[1070 Max-Q video card]"/>
        <s v="[1070 16GB video card]"/>
        <s v="[1080 8GB video card]"/>
        <s v="[1080 Max-Q video card]"/>
        <s v="[1060 6GB video card]"/>
        <s v="[17.3&quot; IPS video screen]"/>
        <s v="[15.6&quot; IPS video screen]"/>
        <s v="[15.6&quot; 120Hz video screen]"/>
        <s v="[13.3&quot; video screen]"/>
        <s v="[15.6&quot; video screen]"/>
        <s v="[15.6&quot; IPS G-Sync video screen]"/>
      </sharedItems>
      <extLst>
        <ext xmlns:x15="http://schemas.microsoft.com/office/spreadsheetml/2010/11/main" uri="{4F2E5C28-24EA-4eb8-9CBF-B6C8F9C3D259}">
          <x15:cachedUniqueNames>
            <x15:cachedUniqueName index="0" name="[Products].[Description].&amp;[[i7-77HQ cpu processor]]]"/>
            <x15:cachedUniqueName index="1" name="[Products].[Description].&amp;[[i7-47HQ cpu processor]]]"/>
            <x15:cachedUniqueName index="2" name="[Products].[Description].&amp;[[i5-73HQ cpu processor]]]"/>
            <x15:cachedUniqueName index="3" name="[Products].[Description].&amp;[[i7-67HQ cpu processor]]]"/>
            <x15:cachedUniqueName index="4" name="[Products].[Description].&amp;[[i7-78HK cpu processor]]]"/>
            <x15:cachedUniqueName index="5" name="[Products].[Description].&amp;[[i7-69HQ cpu processor]]]"/>
            <x15:cachedUniqueName index="6" name="[Products].[Description].&amp;[[i7-77K cpu processor]]]"/>
            <x15:cachedUniqueName index="7" name="[Products].[Description].&amp;[[i7-68HK cpu processor]]]"/>
            <x15:cachedUniqueName index="8" name="[Products].[Description].&amp;[[i7-87H cpu processor]]]"/>
            <x15:cachedUniqueName index="9" name="[Products].[Description].&amp;[[512 HDD disk drive]]]"/>
            <x15:cachedUniqueName index="10" name="[Products].[Description].&amp;[[1024 SSD PCI disk drive]]]"/>
            <x15:cachedUniqueName index="11" name="[Products].[Description].&amp;[[256 SSD disk drive]]]"/>
            <x15:cachedUniqueName index="12" name="[Products].[Description].&amp;[[512 SSD disk drive]]]"/>
            <x15:cachedUniqueName index="13" name="[Products].[Description].&amp;[[512 SSD PCI disk drive]]]"/>
            <x15:cachedUniqueName index="14" name="[Products].[Description].&amp;[[128 SSD disk drive]]]"/>
            <x15:cachedUniqueName index="15" name="[Products].[Description].&amp;[[1024 HDD disk drive]]]"/>
            <x15:cachedUniqueName index="16" name="[Products].[Description].&amp;[[256 SSD PCI disk drive]]]"/>
            <x15:cachedUniqueName index="17" name="[Products].[Description].&amp;[[256 HDD disk drive]]]"/>
            <x15:cachedUniqueName index="18" name="[Products].[Description].&amp;[[1024 SSD disk drive]]]"/>
            <x15:cachedUniqueName index="19" name="[Products].[Description].&amp;[[128 SSD PCI disk drive]]]"/>
            <x15:cachedUniqueName index="20" name="[Products].[Description].&amp;[[2048 HDD disk drive]]]"/>
            <x15:cachedUniqueName index="21" name="[Products].[Description].&amp;[[CDE 13 BusPro X laptop]]]"/>
            <x15:cachedUniqueName index="22" name="[Products].[Description].&amp;[[CDE 17  V laptop]]]"/>
            <x15:cachedUniqueName index="23" name="[Products].[Description].&amp;[[CDE 15 BusPro X laptop]]]"/>
            <x15:cachedUniqueName index="24" name="[Products].[Description].&amp;[[CDE 15 Gamer K laptop]]]"/>
            <x15:cachedUniqueName index="25" name="[Products].[Description].&amp;[[CDE 13 Gamer V laptop]]]"/>
            <x15:cachedUniqueName index="26" name="[Products].[Description].&amp;[[CDE 15 BusPro V laptop]]]"/>
            <x15:cachedUniqueName index="27" name="[Products].[Description].&amp;[[CDE 17 Gamer X laptop]]]"/>
            <x15:cachedUniqueName index="28" name="[Products].[Description].&amp;[[CDE 17 Gamer V laptop]]]"/>
            <x15:cachedUniqueName index="29" name="[Products].[Description].&amp;[[CDE 21 Gamer K laptop]]]"/>
            <x15:cachedUniqueName index="30" name="[Products].[Description].&amp;[[CDE 17 BusPro V laptop]]]"/>
            <x15:cachedUniqueName index="31" name="[Products].[Description].&amp;[[CDE 21 Gamer V laptop]]]"/>
            <x15:cachedUniqueName index="32" name="[Products].[Description].&amp;[[CDE 21  K laptop]]]"/>
            <x15:cachedUniqueName index="33" name="[Products].[Description].&amp;[[CDE 21  X laptop]]]"/>
            <x15:cachedUniqueName index="34" name="[Products].[Description].&amp;[[CDE 21 BusPro K laptop]]]"/>
            <x15:cachedUniqueName index="35" name="[Products].[Description].&amp;[[CDE 15 BusPro K laptop]]]"/>
            <x15:cachedUniqueName index="36" name="[Products].[Description].&amp;[[CDE 13 Gamer K laptop]]]"/>
            <x15:cachedUniqueName index="37" name="[Products].[Description].&amp;[[CDE 15  V laptop]]]"/>
            <x15:cachedUniqueName index="38" name="[Products].[Description].&amp;[[CDE 13 BusPro K laptop]]]"/>
            <x15:cachedUniqueName index="39" name="[Products].[Description].&amp;[[CDE 21 BusPro X laptop]]]"/>
            <x15:cachedUniqueName index="40" name="[Products].[Description].&amp;[[CDE 13  V laptop]]]"/>
            <x15:cachedUniqueName index="41" name="[Products].[Description].&amp;[[CDE 21  V laptop]]]"/>
            <x15:cachedUniqueName index="42" name="[Products].[Description].&amp;[[CDE 13 BusPro V laptop]]]"/>
            <x15:cachedUniqueName index="43" name="[Products].[Description].&amp;[[CDE 13  K laptop]]]"/>
            <x15:cachedUniqueName index="44" name="[Products].[Description].&amp;[[CDE 21 BusPro V laptop]]]"/>
            <x15:cachedUniqueName index="45" name="[Products].[Description].&amp;[[CDE 17  K laptop]]]"/>
            <x15:cachedUniqueName index="46" name="[Products].[Description].&amp;[[CDE 17 Gamer K laptop]]]"/>
            <x15:cachedUniqueName index="47" name="[Products].[Description].&amp;[[CDE 15  X laptop]]]"/>
            <x15:cachedUniqueName index="48" name="[Products].[Description].&amp;[[CDE 17  X laptop]]]"/>
            <x15:cachedUniqueName index="49" name="[Products].[Description].&amp;[[CDE 17 BusPro X laptop]]]"/>
            <x15:cachedUniqueName index="50" name="[Products].[Description].&amp;[[CDE 21 Gamer X laptop]]]"/>
            <x15:cachedUniqueName index="51" name="[Products].[Description].&amp;[[CDE 15  K laptop]]]"/>
            <x15:cachedUniqueName index="52" name="[Products].[Description].&amp;[[CDE 17 BusPro K laptop]]]"/>
            <x15:cachedUniqueName index="53" name="[Products].[Description].&amp;[[CDE 15 Gamer V laptop]]]"/>
            <x15:cachedUniqueName index="54" name="[Products].[Description].&amp;[[CDE 13  X laptop]]]"/>
            <x15:cachedUniqueName index="55" name="[Products].[Description].&amp;[[CDE 13 Gamer X laptop]]]"/>
            <x15:cachedUniqueName index="56" name="[Products].[Description].&amp;[[CDE 15 Gamer X laptop]]]"/>
            <x15:cachedUniqueName index="57" name="[Products].[Description].&amp;[[1080 SLI video card]]]"/>
            <x15:cachedUniqueName index="58" name="[Products].[Description].&amp;[[1070 Max-Q video card]]]"/>
            <x15:cachedUniqueName index="59" name="[Products].[Description].&amp;[[1070 16GB video card]]]"/>
            <x15:cachedUniqueName index="60" name="[Products].[Description].&amp;[[1080 8GB video card]]]"/>
            <x15:cachedUniqueName index="61" name="[Products].[Description].&amp;[[1080 Max-Q video card]]]"/>
            <x15:cachedUniqueName index="62" name="[Products].[Description].&amp;[[1060 6GB video card]]]"/>
            <x15:cachedUniqueName index="63" name="[Products].[Description].&amp;[[17.3&quot; IPS video screen]]]"/>
            <x15:cachedUniqueName index="64" name="[Products].[Description].&amp;[[15.6&quot; IPS video screen]]]"/>
            <x15:cachedUniqueName index="65" name="[Products].[Description].&amp;[[15.6&quot; 120Hz video screen]]]"/>
            <x15:cachedUniqueName index="66" name="[Products].[Description].&amp;[[13.3&quot; video screen]]]"/>
            <x15:cachedUniqueName index="67" name="[Products].[Description].&amp;[[15.6&quot; video screen]]]"/>
            <x15:cachedUniqueName index="68" name="[Products].[Description].&amp;[[15.6&quot; IPS G-Sync video screen]]]"/>
          </x15:cachedUniqueNames>
        </ext>
      </extLst>
    </cacheField>
    <cacheField name="[Measures].[Sum of Initial QTY]" caption="Sum of Initial QTY" numFmtId="0" hierarchy="13" level="32767"/>
    <cacheField name="[Measures].[Sum of Change]" caption="Sum of Change" numFmtId="0" hierarchy="14" level="32767"/>
    <cacheField name="[Measures].[Current QTY]" caption="Current QTY" numFmtId="0" hierarchy="15" level="32767"/>
    <cacheField name="[Measures].[Inventory Value]" caption="Inventory Value" numFmtId="0" hierarchy="16" level="32767"/>
    <cacheField name="[Measures].[Restock Order]" caption="Restock Order" numFmtId="0" hierarchy="17" level="32767"/>
  </cacheFields>
  <cacheHierarchies count="22">
    <cacheHierarchy uniqueName="[Inventory].[Date]" caption="Date" attribute="1" time="1" defaultMemberUniqueName="[Inventory].[Date].[All]" allUniqueName="[Inventory].[Date].[All]" dimensionUniqueName="[Inventory]" displayFolder="" count="0" memberValueDatatype="7" unbalanced="0"/>
    <cacheHierarchy uniqueName="[Inventory].[SKU]" caption="SKU" attribute="1" defaultMemberUniqueName="[Inventory].[SKU].[All]" allUniqueName="[Inventory].[SKU].[All]" dimensionUniqueName="[Inventory]" displayFolder="" count="0" memberValueDatatype="130" unbalanced="0"/>
    <cacheHierarchy uniqueName="[Inventory].[Change]" caption="Change" attribute="1" defaultMemberUniqueName="[Inventory].[Change].[All]" allUniqueName="[Inventory].[Change].[All]" dimensionUniqueName="[Inventory]" displayFolder="" count="0" memberValueDatatype="20" unbalanced="0"/>
    <cacheHierarchy uniqueName="[Inventory].[Action]" caption="Action" attribute="1" defaultMemberUniqueName="[Inventory].[Action].[All]" allUniqueName="[Inventory].[Action].[All]" dimensionUniqueName="[Inventory]" displayFolder="" count="0" memberValueDatatype="130" unbalanced="0"/>
    <cacheHierarchy uniqueName="[Products].[SKU]" caption="SKU" attribute="1" defaultMemberUniqueName="[Products].[SKU].[All]" allUniqueName="[Products].[SKU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Description]" caption="Description" attribute="1" defaultMemberUniqueName="[Products].[Description].[All]" allUniqueName="[Products].[Description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Warehouse Row]" caption="Warehouse Row" attribute="1" defaultMemberUniqueName="[Products].[Warehouse Row].[All]" allUniqueName="[Products].[Warehouse Row].[All]" dimensionUniqueName="[Products]" displayFolder="" count="0" memberValueDatatype="130" unbalanced="0"/>
    <cacheHierarchy uniqueName="[Products].[Storage Bin]" caption="Storage Bin" attribute="1" defaultMemberUniqueName="[Products].[Storage Bin].[All]" allUniqueName="[Products].[Storage Bin].[All]" dimensionUniqueName="[Products]" displayFolder="" count="0" memberValueDatatype="130" unbalanced="0"/>
    <cacheHierarchy uniqueName="[Products].[Unit Value]" caption="Unit Value" attribute="1" defaultMemberUniqueName="[Products].[Unit Value].[All]" allUniqueName="[Products].[Unit Value].[All]" dimensionUniqueName="[Products]" displayFolder="" count="0" memberValueDatatype="5" unbalanced="0"/>
    <cacheHierarchy uniqueName="[Products].[Initial QTY]" caption="Initial QTY" attribute="1" defaultMemberUniqueName="[Products].[Initial QTY].[All]" allUniqueName="[Products].[Initial QTY].[All]" dimensionUniqueName="[Products]" displayFolder="" count="0" memberValueDatatype="20" unbalanced="0"/>
    <cacheHierarchy uniqueName="[Products].[Restock Level]" caption="Restock Level" attribute="1" defaultMemberUniqueName="[Products].[Restock Level].[All]" allUniqueName="[Products].[Restock Level].[All]" dimensionUniqueName="[Products]" displayFolder="" count="0" memberValueDatatype="20" unbalanced="0"/>
    <cacheHierarchy uniqueName="[Products].[Restock Amount]" caption="Restock Amount" attribute="1" defaultMemberUniqueName="[Products].[Restock Amount].[All]" allUniqueName="[Products].[Restock Amount].[All]" dimensionUniqueName="[Products]" displayFolder="" count="0" memberValueDatatype="20" unbalanced="0"/>
    <cacheHierarchy uniqueName="[Measures].[Sum of Initial QTY]" caption="Sum of Initial QTY" measure="1" displayFolder="" measureGroup="Product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hange]" caption="Sum of Change" measure="1" displayFolder="" measureGroup="Invento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urrent QTY]" caption="Current QTY" measure="1" displayFolder="" measureGroup="Products" count="0" oneField="1">
      <fieldsUsage count="1">
        <fieldUsage x="5"/>
      </fieldsUsage>
    </cacheHierarchy>
    <cacheHierarchy uniqueName="[Measures].[Inventory Value]" caption="Inventory Value" measure="1" displayFolder="" measureGroup="Products" count="0" oneField="1">
      <fieldsUsage count="1">
        <fieldUsage x="6"/>
      </fieldsUsage>
    </cacheHierarchy>
    <cacheHierarchy uniqueName="[Measures].[Restock Order]" caption="Restock Order" measure="1" displayFolder="" measureGroup="Products" count="0" oneField="1">
      <fieldsUsage count="1">
        <fieldUsage x="7"/>
      </fieldsUsage>
    </cacheHierarchy>
    <cacheHierarchy uniqueName="[Measures].[Item List]" caption="Item List" measure="1" displayFolder="" measureGroup="Products" count="0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No measures defined]" caption="__No measures defined" measure="1" displayFolder="" count="0" hidden="1"/>
  </cacheHierarchies>
  <kpis count="0"/>
  <dimensions count="3">
    <dimension name="Inventory" uniqueName="[Inventory]" caption="Inventory"/>
    <dimension measure="1" name="Measures" uniqueName="[Measures]" caption="Measures"/>
    <dimension name="Products" uniqueName="[Products]" caption="Products"/>
  </dimensions>
  <measureGroups count="2">
    <measureGroup name="Inventory" caption="Inventory"/>
    <measureGroup name="Products" caption="Product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780922453705" backgroundQuery="1" createdVersion="6" refreshedVersion="6" minRefreshableVersion="3" recordCount="0" supportSubquery="1" supportAdvancedDrill="1" xr:uid="{F421E4DC-138C-4BC3-BC0A-759DCE0799E1}">
  <cacheSource type="external" connectionId="1"/>
  <cacheFields count="3">
    <cacheField name="[Products].[Warehouse Row].[Warehouse Row]" caption="Warehouse Row" numFmtId="0" hierarchy="7" level="1">
      <sharedItems count="5">
        <s v="Row A"/>
        <s v="Row B"/>
        <s v="Row C"/>
        <s v="Row D"/>
        <s v="Row E"/>
      </sharedItems>
      <extLst>
        <ext xmlns:x15="http://schemas.microsoft.com/office/spreadsheetml/2010/11/main" uri="{4F2E5C28-24EA-4eb8-9CBF-B6C8F9C3D259}">
          <x15:cachedUniqueNames>
            <x15:cachedUniqueName index="0" name="[Products].[Warehouse Row].&amp;[Row A]"/>
            <x15:cachedUniqueName index="1" name="[Products].[Warehouse Row].&amp;[Row B]"/>
            <x15:cachedUniqueName index="2" name="[Products].[Warehouse Row].&amp;[Row C]"/>
            <x15:cachedUniqueName index="3" name="[Products].[Warehouse Row].&amp;[Row D]"/>
            <x15:cachedUniqueName index="4" name="[Products].[Warehouse Row].&amp;[Row E]"/>
          </x15:cachedUniqueNames>
        </ext>
      </extLst>
    </cacheField>
    <cacheField name="[Products].[Storage Bin].[Storage Bin]" caption="Storage Bin" numFmtId="0" hierarchy="8" level="1">
      <sharedItems count="5">
        <s v="Bin 1"/>
        <s v="Bin 2"/>
        <s v="Bin 3"/>
        <s v="Bin 4"/>
        <s v="Bin 5"/>
      </sharedItems>
      <extLst>
        <ext xmlns:x15="http://schemas.microsoft.com/office/spreadsheetml/2010/11/main" uri="{4F2E5C28-24EA-4eb8-9CBF-B6C8F9C3D259}">
          <x15:cachedUniqueNames>
            <x15:cachedUniqueName index="0" name="[Products].[Storage Bin].&amp;[Bin 1]"/>
            <x15:cachedUniqueName index="1" name="[Products].[Storage Bin].&amp;[Bin 2]"/>
            <x15:cachedUniqueName index="2" name="[Products].[Storage Bin].&amp;[Bin 3]"/>
            <x15:cachedUniqueName index="3" name="[Products].[Storage Bin].&amp;[Bin 4]"/>
            <x15:cachedUniqueName index="4" name="[Products].[Storage Bin].&amp;[Bin 5]"/>
          </x15:cachedUniqueNames>
        </ext>
      </extLst>
    </cacheField>
    <cacheField name="[Measures].[Item List]" caption="Item List" numFmtId="0" hierarchy="18" level="32767"/>
  </cacheFields>
  <cacheHierarchies count="22">
    <cacheHierarchy uniqueName="[Inventory].[Date]" caption="Date" attribute="1" time="1" defaultMemberUniqueName="[Inventory].[Date].[All]" allUniqueName="[Inventory].[Date].[All]" dimensionUniqueName="[Inventory]" displayFolder="" count="0" memberValueDatatype="7" unbalanced="0"/>
    <cacheHierarchy uniqueName="[Inventory].[SKU]" caption="SKU" attribute="1" defaultMemberUniqueName="[Inventory].[SKU].[All]" allUniqueName="[Inventory].[SKU].[All]" dimensionUniqueName="[Inventory]" displayFolder="" count="0" memberValueDatatype="130" unbalanced="0"/>
    <cacheHierarchy uniqueName="[Inventory].[Change]" caption="Change" attribute="1" defaultMemberUniqueName="[Inventory].[Change].[All]" allUniqueName="[Inventory].[Change].[All]" dimensionUniqueName="[Inventory]" displayFolder="" count="0" memberValueDatatype="20" unbalanced="0"/>
    <cacheHierarchy uniqueName="[Inventory].[Action]" caption="Action" attribute="1" defaultMemberUniqueName="[Inventory].[Action].[All]" allUniqueName="[Inventory].[Action].[All]" dimensionUniqueName="[Inventory]" displayFolder="" count="0" memberValueDatatype="130" unbalanced="0"/>
    <cacheHierarchy uniqueName="[Products].[SKU]" caption="SKU" attribute="1" defaultMemberUniqueName="[Products].[SKU].[All]" allUniqueName="[Products].[SKU].[All]" dimensionUniqueName="[Products]" displayFolder="" count="0" memberValueDatatype="130" unbalanced="0"/>
    <cacheHierarchy uniqueName="[Products].[Description]" caption="Description" attribute="1" defaultMemberUniqueName="[Products].[Description].[All]" allUniqueName="[Products].[Description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Warehouse Row]" caption="Warehouse Row" attribute="1" defaultMemberUniqueName="[Products].[Warehouse Row].[All]" allUniqueName="[Products].[Warehouse Row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torage Bin]" caption="Storage Bin" attribute="1" defaultMemberUniqueName="[Products].[Storage Bin].[All]" allUniqueName="[Products].[Storage Bin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Unit Value]" caption="Unit Value" attribute="1" defaultMemberUniqueName="[Products].[Unit Value].[All]" allUniqueName="[Products].[Unit Value].[All]" dimensionUniqueName="[Products]" displayFolder="" count="0" memberValueDatatype="5" unbalanced="0"/>
    <cacheHierarchy uniqueName="[Products].[Initial QTY]" caption="Initial QTY" attribute="1" defaultMemberUniqueName="[Products].[Initial QTY].[All]" allUniqueName="[Products].[Initial QTY].[All]" dimensionUniqueName="[Products]" displayFolder="" count="0" memberValueDatatype="20" unbalanced="0"/>
    <cacheHierarchy uniqueName="[Products].[Restock Level]" caption="Restock Level" attribute="1" defaultMemberUniqueName="[Products].[Restock Level].[All]" allUniqueName="[Products].[Restock Level].[All]" dimensionUniqueName="[Products]" displayFolder="" count="0" memberValueDatatype="20" unbalanced="0"/>
    <cacheHierarchy uniqueName="[Products].[Restock Amount]" caption="Restock Amount" attribute="1" defaultMemberUniqueName="[Products].[Restock Amount].[All]" allUniqueName="[Products].[Restock Amount].[All]" dimensionUniqueName="[Products]" displayFolder="" count="0" memberValueDatatype="20" unbalanced="0"/>
    <cacheHierarchy uniqueName="[Measures].[Sum of Initial QTY]" caption="Sum of Initial QTY" measure="1" displayFolder="" measureGroup="Product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hange]" caption="Sum of Change" measure="1" displayFolder="" measureGroup="Inventory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urrent QTY]" caption="Current QTY" measure="1" displayFolder="" measureGroup="Products" count="0"/>
    <cacheHierarchy uniqueName="[Measures].[Inventory Value]" caption="Inventory Value" measure="1" displayFolder="" measureGroup="Products" count="0"/>
    <cacheHierarchy uniqueName="[Measures].[Restock Order]" caption="Restock Order" measure="1" displayFolder="" measureGroup="Products" count="0"/>
    <cacheHierarchy uniqueName="[Measures].[Item List]" caption="Item List" measure="1" displayFolder="" measureGroup="Products" count="0" oneField="1">
      <fieldsUsage count="1">
        <fieldUsage x="2"/>
      </fieldsUsage>
    </cacheHierarchy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No measures defined]" caption="__No measures defined" measure="1" displayFolder="" count="0" hidden="1"/>
  </cacheHierarchies>
  <kpis count="0"/>
  <dimensions count="3">
    <dimension name="Inventory" uniqueName="[Inventory]" caption="Inventory"/>
    <dimension measure="1" name="Measures" uniqueName="[Measures]" caption="Measures"/>
    <dimension name="Products" uniqueName="[Products]" caption="Products"/>
  </dimensions>
  <measureGroups count="2">
    <measureGroup name="Inventory" caption="Inventory"/>
    <measureGroup name="Products" caption="Product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45FF4-8F4F-4FA3-85D4-39034256C52D}" name="Inventory Pivot" cacheId="1" applyNumberFormats="0" applyBorderFormats="0" applyFontFormats="0" applyPatternFormats="0" applyAlignmentFormats="0" applyWidthHeightFormats="1" dataCaption="Values" tag="8665ebd5-cd43-4dba-a664-43f67b15ea9c" updatedVersion="6" minRefreshableVersion="3" useAutoFormatting="1" rowGrandTotals="0" colGrandTotals="0" itemPrintTitles="1" createdVersion="6" indent="0" compact="0" compactData="0" multipleFieldFilters="0">
  <location ref="B7:I76" firstHeaderRow="0" firstDataRow="1" firstDataCol="3"/>
  <pivotFields count="8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6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>
      <x v="1"/>
      <x v="9"/>
      <x v="9"/>
    </i>
    <i r="1"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19"/>
    </i>
    <i r="1">
      <x v="20"/>
      <x v="20"/>
    </i>
    <i>
      <x v="2"/>
      <x v="21"/>
      <x v="21"/>
    </i>
    <i r="1">
      <x v="22"/>
      <x v="22"/>
    </i>
    <i r="1">
      <x v="23"/>
      <x v="23"/>
    </i>
    <i r="1">
      <x v="24"/>
      <x v="24"/>
    </i>
    <i r="1">
      <x v="25"/>
      <x v="25"/>
    </i>
    <i r="1">
      <x v="26"/>
      <x v="26"/>
    </i>
    <i r="1">
      <x v="27"/>
      <x v="27"/>
    </i>
    <i r="1">
      <x v="28"/>
      <x v="28"/>
    </i>
    <i r="1">
      <x v="29"/>
      <x v="29"/>
    </i>
    <i r="1">
      <x v="30"/>
      <x v="30"/>
    </i>
    <i r="1">
      <x v="31"/>
      <x v="31"/>
    </i>
    <i r="1">
      <x v="32"/>
      <x v="32"/>
    </i>
    <i r="1">
      <x v="33"/>
      <x v="33"/>
    </i>
    <i r="1">
      <x v="34"/>
      <x v="34"/>
    </i>
    <i r="1">
      <x v="35"/>
      <x v="35"/>
    </i>
    <i r="1">
      <x v="36"/>
      <x v="36"/>
    </i>
    <i r="1">
      <x v="37"/>
      <x v="37"/>
    </i>
    <i r="1">
      <x v="38"/>
      <x v="38"/>
    </i>
    <i r="1">
      <x v="39"/>
      <x v="39"/>
    </i>
    <i r="1">
      <x v="40"/>
      <x v="40"/>
    </i>
    <i r="1">
      <x v="41"/>
      <x v="41"/>
    </i>
    <i r="1">
      <x v="42"/>
      <x v="42"/>
    </i>
    <i r="1">
      <x v="43"/>
      <x v="43"/>
    </i>
    <i r="1">
      <x v="44"/>
      <x v="44"/>
    </i>
    <i r="1">
      <x v="45"/>
      <x v="45"/>
    </i>
    <i r="1">
      <x v="46"/>
      <x v="46"/>
    </i>
    <i r="1">
      <x v="47"/>
      <x v="47"/>
    </i>
    <i r="1">
      <x v="48"/>
      <x v="48"/>
    </i>
    <i r="1">
      <x v="49"/>
      <x v="49"/>
    </i>
    <i r="1">
      <x v="50"/>
      <x v="50"/>
    </i>
    <i r="1">
      <x v="51"/>
      <x v="51"/>
    </i>
    <i r="1">
      <x v="52"/>
      <x v="52"/>
    </i>
    <i r="1">
      <x v="53"/>
      <x v="53"/>
    </i>
    <i r="1">
      <x v="54"/>
      <x v="54"/>
    </i>
    <i r="1">
      <x v="55"/>
      <x v="55"/>
    </i>
    <i r="1">
      <x v="56"/>
      <x v="56"/>
    </i>
    <i>
      <x v="3"/>
      <x v="57"/>
      <x v="57"/>
    </i>
    <i r="1">
      <x v="58"/>
      <x v="58"/>
    </i>
    <i r="1">
      <x v="59"/>
      <x v="59"/>
    </i>
    <i r="1">
      <x v="60"/>
      <x v="60"/>
    </i>
    <i r="1">
      <x v="61"/>
      <x v="61"/>
    </i>
    <i r="1">
      <x v="62"/>
      <x v="62"/>
    </i>
    <i>
      <x v="4"/>
      <x v="63"/>
      <x v="63"/>
    </i>
    <i r="1">
      <x v="64"/>
      <x v="64"/>
    </i>
    <i r="1">
      <x v="65"/>
      <x v="65"/>
    </i>
    <i r="1">
      <x v="66"/>
      <x v="66"/>
    </i>
    <i r="1">
      <x v="67"/>
      <x v="67"/>
    </i>
    <i r="1">
      <x v="68"/>
      <x v="68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tarting QTY" fld="3" baseField="2" baseItem="0"/>
    <dataField name="Change in QTY" fld="4" baseField="2" baseItem="0"/>
    <dataField fld="5" subtotal="count" baseField="0" baseItem="0"/>
    <dataField fld="6" subtotal="count" baseField="0" baseItem="0"/>
    <dataField fld="7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arting QTY"/>
    <pivotHierarchy dragToData="1" caption="Change in QT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6"/>
    <rowHierarchyUsage hierarchyUsage="4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>
        <x14:conditionalFormats count="1">
          <x14:conditionalFormat scope="data" priority="1" id="{11D568E3-8685-4513-BA3C-26489FE76374}">
            <x14:pivotAreas count="1">
              <pivotArea outline="0" fieldPosition="0">
                <references count="1">
                  <reference field="4294967294" count="1" selected="0">
                    <x v="4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Products]"/>
        <x15:activeTabTopLevelEntity name="[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DD271-D8CE-4DF4-91FF-CD2B151CE296}" name="Warehouse" cacheId="2" applyNumberFormats="0" applyBorderFormats="0" applyFontFormats="0" applyPatternFormats="0" applyAlignmentFormats="0" applyWidthHeightFormats="1" dataCaption="Values" tag="26cae119-1a3f-4546-9665-83e23a7cd6f9" updatedVersion="6" minRefreshableVersion="3" useAutoFormatting="1" rowGrandTotals="0" colGrandTotals="0" itemPrintTitles="1" createdVersion="6" indent="0" compact="0" compactData="0" multipleFieldFilters="0">
  <location ref="B4:G10" firstHeaderRow="1" firstDataRow="2" firstDataCol="1"/>
  <pivotFields count="3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fld="2" subtotal="count" baseField="0" baseItem="0"/>
  </dataFields>
  <formats count="1">
    <format dxfId="0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3EF2-CF3F-4638-9D40-D89CC142EDA9}">
  <sheetPr codeName="Sheet1"/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6" x14ac:dyDescent="0.55000000000000004">
      <c r="A1" s="4" t="s">
        <v>3</v>
      </c>
    </row>
    <row r="3" spans="1:2" x14ac:dyDescent="0.25">
      <c r="A3" s="1" t="s">
        <v>0</v>
      </c>
      <c r="B3" s="2" t="s">
        <v>56</v>
      </c>
    </row>
    <row r="4" spans="1:2" x14ac:dyDescent="0.25">
      <c r="A4" s="1" t="s">
        <v>1</v>
      </c>
      <c r="B4" s="3">
        <v>45352</v>
      </c>
    </row>
    <row r="5" spans="1:2" ht="30" x14ac:dyDescent="0.25">
      <c r="A5" s="1" t="s">
        <v>2</v>
      </c>
      <c r="B5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5FB5-3F0B-4831-A598-18EDDB3340A9}">
  <sheetPr codeName="Sheet2"/>
  <dimension ref="B1:I76"/>
  <sheetViews>
    <sheetView zoomScale="120" zoomScaleNormal="120" workbookViewId="0"/>
  </sheetViews>
  <sheetFormatPr defaultRowHeight="15" x14ac:dyDescent="0.25"/>
  <cols>
    <col min="1" max="1" width="3.42578125" customWidth="1"/>
    <col min="2" max="2" width="19" customWidth="1"/>
    <col min="3" max="3" width="13.85546875" customWidth="1"/>
    <col min="4" max="4" width="28.7109375" bestFit="1" customWidth="1"/>
    <col min="5" max="5" width="12.140625" bestFit="1" customWidth="1"/>
    <col min="6" max="6" width="14.140625" bestFit="1" customWidth="1"/>
    <col min="7" max="7" width="12" bestFit="1" customWidth="1"/>
    <col min="8" max="8" width="15.5703125" bestFit="1" customWidth="1"/>
    <col min="9" max="9" width="13.7109375" bestFit="1" customWidth="1"/>
    <col min="12" max="12" width="16" bestFit="1" customWidth="1"/>
  </cols>
  <sheetData>
    <row r="1" spans="2:9" ht="36" x14ac:dyDescent="0.55000000000000004">
      <c r="B1" s="4" t="s">
        <v>3</v>
      </c>
    </row>
    <row r="2" spans="2:9" ht="18.75" x14ac:dyDescent="0.3">
      <c r="B2" s="5" t="s">
        <v>42</v>
      </c>
    </row>
    <row r="4" spans="2:9" x14ac:dyDescent="0.25">
      <c r="H4" s="12" t="s">
        <v>44</v>
      </c>
    </row>
    <row r="5" spans="2:9" x14ac:dyDescent="0.25">
      <c r="H5" s="13" vm="1">
        <f>CUBEVALUE("ThisWorkbookDataModel","[Measures].[Inventory Value]")</f>
        <v>4044555.35</v>
      </c>
    </row>
    <row r="7" spans="2:9" x14ac:dyDescent="0.25">
      <c r="B7" s="16" t="s">
        <v>18</v>
      </c>
      <c r="C7" s="16" t="s">
        <v>14</v>
      </c>
      <c r="D7" s="16" t="s">
        <v>17</v>
      </c>
      <c r="E7" t="s">
        <v>200</v>
      </c>
      <c r="F7" t="s">
        <v>201</v>
      </c>
      <c r="G7" t="s">
        <v>40</v>
      </c>
      <c r="H7" t="s">
        <v>38</v>
      </c>
      <c r="I7" t="s">
        <v>43</v>
      </c>
    </row>
    <row r="8" spans="2:9" x14ac:dyDescent="0.25">
      <c r="B8" t="s">
        <v>57</v>
      </c>
      <c r="C8" t="s">
        <v>62</v>
      </c>
      <c r="D8" t="s">
        <v>131</v>
      </c>
      <c r="E8" s="17">
        <v>257</v>
      </c>
      <c r="F8" s="17">
        <v>-180</v>
      </c>
      <c r="G8" s="17">
        <v>77</v>
      </c>
      <c r="H8" s="11">
        <v>6156.1500000000005</v>
      </c>
      <c r="I8" s="17">
        <v>165</v>
      </c>
    </row>
    <row r="9" spans="2:9" x14ac:dyDescent="0.25">
      <c r="B9" t="s">
        <v>57</v>
      </c>
      <c r="C9" t="s">
        <v>63</v>
      </c>
      <c r="D9" t="s">
        <v>132</v>
      </c>
      <c r="E9" s="17">
        <v>245</v>
      </c>
      <c r="F9" s="17">
        <v>-53</v>
      </c>
      <c r="G9" s="17">
        <v>192</v>
      </c>
      <c r="H9" s="11">
        <v>12950.400000000001</v>
      </c>
      <c r="I9" s="17">
        <v>0</v>
      </c>
    </row>
    <row r="10" spans="2:9" x14ac:dyDescent="0.25">
      <c r="B10" t="s">
        <v>57</v>
      </c>
      <c r="C10" t="s">
        <v>64</v>
      </c>
      <c r="D10" t="s">
        <v>133</v>
      </c>
      <c r="E10" s="17">
        <v>245</v>
      </c>
      <c r="F10" s="17">
        <v>-101</v>
      </c>
      <c r="G10" s="17">
        <v>144</v>
      </c>
      <c r="H10" s="11">
        <v>5741.28</v>
      </c>
      <c r="I10" s="17">
        <v>0</v>
      </c>
    </row>
    <row r="11" spans="2:9" x14ac:dyDescent="0.25">
      <c r="B11" t="s">
        <v>57</v>
      </c>
      <c r="C11" t="s">
        <v>65</v>
      </c>
      <c r="D11" t="s">
        <v>134</v>
      </c>
      <c r="E11" s="17">
        <v>251</v>
      </c>
      <c r="F11" s="17">
        <v>-17</v>
      </c>
      <c r="G11" s="17">
        <v>234</v>
      </c>
      <c r="H11" s="11">
        <v>11648.52</v>
      </c>
      <c r="I11" s="17">
        <v>0</v>
      </c>
    </row>
    <row r="12" spans="2:9" x14ac:dyDescent="0.25">
      <c r="B12" t="s">
        <v>57</v>
      </c>
      <c r="C12" t="s">
        <v>66</v>
      </c>
      <c r="D12" t="s">
        <v>135</v>
      </c>
      <c r="E12" s="17">
        <v>253</v>
      </c>
      <c r="F12" s="17">
        <v>-88</v>
      </c>
      <c r="G12" s="17">
        <v>165</v>
      </c>
      <c r="H12" s="11">
        <v>13851.75</v>
      </c>
      <c r="I12" s="17">
        <v>0</v>
      </c>
    </row>
    <row r="13" spans="2:9" x14ac:dyDescent="0.25">
      <c r="B13" t="s">
        <v>57</v>
      </c>
      <c r="C13" t="s">
        <v>67</v>
      </c>
      <c r="D13" t="s">
        <v>136</v>
      </c>
      <c r="E13" s="17">
        <v>247</v>
      </c>
      <c r="F13" s="17">
        <v>-168</v>
      </c>
      <c r="G13" s="17">
        <v>79</v>
      </c>
      <c r="H13" s="11">
        <v>4736.05</v>
      </c>
      <c r="I13" s="17">
        <v>165</v>
      </c>
    </row>
    <row r="14" spans="2:9" x14ac:dyDescent="0.25">
      <c r="B14" t="s">
        <v>57</v>
      </c>
      <c r="C14" t="s">
        <v>68</v>
      </c>
      <c r="D14" t="s">
        <v>137</v>
      </c>
      <c r="E14" s="17">
        <v>250</v>
      </c>
      <c r="F14" s="17">
        <v>-99</v>
      </c>
      <c r="G14" s="17">
        <v>151</v>
      </c>
      <c r="H14" s="11">
        <v>12676.45</v>
      </c>
      <c r="I14" s="17">
        <v>0</v>
      </c>
    </row>
    <row r="15" spans="2:9" x14ac:dyDescent="0.25">
      <c r="B15" t="s">
        <v>57</v>
      </c>
      <c r="C15" t="s">
        <v>69</v>
      </c>
      <c r="D15" t="s">
        <v>138</v>
      </c>
      <c r="E15" s="17">
        <v>259</v>
      </c>
      <c r="F15" s="17">
        <v>-200</v>
      </c>
      <c r="G15" s="17">
        <v>59</v>
      </c>
      <c r="H15" s="11">
        <v>4245.05</v>
      </c>
      <c r="I15" s="17">
        <v>165</v>
      </c>
    </row>
    <row r="16" spans="2:9" x14ac:dyDescent="0.25">
      <c r="B16" t="s">
        <v>57</v>
      </c>
      <c r="C16" t="s">
        <v>70</v>
      </c>
      <c r="D16" t="s">
        <v>139</v>
      </c>
      <c r="E16" s="17">
        <v>250</v>
      </c>
      <c r="F16" s="17">
        <v>-139</v>
      </c>
      <c r="G16" s="17">
        <v>111</v>
      </c>
      <c r="H16" s="11">
        <v>11094.45</v>
      </c>
      <c r="I16" s="17">
        <v>0</v>
      </c>
    </row>
    <row r="17" spans="2:9" x14ac:dyDescent="0.25">
      <c r="B17" t="s">
        <v>58</v>
      </c>
      <c r="C17" t="s">
        <v>71</v>
      </c>
      <c r="D17" t="s">
        <v>140</v>
      </c>
      <c r="E17" s="17">
        <v>305</v>
      </c>
      <c r="F17" s="17">
        <v>-125</v>
      </c>
      <c r="G17" s="17">
        <v>180</v>
      </c>
      <c r="H17" s="11">
        <v>17811</v>
      </c>
      <c r="I17" s="17">
        <v>0</v>
      </c>
    </row>
    <row r="18" spans="2:9" x14ac:dyDescent="0.25">
      <c r="B18" t="s">
        <v>58</v>
      </c>
      <c r="C18" t="s">
        <v>72</v>
      </c>
      <c r="D18" t="s">
        <v>141</v>
      </c>
      <c r="E18" s="17">
        <v>300</v>
      </c>
      <c r="F18" s="17">
        <v>-78</v>
      </c>
      <c r="G18" s="17">
        <v>222</v>
      </c>
      <c r="H18" s="11">
        <v>60799.14</v>
      </c>
      <c r="I18" s="17">
        <v>0</v>
      </c>
    </row>
    <row r="19" spans="2:9" x14ac:dyDescent="0.25">
      <c r="B19" t="s">
        <v>58</v>
      </c>
      <c r="C19" t="s">
        <v>73</v>
      </c>
      <c r="D19" t="s">
        <v>142</v>
      </c>
      <c r="E19" s="17">
        <v>297</v>
      </c>
      <c r="F19" s="17">
        <v>-17</v>
      </c>
      <c r="G19" s="17">
        <v>280</v>
      </c>
      <c r="H19" s="11">
        <v>41986</v>
      </c>
      <c r="I19" s="17">
        <v>0</v>
      </c>
    </row>
    <row r="20" spans="2:9" x14ac:dyDescent="0.25">
      <c r="B20" t="s">
        <v>58</v>
      </c>
      <c r="C20" t="s">
        <v>74</v>
      </c>
      <c r="D20" t="s">
        <v>143</v>
      </c>
      <c r="E20" s="17">
        <v>306</v>
      </c>
      <c r="F20" s="17">
        <v>-8</v>
      </c>
      <c r="G20" s="17">
        <v>298</v>
      </c>
      <c r="H20" s="11">
        <v>56605.1</v>
      </c>
      <c r="I20" s="17">
        <v>0</v>
      </c>
    </row>
    <row r="21" spans="2:9" x14ac:dyDescent="0.25">
      <c r="B21" t="s">
        <v>58</v>
      </c>
      <c r="C21" t="s">
        <v>75</v>
      </c>
      <c r="D21" t="s">
        <v>144</v>
      </c>
      <c r="E21" s="17">
        <v>296</v>
      </c>
      <c r="F21" s="17">
        <v>-32</v>
      </c>
      <c r="G21" s="17">
        <v>264</v>
      </c>
      <c r="H21" s="11">
        <v>55426.799999999996</v>
      </c>
      <c r="I21" s="17">
        <v>0</v>
      </c>
    </row>
    <row r="22" spans="2:9" x14ac:dyDescent="0.25">
      <c r="B22" t="s">
        <v>58</v>
      </c>
      <c r="C22" t="s">
        <v>76</v>
      </c>
      <c r="D22" t="s">
        <v>145</v>
      </c>
      <c r="E22" s="17">
        <v>299</v>
      </c>
      <c r="F22" s="17">
        <v>-84</v>
      </c>
      <c r="G22" s="17">
        <v>215</v>
      </c>
      <c r="H22" s="11">
        <v>17189.25</v>
      </c>
      <c r="I22" s="17">
        <v>0</v>
      </c>
    </row>
    <row r="23" spans="2:9" x14ac:dyDescent="0.25">
      <c r="B23" t="s">
        <v>58</v>
      </c>
      <c r="C23" t="s">
        <v>77</v>
      </c>
      <c r="D23" t="s">
        <v>146</v>
      </c>
      <c r="E23" s="17">
        <v>297</v>
      </c>
      <c r="F23" s="17">
        <v>-158</v>
      </c>
      <c r="G23" s="17">
        <v>139</v>
      </c>
      <c r="H23" s="11">
        <v>15391.470000000001</v>
      </c>
      <c r="I23" s="17">
        <v>0</v>
      </c>
    </row>
    <row r="24" spans="2:9" x14ac:dyDescent="0.25">
      <c r="B24" t="s">
        <v>58</v>
      </c>
      <c r="C24" t="s">
        <v>78</v>
      </c>
      <c r="D24" t="s">
        <v>147</v>
      </c>
      <c r="E24" s="17">
        <v>301</v>
      </c>
      <c r="F24" s="17">
        <v>-14</v>
      </c>
      <c r="G24" s="17">
        <v>287</v>
      </c>
      <c r="H24" s="11">
        <v>48775.649999999994</v>
      </c>
      <c r="I24" s="17">
        <v>0</v>
      </c>
    </row>
    <row r="25" spans="2:9" x14ac:dyDescent="0.25">
      <c r="B25" t="s">
        <v>58</v>
      </c>
      <c r="C25" t="s">
        <v>79</v>
      </c>
      <c r="D25" t="s">
        <v>148</v>
      </c>
      <c r="E25" s="17">
        <v>292</v>
      </c>
      <c r="F25" s="17">
        <v>-36</v>
      </c>
      <c r="G25" s="17">
        <v>256</v>
      </c>
      <c r="H25" s="11">
        <v>12743.68</v>
      </c>
      <c r="I25" s="17">
        <v>0</v>
      </c>
    </row>
    <row r="26" spans="2:9" x14ac:dyDescent="0.25">
      <c r="B26" t="s">
        <v>58</v>
      </c>
      <c r="C26" t="s">
        <v>80</v>
      </c>
      <c r="D26" t="s">
        <v>149</v>
      </c>
      <c r="E26" s="17">
        <v>300</v>
      </c>
      <c r="F26" s="17">
        <v>-143</v>
      </c>
      <c r="G26" s="17">
        <v>157</v>
      </c>
      <c r="H26" s="11">
        <v>37672.15</v>
      </c>
      <c r="I26" s="17">
        <v>0</v>
      </c>
    </row>
    <row r="27" spans="2:9" x14ac:dyDescent="0.25">
      <c r="B27" t="s">
        <v>58</v>
      </c>
      <c r="C27" t="s">
        <v>81</v>
      </c>
      <c r="D27" t="s">
        <v>150</v>
      </c>
      <c r="E27" s="17">
        <v>299</v>
      </c>
      <c r="F27" s="17">
        <v>-127</v>
      </c>
      <c r="G27" s="17">
        <v>172</v>
      </c>
      <c r="H27" s="11">
        <v>17191.400000000001</v>
      </c>
      <c r="I27" s="17">
        <v>0</v>
      </c>
    </row>
    <row r="28" spans="2:9" x14ac:dyDescent="0.25">
      <c r="B28" t="s">
        <v>58</v>
      </c>
      <c r="C28" t="s">
        <v>82</v>
      </c>
      <c r="D28" t="s">
        <v>151</v>
      </c>
      <c r="E28" s="17">
        <v>286</v>
      </c>
      <c r="F28" s="17">
        <v>-125</v>
      </c>
      <c r="G28" s="17">
        <v>161</v>
      </c>
      <c r="H28" s="11">
        <v>30420.949999999997</v>
      </c>
      <c r="I28" s="17">
        <v>0</v>
      </c>
    </row>
    <row r="29" spans="2:9" x14ac:dyDescent="0.25">
      <c r="B29" t="s">
        <v>59</v>
      </c>
      <c r="C29" t="s">
        <v>83</v>
      </c>
      <c r="D29" t="s">
        <v>152</v>
      </c>
      <c r="E29" s="17">
        <v>208</v>
      </c>
      <c r="F29" s="17">
        <v>-33</v>
      </c>
      <c r="G29" s="17">
        <v>175</v>
      </c>
      <c r="H29" s="11">
        <v>92391.250000000015</v>
      </c>
      <c r="I29" s="17">
        <v>0</v>
      </c>
    </row>
    <row r="30" spans="2:9" x14ac:dyDescent="0.25">
      <c r="B30" t="s">
        <v>59</v>
      </c>
      <c r="C30" t="s">
        <v>84</v>
      </c>
      <c r="D30" t="s">
        <v>153</v>
      </c>
      <c r="E30" s="17">
        <v>192</v>
      </c>
      <c r="F30" s="17">
        <v>-157</v>
      </c>
      <c r="G30" s="17">
        <v>35</v>
      </c>
      <c r="H30" s="11">
        <v>29048.25</v>
      </c>
      <c r="I30" s="17">
        <v>135</v>
      </c>
    </row>
    <row r="31" spans="2:9" x14ac:dyDescent="0.25">
      <c r="B31" t="s">
        <v>59</v>
      </c>
      <c r="C31" t="s">
        <v>85</v>
      </c>
      <c r="D31" t="s">
        <v>154</v>
      </c>
      <c r="E31" s="17">
        <v>190</v>
      </c>
      <c r="F31" s="17">
        <v>-55</v>
      </c>
      <c r="G31" s="17">
        <v>135</v>
      </c>
      <c r="H31" s="11">
        <v>115823.25</v>
      </c>
      <c r="I31" s="17">
        <v>0</v>
      </c>
    </row>
    <row r="32" spans="2:9" x14ac:dyDescent="0.25">
      <c r="B32" t="s">
        <v>59</v>
      </c>
      <c r="C32" t="s">
        <v>86</v>
      </c>
      <c r="D32" t="s">
        <v>155</v>
      </c>
      <c r="E32" s="17">
        <v>202</v>
      </c>
      <c r="F32" s="17">
        <v>-144</v>
      </c>
      <c r="G32" s="17">
        <v>58</v>
      </c>
      <c r="H32" s="11">
        <v>48717.100000000006</v>
      </c>
      <c r="I32" s="17">
        <v>135</v>
      </c>
    </row>
    <row r="33" spans="2:9" x14ac:dyDescent="0.25">
      <c r="B33" t="s">
        <v>59</v>
      </c>
      <c r="C33" t="s">
        <v>87</v>
      </c>
      <c r="D33" t="s">
        <v>156</v>
      </c>
      <c r="E33" s="17">
        <v>193</v>
      </c>
      <c r="F33" s="17">
        <v>-138</v>
      </c>
      <c r="G33" s="17">
        <v>55</v>
      </c>
      <c r="H33" s="11">
        <v>23097.250000000004</v>
      </c>
      <c r="I33" s="17">
        <v>135</v>
      </c>
    </row>
    <row r="34" spans="2:9" x14ac:dyDescent="0.25">
      <c r="B34" t="s">
        <v>59</v>
      </c>
      <c r="C34" t="s">
        <v>88</v>
      </c>
      <c r="D34" t="s">
        <v>157</v>
      </c>
      <c r="E34" s="17">
        <v>196</v>
      </c>
      <c r="F34" s="17">
        <v>-123</v>
      </c>
      <c r="G34" s="17">
        <v>73</v>
      </c>
      <c r="H34" s="11">
        <v>57812.350000000006</v>
      </c>
      <c r="I34" s="17">
        <v>0</v>
      </c>
    </row>
    <row r="35" spans="2:9" x14ac:dyDescent="0.25">
      <c r="B35" t="s">
        <v>59</v>
      </c>
      <c r="C35" t="s">
        <v>89</v>
      </c>
      <c r="D35" t="s">
        <v>158</v>
      </c>
      <c r="E35" s="17">
        <v>206</v>
      </c>
      <c r="F35" s="17">
        <v>-171</v>
      </c>
      <c r="G35" s="17">
        <v>35</v>
      </c>
      <c r="H35" s="11">
        <v>36958.25</v>
      </c>
      <c r="I35" s="17">
        <v>135</v>
      </c>
    </row>
    <row r="36" spans="2:9" x14ac:dyDescent="0.25">
      <c r="B36" t="s">
        <v>59</v>
      </c>
      <c r="C36" t="s">
        <v>90</v>
      </c>
      <c r="D36" t="s">
        <v>159</v>
      </c>
      <c r="E36" s="17">
        <v>196</v>
      </c>
      <c r="F36" s="17">
        <v>-79</v>
      </c>
      <c r="G36" s="17">
        <v>117</v>
      </c>
      <c r="H36" s="11">
        <v>116526.15000000001</v>
      </c>
      <c r="I36" s="17">
        <v>0</v>
      </c>
    </row>
    <row r="37" spans="2:9" x14ac:dyDescent="0.25">
      <c r="B37" t="s">
        <v>59</v>
      </c>
      <c r="C37" t="s">
        <v>91</v>
      </c>
      <c r="D37" t="s">
        <v>160</v>
      </c>
      <c r="E37" s="17">
        <v>200</v>
      </c>
      <c r="F37" s="17">
        <v>-44</v>
      </c>
      <c r="G37" s="17">
        <v>156</v>
      </c>
      <c r="H37" s="11">
        <v>243352.2</v>
      </c>
      <c r="I37" s="17">
        <v>0</v>
      </c>
    </row>
    <row r="38" spans="2:9" x14ac:dyDescent="0.25">
      <c r="B38" t="s">
        <v>59</v>
      </c>
      <c r="C38" t="s">
        <v>92</v>
      </c>
      <c r="D38" t="s">
        <v>161</v>
      </c>
      <c r="E38" s="17">
        <v>207</v>
      </c>
      <c r="F38" s="17">
        <v>-145</v>
      </c>
      <c r="G38" s="17">
        <v>62</v>
      </c>
      <c r="H38" s="11">
        <v>67924.099999999991</v>
      </c>
      <c r="I38" s="17">
        <v>135</v>
      </c>
    </row>
    <row r="39" spans="2:9" x14ac:dyDescent="0.25">
      <c r="B39" t="s">
        <v>59</v>
      </c>
      <c r="C39" t="s">
        <v>93</v>
      </c>
      <c r="D39" t="s">
        <v>162</v>
      </c>
      <c r="E39" s="17">
        <v>192</v>
      </c>
      <c r="F39" s="17">
        <v>-75</v>
      </c>
      <c r="G39" s="17">
        <v>117</v>
      </c>
      <c r="H39" s="11">
        <v>157242.15</v>
      </c>
      <c r="I39" s="17">
        <v>0</v>
      </c>
    </row>
    <row r="40" spans="2:9" x14ac:dyDescent="0.25">
      <c r="B40" t="s">
        <v>59</v>
      </c>
      <c r="C40" t="s">
        <v>94</v>
      </c>
      <c r="D40" t="s">
        <v>163</v>
      </c>
      <c r="E40" s="17">
        <v>202</v>
      </c>
      <c r="F40" s="17">
        <v>-60</v>
      </c>
      <c r="G40" s="17">
        <v>142</v>
      </c>
      <c r="H40" s="11">
        <v>184592.9</v>
      </c>
      <c r="I40" s="17">
        <v>0</v>
      </c>
    </row>
    <row r="41" spans="2:9" x14ac:dyDescent="0.25">
      <c r="B41" t="s">
        <v>59</v>
      </c>
      <c r="C41" t="s">
        <v>95</v>
      </c>
      <c r="D41" t="s">
        <v>164</v>
      </c>
      <c r="E41" s="17">
        <v>201</v>
      </c>
      <c r="F41" s="17">
        <v>-66</v>
      </c>
      <c r="G41" s="17">
        <v>135</v>
      </c>
      <c r="H41" s="11">
        <v>163343.25</v>
      </c>
      <c r="I41" s="17">
        <v>0</v>
      </c>
    </row>
    <row r="42" spans="2:9" x14ac:dyDescent="0.25">
      <c r="B42" t="s">
        <v>59</v>
      </c>
      <c r="C42" t="s">
        <v>96</v>
      </c>
      <c r="D42" t="s">
        <v>165</v>
      </c>
      <c r="E42" s="17">
        <v>202</v>
      </c>
      <c r="F42" s="17">
        <v>-147</v>
      </c>
      <c r="G42" s="17">
        <v>55</v>
      </c>
      <c r="H42" s="11">
        <v>94377.25</v>
      </c>
      <c r="I42" s="17">
        <v>135</v>
      </c>
    </row>
    <row r="43" spans="2:9" x14ac:dyDescent="0.25">
      <c r="B43" t="s">
        <v>59</v>
      </c>
      <c r="C43" t="s">
        <v>97</v>
      </c>
      <c r="D43" t="s">
        <v>166</v>
      </c>
      <c r="E43" s="17">
        <v>200</v>
      </c>
      <c r="F43" s="17">
        <v>-38</v>
      </c>
      <c r="G43" s="17">
        <v>162</v>
      </c>
      <c r="H43" s="11">
        <v>149679.9</v>
      </c>
      <c r="I43" s="17">
        <v>0</v>
      </c>
    </row>
    <row r="44" spans="2:9" x14ac:dyDescent="0.25">
      <c r="B44" t="s">
        <v>59</v>
      </c>
      <c r="C44" t="s">
        <v>98</v>
      </c>
      <c r="D44" t="s">
        <v>167</v>
      </c>
      <c r="E44" s="17">
        <v>198</v>
      </c>
      <c r="F44" s="17">
        <v>-77</v>
      </c>
      <c r="G44" s="17">
        <v>121</v>
      </c>
      <c r="H44" s="11">
        <v>79853.950000000012</v>
      </c>
      <c r="I44" s="17">
        <v>0</v>
      </c>
    </row>
    <row r="45" spans="2:9" x14ac:dyDescent="0.25">
      <c r="B45" t="s">
        <v>59</v>
      </c>
      <c r="C45" t="s">
        <v>99</v>
      </c>
      <c r="D45" t="s">
        <v>168</v>
      </c>
      <c r="E45" s="17">
        <v>204</v>
      </c>
      <c r="F45" s="17">
        <v>-91</v>
      </c>
      <c r="G45" s="17">
        <v>113</v>
      </c>
      <c r="H45" s="11">
        <v>67794.350000000006</v>
      </c>
      <c r="I45" s="17">
        <v>0</v>
      </c>
    </row>
    <row r="46" spans="2:9" x14ac:dyDescent="0.25">
      <c r="B46" t="s">
        <v>59</v>
      </c>
      <c r="C46" t="s">
        <v>100</v>
      </c>
      <c r="D46" t="s">
        <v>169</v>
      </c>
      <c r="E46" s="17">
        <v>198</v>
      </c>
      <c r="F46" s="17">
        <v>-13</v>
      </c>
      <c r="G46" s="17">
        <v>185</v>
      </c>
      <c r="H46" s="11">
        <v>134300.75</v>
      </c>
      <c r="I46" s="17">
        <v>0</v>
      </c>
    </row>
    <row r="47" spans="2:9" x14ac:dyDescent="0.25">
      <c r="B47" t="s">
        <v>59</v>
      </c>
      <c r="C47" t="s">
        <v>101</v>
      </c>
      <c r="D47" t="s">
        <v>170</v>
      </c>
      <c r="E47" s="17">
        <v>197</v>
      </c>
      <c r="F47" s="17">
        <v>-63</v>
      </c>
      <c r="G47" s="17">
        <v>134</v>
      </c>
      <c r="H47" s="11">
        <v>214018.1</v>
      </c>
      <c r="I47" s="17">
        <v>0</v>
      </c>
    </row>
    <row r="48" spans="2:9" x14ac:dyDescent="0.25">
      <c r="B48" t="s">
        <v>59</v>
      </c>
      <c r="C48" t="s">
        <v>102</v>
      </c>
      <c r="D48" t="s">
        <v>171</v>
      </c>
      <c r="E48" s="17">
        <v>204</v>
      </c>
      <c r="F48" s="17">
        <v>-137</v>
      </c>
      <c r="G48" s="17">
        <v>67</v>
      </c>
      <c r="H48" s="11">
        <v>23446.649999999998</v>
      </c>
      <c r="I48" s="17">
        <v>0</v>
      </c>
    </row>
    <row r="49" spans="2:9" x14ac:dyDescent="0.25">
      <c r="B49" t="s">
        <v>59</v>
      </c>
      <c r="C49" t="s">
        <v>103</v>
      </c>
      <c r="D49" t="s">
        <v>172</v>
      </c>
      <c r="E49" s="17">
        <v>206</v>
      </c>
      <c r="F49" s="17">
        <v>-87</v>
      </c>
      <c r="G49" s="17">
        <v>119</v>
      </c>
      <c r="H49" s="11">
        <v>133274.05000000002</v>
      </c>
      <c r="I49" s="17">
        <v>0</v>
      </c>
    </row>
    <row r="50" spans="2:9" x14ac:dyDescent="0.25">
      <c r="B50" t="s">
        <v>59</v>
      </c>
      <c r="C50" t="s">
        <v>104</v>
      </c>
      <c r="D50" t="s">
        <v>173</v>
      </c>
      <c r="E50" s="17">
        <v>208</v>
      </c>
      <c r="F50" s="17">
        <v>-132</v>
      </c>
      <c r="G50" s="17">
        <v>76</v>
      </c>
      <c r="H50" s="11">
        <v>35108.200000000004</v>
      </c>
      <c r="I50" s="17">
        <v>0</v>
      </c>
    </row>
    <row r="51" spans="2:9" x14ac:dyDescent="0.25">
      <c r="B51" t="s">
        <v>59</v>
      </c>
      <c r="C51" t="s">
        <v>105</v>
      </c>
      <c r="D51" t="s">
        <v>174</v>
      </c>
      <c r="E51" s="17">
        <v>200</v>
      </c>
      <c r="F51" s="17">
        <v>-15</v>
      </c>
      <c r="G51" s="17">
        <v>185</v>
      </c>
      <c r="H51" s="11">
        <v>101740.75000000001</v>
      </c>
      <c r="I51" s="17">
        <v>0</v>
      </c>
    </row>
    <row r="52" spans="2:9" x14ac:dyDescent="0.25">
      <c r="B52" t="s">
        <v>59</v>
      </c>
      <c r="C52" t="s">
        <v>106</v>
      </c>
      <c r="D52" t="s">
        <v>175</v>
      </c>
      <c r="E52" s="17">
        <v>202</v>
      </c>
      <c r="F52" s="17">
        <v>-103</v>
      </c>
      <c r="G52" s="17">
        <v>99</v>
      </c>
      <c r="H52" s="11">
        <v>146356.65000000002</v>
      </c>
      <c r="I52" s="17">
        <v>0</v>
      </c>
    </row>
    <row r="53" spans="2:9" x14ac:dyDescent="0.25">
      <c r="B53" t="s">
        <v>59</v>
      </c>
      <c r="C53" t="s">
        <v>107</v>
      </c>
      <c r="D53" t="s">
        <v>176</v>
      </c>
      <c r="E53" s="17">
        <v>203</v>
      </c>
      <c r="F53" s="17">
        <v>-160</v>
      </c>
      <c r="G53" s="17">
        <v>43</v>
      </c>
      <c r="H53" s="11">
        <v>39987.85</v>
      </c>
      <c r="I53" s="17">
        <v>135</v>
      </c>
    </row>
    <row r="54" spans="2:9" x14ac:dyDescent="0.25">
      <c r="B54" t="s">
        <v>59</v>
      </c>
      <c r="C54" t="s">
        <v>108</v>
      </c>
      <c r="D54" t="s">
        <v>177</v>
      </c>
      <c r="E54" s="17">
        <v>195</v>
      </c>
      <c r="F54" s="17">
        <v>-80</v>
      </c>
      <c r="G54" s="17">
        <v>115</v>
      </c>
      <c r="H54" s="11">
        <v>128334.25</v>
      </c>
      <c r="I54" s="17">
        <v>0</v>
      </c>
    </row>
    <row r="55" spans="2:9" x14ac:dyDescent="0.25">
      <c r="B55" t="s">
        <v>59</v>
      </c>
      <c r="C55" t="s">
        <v>109</v>
      </c>
      <c r="D55" t="s">
        <v>178</v>
      </c>
      <c r="E55" s="17">
        <v>194</v>
      </c>
      <c r="F55" s="17">
        <v>-67</v>
      </c>
      <c r="G55" s="17">
        <v>127</v>
      </c>
      <c r="H55" s="11">
        <v>82543.650000000009</v>
      </c>
      <c r="I55" s="17">
        <v>0</v>
      </c>
    </row>
    <row r="56" spans="2:9" x14ac:dyDescent="0.25">
      <c r="B56" t="s">
        <v>59</v>
      </c>
      <c r="C56" t="s">
        <v>110</v>
      </c>
      <c r="D56" t="s">
        <v>179</v>
      </c>
      <c r="E56" s="17">
        <v>191</v>
      </c>
      <c r="F56" s="17">
        <v>-157</v>
      </c>
      <c r="G56" s="17">
        <v>34</v>
      </c>
      <c r="H56" s="11">
        <v>29918.300000000003</v>
      </c>
      <c r="I56" s="17">
        <v>135</v>
      </c>
    </row>
    <row r="57" spans="2:9" x14ac:dyDescent="0.25">
      <c r="B57" t="s">
        <v>59</v>
      </c>
      <c r="C57" t="s">
        <v>111</v>
      </c>
      <c r="D57" t="s">
        <v>180</v>
      </c>
      <c r="E57" s="17">
        <v>198</v>
      </c>
      <c r="F57" s="17">
        <v>-59</v>
      </c>
      <c r="G57" s="17">
        <v>139</v>
      </c>
      <c r="H57" s="11">
        <v>161455.44999999998</v>
      </c>
      <c r="I57" s="17">
        <v>0</v>
      </c>
    </row>
    <row r="58" spans="2:9" x14ac:dyDescent="0.25">
      <c r="B58" t="s">
        <v>59</v>
      </c>
      <c r="C58" t="s">
        <v>112</v>
      </c>
      <c r="D58" t="s">
        <v>181</v>
      </c>
      <c r="E58" s="17">
        <v>194</v>
      </c>
      <c r="F58" s="17">
        <v>-158</v>
      </c>
      <c r="G58" s="17">
        <v>36</v>
      </c>
      <c r="H58" s="11">
        <v>52270.200000000004</v>
      </c>
      <c r="I58" s="17">
        <v>135</v>
      </c>
    </row>
    <row r="59" spans="2:9" x14ac:dyDescent="0.25">
      <c r="B59" t="s">
        <v>59</v>
      </c>
      <c r="C59" t="s">
        <v>113</v>
      </c>
      <c r="D59" t="s">
        <v>182</v>
      </c>
      <c r="E59" s="17">
        <v>203</v>
      </c>
      <c r="F59" s="17">
        <v>-173</v>
      </c>
      <c r="G59" s="17">
        <v>30</v>
      </c>
      <c r="H59" s="11">
        <v>20998.5</v>
      </c>
      <c r="I59" s="17">
        <v>135</v>
      </c>
    </row>
    <row r="60" spans="2:9" x14ac:dyDescent="0.25">
      <c r="B60" t="s">
        <v>59</v>
      </c>
      <c r="C60" t="s">
        <v>114</v>
      </c>
      <c r="D60" t="s">
        <v>183</v>
      </c>
      <c r="E60" s="17">
        <v>206</v>
      </c>
      <c r="F60" s="17">
        <v>-138</v>
      </c>
      <c r="G60" s="17">
        <v>68</v>
      </c>
      <c r="H60" s="11">
        <v>83473.399999999994</v>
      </c>
      <c r="I60" s="17">
        <v>0</v>
      </c>
    </row>
    <row r="61" spans="2:9" x14ac:dyDescent="0.25">
      <c r="B61" t="s">
        <v>59</v>
      </c>
      <c r="C61" t="s">
        <v>115</v>
      </c>
      <c r="D61" t="s">
        <v>184</v>
      </c>
      <c r="E61" s="17">
        <v>195</v>
      </c>
      <c r="F61" s="17">
        <v>-119</v>
      </c>
      <c r="G61" s="17">
        <v>76</v>
      </c>
      <c r="H61" s="11">
        <v>54716.200000000004</v>
      </c>
      <c r="I61" s="17">
        <v>0</v>
      </c>
    </row>
    <row r="62" spans="2:9" x14ac:dyDescent="0.25">
      <c r="B62" t="s">
        <v>59</v>
      </c>
      <c r="C62" t="s">
        <v>116</v>
      </c>
      <c r="D62" t="s">
        <v>185</v>
      </c>
      <c r="E62" s="17">
        <v>197</v>
      </c>
      <c r="F62" s="17">
        <v>-75</v>
      </c>
      <c r="G62" s="17">
        <v>122</v>
      </c>
      <c r="H62" s="11">
        <v>48793.9</v>
      </c>
      <c r="I62" s="17">
        <v>0</v>
      </c>
    </row>
    <row r="63" spans="2:9" x14ac:dyDescent="0.25">
      <c r="B63" t="s">
        <v>59</v>
      </c>
      <c r="C63" t="s">
        <v>117</v>
      </c>
      <c r="D63" t="s">
        <v>186</v>
      </c>
      <c r="E63" s="17">
        <v>199</v>
      </c>
      <c r="F63" s="17">
        <v>-180</v>
      </c>
      <c r="G63" s="17">
        <v>19</v>
      </c>
      <c r="H63" s="11">
        <v>9119.0500000000011</v>
      </c>
      <c r="I63" s="17">
        <v>135</v>
      </c>
    </row>
    <row r="64" spans="2:9" x14ac:dyDescent="0.25">
      <c r="B64" t="s">
        <v>59</v>
      </c>
      <c r="C64" t="s">
        <v>118</v>
      </c>
      <c r="D64" t="s">
        <v>187</v>
      </c>
      <c r="E64" s="17">
        <v>203</v>
      </c>
      <c r="F64" s="17">
        <v>-135</v>
      </c>
      <c r="G64" s="17">
        <v>68</v>
      </c>
      <c r="H64" s="11">
        <v>53036.600000000006</v>
      </c>
      <c r="I64" s="17">
        <v>0</v>
      </c>
    </row>
    <row r="65" spans="2:9" x14ac:dyDescent="0.25">
      <c r="B65" t="s">
        <v>60</v>
      </c>
      <c r="C65" t="s">
        <v>119</v>
      </c>
      <c r="D65" t="s">
        <v>188</v>
      </c>
      <c r="E65" s="17">
        <v>307</v>
      </c>
      <c r="F65" s="17">
        <v>-106</v>
      </c>
      <c r="G65" s="17">
        <v>201</v>
      </c>
      <c r="H65" s="11">
        <v>16045.83</v>
      </c>
      <c r="I65" s="17">
        <v>0</v>
      </c>
    </row>
    <row r="66" spans="2:9" x14ac:dyDescent="0.25">
      <c r="B66" t="s">
        <v>60</v>
      </c>
      <c r="C66" t="s">
        <v>120</v>
      </c>
      <c r="D66" t="s">
        <v>189</v>
      </c>
      <c r="E66" s="17">
        <v>295</v>
      </c>
      <c r="F66" s="17">
        <v>-17</v>
      </c>
      <c r="G66" s="17">
        <v>278</v>
      </c>
      <c r="H66" s="11">
        <v>27513.66</v>
      </c>
      <c r="I66" s="17">
        <v>0</v>
      </c>
    </row>
    <row r="67" spans="2:9" x14ac:dyDescent="0.25">
      <c r="B67" t="s">
        <v>60</v>
      </c>
      <c r="C67" t="s">
        <v>121</v>
      </c>
      <c r="D67" t="s">
        <v>190</v>
      </c>
      <c r="E67" s="17">
        <v>303</v>
      </c>
      <c r="F67" s="17">
        <v>-7</v>
      </c>
      <c r="G67" s="17">
        <v>296</v>
      </c>
      <c r="H67" s="11">
        <v>27797.360000000001</v>
      </c>
      <c r="I67" s="17">
        <v>0</v>
      </c>
    </row>
    <row r="68" spans="2:9" x14ac:dyDescent="0.25">
      <c r="B68" t="s">
        <v>60</v>
      </c>
      <c r="C68" t="s">
        <v>122</v>
      </c>
      <c r="D68" t="s">
        <v>191</v>
      </c>
      <c r="E68" s="17">
        <v>299</v>
      </c>
      <c r="F68" s="17">
        <v>-197</v>
      </c>
      <c r="G68" s="17">
        <v>102</v>
      </c>
      <c r="H68" s="11">
        <v>12744.9</v>
      </c>
      <c r="I68" s="17">
        <v>0</v>
      </c>
    </row>
    <row r="69" spans="2:9" x14ac:dyDescent="0.25">
      <c r="B69" t="s">
        <v>60</v>
      </c>
      <c r="C69" t="s">
        <v>123</v>
      </c>
      <c r="D69" t="s">
        <v>192</v>
      </c>
      <c r="E69" s="17">
        <v>300</v>
      </c>
      <c r="F69" s="17">
        <v>-40</v>
      </c>
      <c r="G69" s="17">
        <v>260</v>
      </c>
      <c r="H69" s="11">
        <v>28654.6</v>
      </c>
      <c r="I69" s="17">
        <v>0</v>
      </c>
    </row>
    <row r="70" spans="2:9" x14ac:dyDescent="0.25">
      <c r="B70" t="s">
        <v>60</v>
      </c>
      <c r="C70" t="s">
        <v>124</v>
      </c>
      <c r="D70" t="s">
        <v>193</v>
      </c>
      <c r="E70" s="17">
        <v>306</v>
      </c>
      <c r="F70" s="17">
        <v>-44</v>
      </c>
      <c r="G70" s="17">
        <v>262</v>
      </c>
      <c r="H70" s="11">
        <v>21470.9</v>
      </c>
      <c r="I70" s="17">
        <v>0</v>
      </c>
    </row>
    <row r="71" spans="2:9" x14ac:dyDescent="0.25">
      <c r="B71" t="s">
        <v>61</v>
      </c>
      <c r="C71" t="s">
        <v>125</v>
      </c>
      <c r="D71" t="s">
        <v>194</v>
      </c>
      <c r="E71" s="17">
        <v>251</v>
      </c>
      <c r="F71" s="17">
        <v>-142</v>
      </c>
      <c r="G71" s="17">
        <v>109</v>
      </c>
      <c r="H71" s="11">
        <v>20161.73</v>
      </c>
      <c r="I71" s="17">
        <v>0</v>
      </c>
    </row>
    <row r="72" spans="2:9" x14ac:dyDescent="0.25">
      <c r="B72" t="s">
        <v>61</v>
      </c>
      <c r="C72" t="s">
        <v>126</v>
      </c>
      <c r="D72" t="s">
        <v>195</v>
      </c>
      <c r="E72" s="17">
        <v>253</v>
      </c>
      <c r="F72" s="17">
        <v>-8</v>
      </c>
      <c r="G72" s="17">
        <v>245</v>
      </c>
      <c r="H72" s="11">
        <v>29836.1</v>
      </c>
      <c r="I72" s="17">
        <v>0</v>
      </c>
    </row>
    <row r="73" spans="2:9" x14ac:dyDescent="0.25">
      <c r="B73" t="s">
        <v>61</v>
      </c>
      <c r="C73" t="s">
        <v>127</v>
      </c>
      <c r="D73" t="s">
        <v>196</v>
      </c>
      <c r="E73" s="17">
        <v>255</v>
      </c>
      <c r="F73" s="17">
        <v>-84</v>
      </c>
      <c r="G73" s="17">
        <v>171</v>
      </c>
      <c r="H73" s="11">
        <v>25299.449999999997</v>
      </c>
      <c r="I73" s="17">
        <v>0</v>
      </c>
    </row>
    <row r="74" spans="2:9" x14ac:dyDescent="0.25">
      <c r="B74" t="s">
        <v>61</v>
      </c>
      <c r="C74" t="s">
        <v>128</v>
      </c>
      <c r="D74" t="s">
        <v>197</v>
      </c>
      <c r="E74" s="17">
        <v>259</v>
      </c>
      <c r="F74" s="17">
        <v>-81</v>
      </c>
      <c r="G74" s="17">
        <v>178</v>
      </c>
      <c r="H74" s="11">
        <v>19645.86</v>
      </c>
      <c r="I74" s="17">
        <v>0</v>
      </c>
    </row>
    <row r="75" spans="2:9" x14ac:dyDescent="0.25">
      <c r="B75" t="s">
        <v>61</v>
      </c>
      <c r="C75" t="s">
        <v>129</v>
      </c>
      <c r="D75" t="s">
        <v>198</v>
      </c>
      <c r="E75" s="17">
        <v>250</v>
      </c>
      <c r="F75" s="17">
        <v>-211</v>
      </c>
      <c r="G75" s="17">
        <v>39</v>
      </c>
      <c r="H75" s="11">
        <v>5416.32</v>
      </c>
      <c r="I75" s="17">
        <v>165</v>
      </c>
    </row>
    <row r="76" spans="2:9" x14ac:dyDescent="0.25">
      <c r="B76" t="s">
        <v>61</v>
      </c>
      <c r="C76" t="s">
        <v>130</v>
      </c>
      <c r="D76" t="s">
        <v>199</v>
      </c>
      <c r="E76" s="17">
        <v>252</v>
      </c>
      <c r="F76" s="17">
        <v>-43</v>
      </c>
      <c r="G76" s="17">
        <v>209</v>
      </c>
      <c r="H76" s="11">
        <v>33429.549999999996</v>
      </c>
      <c r="I76" s="17">
        <v>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11D568E3-8685-4513-BA3C-26489FE7637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Flags" iconId="0"/>
            </x14:iconSet>
          </x14:cfRule>
          <xm:sqref>I8:I76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D69D-4FFE-4D7E-BDDB-3AE00EB0DD4F}">
  <sheetPr codeName="Sheet3"/>
  <dimension ref="B1:G10"/>
  <sheetViews>
    <sheetView zoomScale="120" zoomScaleNormal="120" workbookViewId="0">
      <selection activeCell="B2" sqref="B2"/>
    </sheetView>
  </sheetViews>
  <sheetFormatPr defaultRowHeight="15" x14ac:dyDescent="0.25"/>
  <cols>
    <col min="1" max="1" width="2" customWidth="1"/>
    <col min="2" max="2" width="22" customWidth="1"/>
    <col min="3" max="7" width="29.28515625" customWidth="1"/>
  </cols>
  <sheetData>
    <row r="1" spans="2:7" ht="36" x14ac:dyDescent="0.55000000000000004">
      <c r="B1" s="4" t="s">
        <v>3</v>
      </c>
    </row>
    <row r="2" spans="2:7" ht="18.75" x14ac:dyDescent="0.3">
      <c r="B2" s="5" t="s">
        <v>24</v>
      </c>
    </row>
    <row r="4" spans="2:7" x14ac:dyDescent="0.25">
      <c r="B4" s="16" t="s">
        <v>212</v>
      </c>
      <c r="C4" s="16" t="s">
        <v>20</v>
      </c>
    </row>
    <row r="5" spans="2:7" x14ac:dyDescent="0.25">
      <c r="B5" s="16" t="s">
        <v>19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</row>
    <row r="6" spans="2:7" s="14" customFormat="1" ht="50.25" customHeight="1" x14ac:dyDescent="0.25">
      <c r="B6" t="s">
        <v>202</v>
      </c>
      <c r="C6" s="18" t="s">
        <v>213</v>
      </c>
      <c r="D6" s="18" t="s">
        <v>214</v>
      </c>
      <c r="E6" s="18" t="s">
        <v>215</v>
      </c>
      <c r="F6" s="18" t="s">
        <v>216</v>
      </c>
      <c r="G6" s="18" t="s">
        <v>217</v>
      </c>
    </row>
    <row r="7" spans="2:7" s="14" customFormat="1" ht="50.25" customHeight="1" x14ac:dyDescent="0.25">
      <c r="B7" t="s">
        <v>203</v>
      </c>
      <c r="C7" s="18" t="s">
        <v>218</v>
      </c>
      <c r="D7" s="18" t="s">
        <v>219</v>
      </c>
      <c r="E7" s="18" t="s">
        <v>220</v>
      </c>
      <c r="F7" s="18" t="s">
        <v>221</v>
      </c>
      <c r="G7" s="18" t="s">
        <v>222</v>
      </c>
    </row>
    <row r="8" spans="2:7" s="14" customFormat="1" ht="50.25" customHeight="1" x14ac:dyDescent="0.25">
      <c r="B8" t="s">
        <v>204</v>
      </c>
      <c r="C8" s="18" t="s">
        <v>223</v>
      </c>
      <c r="D8" s="18" t="s">
        <v>224</v>
      </c>
      <c r="E8" s="18" t="s">
        <v>225</v>
      </c>
      <c r="F8" s="18" t="s">
        <v>226</v>
      </c>
      <c r="G8" s="18" t="s">
        <v>227</v>
      </c>
    </row>
    <row r="9" spans="2:7" s="14" customFormat="1" ht="50.25" customHeight="1" x14ac:dyDescent="0.25">
      <c r="B9" t="s">
        <v>205</v>
      </c>
      <c r="C9" s="18" t="s">
        <v>228</v>
      </c>
      <c r="D9" s="18" t="s">
        <v>229</v>
      </c>
      <c r="E9" s="18" t="s">
        <v>230</v>
      </c>
      <c r="F9" s="18" t="s">
        <v>231</v>
      </c>
      <c r="G9" s="18" t="s">
        <v>232</v>
      </c>
    </row>
    <row r="10" spans="2:7" s="14" customFormat="1" ht="50.25" customHeight="1" x14ac:dyDescent="0.25">
      <c r="B10" t="s">
        <v>206</v>
      </c>
      <c r="C10" s="18" t="s">
        <v>233</v>
      </c>
      <c r="D10" s="18" t="s">
        <v>234</v>
      </c>
      <c r="E10" s="18" t="s">
        <v>235</v>
      </c>
      <c r="F10" s="18" t="s">
        <v>236</v>
      </c>
      <c r="G10" s="18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D4AC-F798-4716-AC59-24CEE8F8B731}">
  <sheetPr codeName="Sheet4"/>
  <dimension ref="B1:E28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2.42578125" customWidth="1"/>
    <col min="5" max="5" width="67" customWidth="1"/>
  </cols>
  <sheetData>
    <row r="1" spans="2:4" ht="36" x14ac:dyDescent="0.55000000000000004">
      <c r="B1" s="4" t="s">
        <v>3</v>
      </c>
    </row>
    <row r="2" spans="2:4" ht="18.75" x14ac:dyDescent="0.3">
      <c r="B2" s="5" t="s">
        <v>25</v>
      </c>
    </row>
    <row r="4" spans="2:4" x14ac:dyDescent="0.25">
      <c r="B4" s="6" t="s">
        <v>30</v>
      </c>
    </row>
    <row r="5" spans="2:4" x14ac:dyDescent="0.25">
      <c r="B5" s="7" t="s">
        <v>5</v>
      </c>
      <c r="C5" s="7" t="s">
        <v>6</v>
      </c>
      <c r="D5" s="7" t="s">
        <v>7</v>
      </c>
    </row>
    <row r="6" spans="2:4" x14ac:dyDescent="0.25">
      <c r="B6" s="8" t="s">
        <v>1</v>
      </c>
      <c r="C6" s="9" t="s">
        <v>12</v>
      </c>
      <c r="D6" s="10" t="s">
        <v>26</v>
      </c>
    </row>
    <row r="7" spans="2:4" x14ac:dyDescent="0.25">
      <c r="B7" s="8" t="s">
        <v>14</v>
      </c>
      <c r="C7" s="9" t="s">
        <v>8</v>
      </c>
      <c r="D7" s="10" t="s">
        <v>27</v>
      </c>
    </row>
    <row r="8" spans="2:4" ht="30" x14ac:dyDescent="0.25">
      <c r="B8" s="8" t="s">
        <v>16</v>
      </c>
      <c r="C8" s="9" t="s">
        <v>10</v>
      </c>
      <c r="D8" s="10" t="s">
        <v>28</v>
      </c>
    </row>
    <row r="9" spans="2:4" ht="30" x14ac:dyDescent="0.25">
      <c r="B9" s="8" t="s">
        <v>15</v>
      </c>
      <c r="C9" s="9" t="s">
        <v>8</v>
      </c>
      <c r="D9" s="10" t="s">
        <v>29</v>
      </c>
    </row>
    <row r="11" spans="2:4" x14ac:dyDescent="0.25">
      <c r="B11" s="6" t="s">
        <v>11</v>
      </c>
    </row>
    <row r="12" spans="2:4" x14ac:dyDescent="0.25">
      <c r="B12" s="7" t="s">
        <v>5</v>
      </c>
      <c r="C12" s="7" t="s">
        <v>6</v>
      </c>
      <c r="D12" s="7" t="s">
        <v>7</v>
      </c>
    </row>
    <row r="13" spans="2:4" x14ac:dyDescent="0.25">
      <c r="B13" s="8" t="s">
        <v>14</v>
      </c>
      <c r="C13" s="9" t="s">
        <v>8</v>
      </c>
      <c r="D13" s="10" t="s">
        <v>27</v>
      </c>
    </row>
    <row r="14" spans="2:4" x14ac:dyDescent="0.25">
      <c r="B14" s="8" t="s">
        <v>17</v>
      </c>
      <c r="C14" s="9" t="s">
        <v>8</v>
      </c>
      <c r="D14" s="10" t="s">
        <v>31</v>
      </c>
    </row>
    <row r="15" spans="2:4" ht="45" x14ac:dyDescent="0.25">
      <c r="B15" s="8" t="s">
        <v>18</v>
      </c>
      <c r="C15" s="9" t="s">
        <v>8</v>
      </c>
      <c r="D15" s="10" t="s">
        <v>32</v>
      </c>
    </row>
    <row r="16" spans="2:4" ht="30" x14ac:dyDescent="0.25">
      <c r="B16" s="8" t="s">
        <v>19</v>
      </c>
      <c r="C16" s="9" t="s">
        <v>8</v>
      </c>
      <c r="D16" s="10" t="s">
        <v>33</v>
      </c>
    </row>
    <row r="17" spans="2:5" ht="30" x14ac:dyDescent="0.25">
      <c r="B17" s="8" t="s">
        <v>20</v>
      </c>
      <c r="C17" s="9" t="s">
        <v>8</v>
      </c>
      <c r="D17" s="10" t="s">
        <v>34</v>
      </c>
    </row>
    <row r="18" spans="2:5" x14ac:dyDescent="0.25">
      <c r="B18" s="8" t="s">
        <v>41</v>
      </c>
      <c r="C18" s="9" t="s">
        <v>9</v>
      </c>
      <c r="D18" s="10" t="s">
        <v>39</v>
      </c>
    </row>
    <row r="19" spans="2:5" ht="30" x14ac:dyDescent="0.25">
      <c r="B19" s="8" t="s">
        <v>22</v>
      </c>
      <c r="C19" s="9" t="s">
        <v>10</v>
      </c>
      <c r="D19" s="10" t="s">
        <v>35</v>
      </c>
    </row>
    <row r="20" spans="2:5" ht="30" x14ac:dyDescent="0.25">
      <c r="B20" s="8" t="s">
        <v>23</v>
      </c>
      <c r="C20" s="9" t="s">
        <v>10</v>
      </c>
      <c r="D20" s="10" t="s">
        <v>36</v>
      </c>
    </row>
    <row r="21" spans="2:5" ht="30" x14ac:dyDescent="0.25">
      <c r="B21" s="8" t="s">
        <v>21</v>
      </c>
      <c r="C21" s="9" t="s">
        <v>10</v>
      </c>
      <c r="D21" s="10" t="s">
        <v>37</v>
      </c>
    </row>
    <row r="23" spans="2:5" x14ac:dyDescent="0.25">
      <c r="B23" s="6" t="s">
        <v>46</v>
      </c>
    </row>
    <row r="24" spans="2:5" x14ac:dyDescent="0.25">
      <c r="B24" s="7" t="s">
        <v>47</v>
      </c>
      <c r="C24" s="7" t="s">
        <v>6</v>
      </c>
      <c r="D24" s="7" t="s">
        <v>7</v>
      </c>
      <c r="E24" s="7" t="s">
        <v>13</v>
      </c>
    </row>
    <row r="25" spans="2:5" x14ac:dyDescent="0.25">
      <c r="B25" s="8" t="s">
        <v>40</v>
      </c>
      <c r="C25" s="9" t="s">
        <v>10</v>
      </c>
      <c r="D25" s="10" t="s">
        <v>49</v>
      </c>
      <c r="E25" s="15" t="s">
        <v>48</v>
      </c>
    </row>
    <row r="26" spans="2:5" x14ac:dyDescent="0.25">
      <c r="B26" s="8" t="s">
        <v>38</v>
      </c>
      <c r="C26" s="9" t="s">
        <v>9</v>
      </c>
      <c r="D26" s="10" t="s">
        <v>51</v>
      </c>
      <c r="E26" s="15" t="s">
        <v>50</v>
      </c>
    </row>
    <row r="27" spans="2:5" x14ac:dyDescent="0.25">
      <c r="B27" s="8" t="s">
        <v>43</v>
      </c>
      <c r="C27" s="9" t="s">
        <v>10</v>
      </c>
      <c r="D27" s="10" t="s">
        <v>55</v>
      </c>
      <c r="E27" s="15" t="s">
        <v>54</v>
      </c>
    </row>
    <row r="28" spans="2:5" x14ac:dyDescent="0.25">
      <c r="B28" s="8" t="s">
        <v>45</v>
      </c>
      <c r="C28" s="9" t="s">
        <v>8</v>
      </c>
      <c r="D28" s="10" t="s">
        <v>53</v>
      </c>
      <c r="E28" s="1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68C0A1E-9AF5-475A-852C-68DCD11FCDD5}">
  <ds:schemaRefs/>
</ds:datastoreItem>
</file>

<file path=customXml/itemProps2.xml><?xml version="1.0" encoding="utf-8"?>
<ds:datastoreItem xmlns:ds="http://schemas.openxmlformats.org/officeDocument/2006/customXml" ds:itemID="{BE233AE5-165D-4DB5-8567-EE6A22533EFE}">
  <ds:schemaRefs/>
</ds:datastoreItem>
</file>

<file path=customXml/itemProps3.xml><?xml version="1.0" encoding="utf-8"?>
<ds:datastoreItem xmlns:ds="http://schemas.openxmlformats.org/officeDocument/2006/customXml" ds:itemID="{77250951-6C88-4C0F-8D75-F6F8203172CB}">
  <ds:schemaRefs/>
</ds:datastoreItem>
</file>

<file path=customXml/itemProps4.xml><?xml version="1.0" encoding="utf-8"?>
<ds:datastoreItem xmlns:ds="http://schemas.openxmlformats.org/officeDocument/2006/customXml" ds:itemID="{C2061356-0865-40AF-827E-6376AAF42288}">
  <ds:schemaRefs/>
</ds:datastoreItem>
</file>

<file path=customXml/itemProps5.xml><?xml version="1.0" encoding="utf-8"?>
<ds:datastoreItem xmlns:ds="http://schemas.openxmlformats.org/officeDocument/2006/customXml" ds:itemID="{8205C0AA-B7EB-438B-9834-A6503CCA65E5}">
  <ds:schemaRefs/>
</ds:datastoreItem>
</file>

<file path=customXml/itemProps6.xml><?xml version="1.0" encoding="utf-8"?>
<ds:datastoreItem xmlns:ds="http://schemas.openxmlformats.org/officeDocument/2006/customXml" ds:itemID="{36B616EC-3EE3-427F-BC2E-0917DFA9FAF0}">
  <ds:schemaRefs/>
</ds:datastoreItem>
</file>

<file path=customXml/itemProps7.xml><?xml version="1.0" encoding="utf-8"?>
<ds:datastoreItem xmlns:ds="http://schemas.openxmlformats.org/officeDocument/2006/customXml" ds:itemID="{C2501E1B-3937-4325-ADB4-9DBBBD70AC4A}">
  <ds:schemaRefs/>
</ds:datastoreItem>
</file>

<file path=customXml/itemProps8.xml><?xml version="1.0" encoding="utf-8"?>
<ds:datastoreItem xmlns:ds="http://schemas.openxmlformats.org/officeDocument/2006/customXml" ds:itemID="{E7726279-AE45-4F7B-AE66-BE3B010DC26C}">
  <ds:schemaRefs/>
</ds:datastoreItem>
</file>

<file path=customXml/itemProps9.xml><?xml version="1.0" encoding="utf-8"?>
<ds:datastoreItem xmlns:ds="http://schemas.openxmlformats.org/officeDocument/2006/customXml" ds:itemID="{60E10F6D-195D-4DDD-9FF0-77B5F1072D0E}">
  <ds:schemaRefs/>
</ds:datastoreItem>
</file>

<file path=customXml/itemProps10.xml><?xml version="1.0" encoding="utf-8"?>
<ds:datastoreItem xmlns:ds="http://schemas.openxmlformats.org/officeDocument/2006/customXml" ds:itemID="{42E891A2-84C0-49BC-9337-677BD2A2B9A2}">
  <ds:schemaRefs/>
</ds:datastoreItem>
</file>

<file path=customXml/itemProps11.xml><?xml version="1.0" encoding="utf-8"?>
<ds:datastoreItem xmlns:ds="http://schemas.openxmlformats.org/officeDocument/2006/customXml" ds:itemID="{24234FF0-1E90-4A22-83E1-80DFE3FB0E82}">
  <ds:schemaRefs/>
</ds:datastoreItem>
</file>

<file path=customXml/itemProps12.xml><?xml version="1.0" encoding="utf-8"?>
<ds:datastoreItem xmlns:ds="http://schemas.openxmlformats.org/officeDocument/2006/customXml" ds:itemID="{CFAA7565-9F34-466F-8D93-E05DF7F7CB06}">
  <ds:schemaRefs/>
</ds:datastoreItem>
</file>

<file path=customXml/itemProps13.xml><?xml version="1.0" encoding="utf-8"?>
<ds:datastoreItem xmlns:ds="http://schemas.openxmlformats.org/officeDocument/2006/customXml" ds:itemID="{C9AF8E2F-04AA-4A1A-8685-EBE3A6E4557A}">
  <ds:schemaRefs/>
</ds:datastoreItem>
</file>

<file path=customXml/itemProps14.xml><?xml version="1.0" encoding="utf-8"?>
<ds:datastoreItem xmlns:ds="http://schemas.openxmlformats.org/officeDocument/2006/customXml" ds:itemID="{359136D3-533F-431A-AE70-93204AA34A19}">
  <ds:schemaRefs/>
</ds:datastoreItem>
</file>

<file path=customXml/itemProps15.xml><?xml version="1.0" encoding="utf-8"?>
<ds:datastoreItem xmlns:ds="http://schemas.openxmlformats.org/officeDocument/2006/customXml" ds:itemID="{1C2E07E2-2C9E-4AE1-A25C-0D19928D4C9B}">
  <ds:schemaRefs/>
</ds:datastoreItem>
</file>

<file path=customXml/itemProps16.xml><?xml version="1.0" encoding="utf-8"?>
<ds:datastoreItem xmlns:ds="http://schemas.openxmlformats.org/officeDocument/2006/customXml" ds:itemID="{D0EF1250-FFF9-4DEC-B979-1ED8CCE77881}">
  <ds:schemaRefs/>
</ds:datastoreItem>
</file>

<file path=customXml/itemProps17.xml><?xml version="1.0" encoding="utf-8"?>
<ds:datastoreItem xmlns:ds="http://schemas.openxmlformats.org/officeDocument/2006/customXml" ds:itemID="{9DEBF54D-4101-4BCE-863C-3B9C3CAF55F8}">
  <ds:schemaRefs/>
</ds:datastoreItem>
</file>

<file path=customXml/itemProps18.xml><?xml version="1.0" encoding="utf-8"?>
<ds:datastoreItem xmlns:ds="http://schemas.openxmlformats.org/officeDocument/2006/customXml" ds:itemID="{AD771246-5BDB-44FE-BCB4-9204F8850004}">
  <ds:schemaRefs/>
</ds:datastoreItem>
</file>

<file path=customXml/itemProps19.xml><?xml version="1.0" encoding="utf-8"?>
<ds:datastoreItem xmlns:ds="http://schemas.openxmlformats.org/officeDocument/2006/customXml" ds:itemID="{334CDF53-3299-4D8C-8E03-72E72D25CCB0}">
  <ds:schemaRefs/>
</ds:datastoreItem>
</file>

<file path=customXml/itemProps20.xml><?xml version="1.0" encoding="utf-8"?>
<ds:datastoreItem xmlns:ds="http://schemas.openxmlformats.org/officeDocument/2006/customXml" ds:itemID="{778A3218-EC98-407A-90D2-1D52A0622936}">
  <ds:schemaRefs/>
</ds:datastoreItem>
</file>

<file path=customXml/itemProps21.xml><?xml version="1.0" encoding="utf-8"?>
<ds:datastoreItem xmlns:ds="http://schemas.openxmlformats.org/officeDocument/2006/customXml" ds:itemID="{203CAE31-EC09-42F6-8C0C-8852F6B88090}">
  <ds:schemaRefs/>
</ds:datastoreItem>
</file>

<file path=customXml/itemProps22.xml><?xml version="1.0" encoding="utf-8"?>
<ds:datastoreItem xmlns:ds="http://schemas.openxmlformats.org/officeDocument/2006/customXml" ds:itemID="{A8FADAED-3967-4A7C-91D3-6A2AD87783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Inventory Report</vt:lpstr>
      <vt:lpstr>Warehouse Grid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11: Case Problem 2</dc:title>
  <dc:creator>Your Name</dc:creator>
  <cp:lastModifiedBy>Patrick Carey</cp:lastModifiedBy>
  <dcterms:created xsi:type="dcterms:W3CDTF">2019-02-27T04:38:07Z</dcterms:created>
  <dcterms:modified xsi:type="dcterms:W3CDTF">2021-09-24T03:11:59Z</dcterms:modified>
</cp:coreProperties>
</file>
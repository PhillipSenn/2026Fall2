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11\Review\"/>
    </mc:Choice>
  </mc:AlternateContent>
  <xr:revisionPtr revIDLastSave="0" documentId="13_ncr:1_{5F70E8C1-0005-4719-88AB-DF90B114926F}" xr6:coauthVersionLast="46" xr6:coauthVersionMax="46" xr10:uidLastSave="{00000000-0000-0000-0000-000000000000}"/>
  <bookViews>
    <workbookView xWindow="-120" yWindow="-120" windowWidth="29040" windowHeight="15840" xr2:uid="{EDC794D9-5B83-45E1-838A-C3EF2EBA2E07}"/>
  </bookViews>
  <sheets>
    <sheet name="Documentation" sheetId="3" r:id="rId1"/>
    <sheet name="Vacancy Lookup" sheetId="7" r:id="rId2"/>
    <sheet name="Vacancy Table" sheetId="5" r:id="rId3"/>
    <sheet name="Terms and Definitions" sheetId="4" r:id="rId4"/>
  </sheets>
  <externalReferences>
    <externalReference r:id="rId5"/>
  </externalReferences>
  <definedNames>
    <definedName name="holiday_lookup">[1]adders!$M$1:$O$35</definedName>
    <definedName name="month_list">'[1]Occupancy Rates'!$C$1:$N$1</definedName>
    <definedName name="motel_info">#REF!</definedName>
    <definedName name="motel_list">#REF!</definedName>
    <definedName name="name_lookup" localSheetId="1">#REF!</definedName>
    <definedName name="name_lookup">#REF!</definedName>
    <definedName name="ocr_special">[1]adders!$X$1:$CS$25</definedName>
    <definedName name="ocr_table">'[1]Occupancy Rates'!$A$1:$N$25</definedName>
    <definedName name="pool_table">[1]adders!$A$1:$B$3</definedName>
    <definedName name="rate_special">[1]adders!$X$27:$CS$51</definedName>
    <definedName name="room_cost_table">'[1]Avg Room Rate'!$A$1:$N$25</definedName>
    <definedName name="special_list">[1]adders!$Y$1:$CS$1</definedName>
    <definedName name="suite_adder">[1]adders!$K$4</definedName>
    <definedName name="unavailable_lookup">[1]adders!$U$1:$V$6</definedName>
    <definedName name="weekend_ocr">[1]adders!$D$1:$E$8</definedName>
    <definedName name="weekend_price">[1]adders!$G$1:$H$8</definedName>
    <definedName name="year_list">[1]adders!$R$1:$S$1</definedName>
    <definedName name="year_mult">[1]adders!$Q$1:$S$25</definedName>
  </definedName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otels" name="Motels" connection="Connection1"/>
          <x15:modelTable id="Stays 2" name="Stays" connection="Connection"/>
        </x15:modelTables>
        <x15:modelRelationships>
          <x15:modelRelationship fromTable="Stays" fromColumn="Motel ID" toTable="Motels" toColumn="Motel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tays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7" l="1"/>
  <c r="C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0AC39F-C4BB-41F9-8F0D-F940FC7F3956}" name="Connection" type="104" refreshedVersion="0" background="1">
    <extLst>
      <ext xmlns:x15="http://schemas.microsoft.com/office/spreadsheetml/2010/11/main" uri="{DE250136-89BD-433C-8126-D09CA5730AF9}">
        <x15:connection id="Stays 2"/>
      </ext>
    </extLst>
  </connection>
  <connection id="2" xr16:uid="{E735DFFB-2866-4707-B39C-B6D7A9A7C925}" name="Connection1" type="104" refreshedVersion="0" background="1">
    <extLst>
      <ext xmlns:x15="http://schemas.microsoft.com/office/spreadsheetml/2010/11/main" uri="{DE250136-89BD-433C-8126-D09CA5730AF9}">
        <x15:connection id="Motels"/>
      </ext>
    </extLst>
  </connection>
  <connection id="3" xr16:uid="{B7CF5C3F-1747-41E8-94D4-25A281E5BF11}" keepAlive="1" name="ThisWorkbookDataModel" description="Data Model" type="5" refreshedVersion="6" minRefreshableVersion="5" background="1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<sst xmlns="http://schemas.openxmlformats.org/spreadsheetml/2006/main" count="456" uniqueCount="115">
  <si>
    <t>QC Inn</t>
  </si>
  <si>
    <t>Motel ID</t>
  </si>
  <si>
    <t>Date</t>
  </si>
  <si>
    <t>Year</t>
  </si>
  <si>
    <t>Month</t>
  </si>
  <si>
    <t>Weekday</t>
  </si>
  <si>
    <t>Rooms Rented</t>
  </si>
  <si>
    <t>Occupancy</t>
  </si>
  <si>
    <t>Revenue</t>
  </si>
  <si>
    <t>Motel Name</t>
  </si>
  <si>
    <t>Street</t>
  </si>
  <si>
    <t>City</t>
  </si>
  <si>
    <t>State</t>
  </si>
  <si>
    <t>Region</t>
  </si>
  <si>
    <t>Postal Code</t>
  </si>
  <si>
    <t>Phone</t>
  </si>
  <si>
    <t xml:space="preserve">Manager </t>
  </si>
  <si>
    <t>Motel Age</t>
  </si>
  <si>
    <t>Standard Rooms</t>
  </si>
  <si>
    <t>Suites</t>
  </si>
  <si>
    <t>Total Rooms</t>
  </si>
  <si>
    <t>Suite Percent</t>
  </si>
  <si>
    <t>Travel Grade</t>
  </si>
  <si>
    <t>Pool</t>
  </si>
  <si>
    <t>Bellevue Inn</t>
  </si>
  <si>
    <t>Grand Island Inn</t>
  </si>
  <si>
    <t>Hastings Lodge</t>
  </si>
  <si>
    <t>Kearney Inn</t>
  </si>
  <si>
    <t>Lexington Inn &amp; Suites</t>
  </si>
  <si>
    <t>Lincoln Motel</t>
  </si>
  <si>
    <t>Lincoln Lodge</t>
  </si>
  <si>
    <t>Lincoln Inn &amp; Suites</t>
  </si>
  <si>
    <t>North Platte Lodge</t>
  </si>
  <si>
    <t>Omaha Inn</t>
  </si>
  <si>
    <t>Omaha Inn &amp; Suites</t>
  </si>
  <si>
    <t>Omaha Motel</t>
  </si>
  <si>
    <t>Scottsbluff Inn</t>
  </si>
  <si>
    <t>Sidney Lodge</t>
  </si>
  <si>
    <t>Valentine Lodge</t>
  </si>
  <si>
    <t>York Motel</t>
  </si>
  <si>
    <t>Custer Lodge</t>
  </si>
  <si>
    <t>Brookings Inn</t>
  </si>
  <si>
    <t>Deadwood Inn &amp; Suites</t>
  </si>
  <si>
    <t>Hill City Inn</t>
  </si>
  <si>
    <t>Mitchell Motel</t>
  </si>
  <si>
    <t>Rapid City Inn</t>
  </si>
  <si>
    <t>Sioux Falls Inn</t>
  </si>
  <si>
    <t>Sioux Falls Inn &amp; Suites</t>
  </si>
  <si>
    <t>Author</t>
  </si>
  <si>
    <t>Purpose</t>
  </si>
  <si>
    <t>Terms and Definitions</t>
  </si>
  <si>
    <t>Motels Table</t>
  </si>
  <si>
    <t>Field</t>
  </si>
  <si>
    <t>Data Type</t>
  </si>
  <si>
    <t>Notes</t>
  </si>
  <si>
    <t>date</t>
  </si>
  <si>
    <t>integer</t>
  </si>
  <si>
    <t>text</t>
  </si>
  <si>
    <t>Name of motel</t>
  </si>
  <si>
    <t>City location of motel</t>
  </si>
  <si>
    <t>State location of motel</t>
  </si>
  <si>
    <t>calculated</t>
  </si>
  <si>
    <t>currency</t>
  </si>
  <si>
    <t>number</t>
  </si>
  <si>
    <t>ID of motel</t>
  </si>
  <si>
    <t>Street address of motel</t>
  </si>
  <si>
    <t>Region location of motel</t>
  </si>
  <si>
    <t>Postal code location of motel</t>
  </si>
  <si>
    <t>Contact phone number</t>
  </si>
  <si>
    <t>Manager of motel</t>
  </si>
  <si>
    <t>Age of motel in years</t>
  </si>
  <si>
    <t>Number of standard-sized room in the motel</t>
  </si>
  <si>
    <t>Number of suites in the motel</t>
  </si>
  <si>
    <t>Total number of rooms in the motel</t>
  </si>
  <si>
    <t>Percentage of rooms dedicated to suites</t>
  </si>
  <si>
    <t>Average travelers grade of motel (1=Poor to 10=Great)</t>
  </si>
  <si>
    <t>Indicator of whether motel includes a swimming pool</t>
  </si>
  <si>
    <t>Stays Table</t>
  </si>
  <si>
    <t>Number of rooms rented on date</t>
  </si>
  <si>
    <t>Percent of rooms rented on date</t>
  </si>
  <si>
    <t>Total revenue collected on date</t>
  </si>
  <si>
    <t>Measures</t>
  </si>
  <si>
    <t>Measure</t>
  </si>
  <si>
    <t>Royalty Rate</t>
  </si>
  <si>
    <t>Percentage of revenue paid to QC Inn chain</t>
  </si>
  <si>
    <t>Formula</t>
  </si>
  <si>
    <t>Month abbreviation of date of stay</t>
  </si>
  <si>
    <t>Year of motel stay</t>
  </si>
  <si>
    <t>Date of motel stay</t>
  </si>
  <si>
    <t>Weekday abbreviation of date of stay</t>
  </si>
  <si>
    <t>To determine the number of days in which motels are nearly or completely filled up</t>
  </si>
  <si>
    <t>Jan</t>
  </si>
  <si>
    <t>Days Filled</t>
  </si>
  <si>
    <t>Percent Filled</t>
  </si>
  <si>
    <t>Days in which the motel had no vacancies</t>
  </si>
  <si>
    <t>Percent of days with no vacancies</t>
  </si>
  <si>
    <t>SUMX(Stays, IF([Rooms Rented]=RELATED(Motels[Total Rooms]),1,0))</t>
  </si>
  <si>
    <t>[Days Filled]/[Count of Date]</t>
  </si>
  <si>
    <t>Days with no vacancies</t>
  </si>
  <si>
    <t>Vacancy Lookup Sheet</t>
  </si>
  <si>
    <t>Days with No Vacancies</t>
  </si>
  <si>
    <t>Grand Total</t>
  </si>
  <si>
    <t>Apr</t>
  </si>
  <si>
    <t>Aug</t>
  </si>
  <si>
    <t>Dec</t>
  </si>
  <si>
    <t>Feb</t>
  </si>
  <si>
    <t>Jul</t>
  </si>
  <si>
    <t>Jun</t>
  </si>
  <si>
    <t>Mar</t>
  </si>
  <si>
    <t>May</t>
  </si>
  <si>
    <t>Nov</t>
  </si>
  <si>
    <t>Oct</t>
  </si>
  <si>
    <t>Sep</t>
  </si>
  <si>
    <t>Days</t>
  </si>
  <si>
    <t>Anna Fischer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</si>
</sst>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28"/>
      <color theme="9"/>
      <name val="Algerian"/>
      <family val="5"/>
    </font>
    <font>
      <sz val="14"/>
      <color theme="9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1" applyFont="1"/>
    <xf numFmtId="0" fontId="4" fillId="0" borderId="0" xfId="0" applyFont="1"/>
    <xf numFmtId="0" fontId="2" fillId="4" borderId="1" xfId="2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6" fillId="0" borderId="0" xfId="0" applyFont="1"/>
    <xf numFmtId="0" fontId="2" fillId="3" borderId="1" xfId="3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0" fillId="6" borderId="1" xfId="0" applyFill="1" applyBorder="1"/>
    <xf numFmtId="0" fontId="0" fillId="6" borderId="2" xfId="0" applyFill="1" applyBorder="1"/>
    <xf numFmtId="0" fontId="0" fillId="7" borderId="3" xfId="0" applyFill="1" applyBorder="1"/>
    <xf numFmtId="0" fontId="0" fillId="7" borderId="1" xfId="0" applyFill="1" applyBorder="1"/>
    <xf numFmtId="10" fontId="0" fillId="0" borderId="4" xfId="5" applyNumberFormat="1" applyFont="1" applyBorder="1"/>
    <xf numFmtId="1" fontId="0" fillId="0" borderId="1" xfId="4" applyNumberFormat="1" applyFont="1" applyBorder="1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6">
    <cellStyle name="Accent1" xfId="2" builtinId="29"/>
    <cellStyle name="Accent6" xfId="3" builtinId="49"/>
    <cellStyle name="Comma" xfId="4" builtinId="3"/>
    <cellStyle name="Normal" xfId="0" builtinId="0"/>
    <cellStyle name="Percent" xfId="5" builtinId="5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atrick%20Carey\Documents\Cengage\Active\Excel%202019\Module%2011\Work\moteldata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nchmarks"/>
      <sheetName val="motels"/>
      <sheetName val="Avg Room Rate"/>
      <sheetName val="Occupancy Rates"/>
      <sheetName val="adders"/>
      <sheetName val="Daily Data"/>
    </sheetNames>
    <sheetDataSet>
      <sheetData sheetId="0"/>
      <sheetData sheetId="1"/>
      <sheetData sheetId="2">
        <row r="1">
          <cell r="A1" t="str">
            <v>Motel ID</v>
          </cell>
          <cell r="B1" t="str">
            <v>City</v>
          </cell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</row>
        <row r="2">
          <cell r="A2" t="str">
            <v>NB001</v>
          </cell>
          <cell r="B2" t="str">
            <v>Bellevue</v>
          </cell>
          <cell r="C2">
            <v>74.95</v>
          </cell>
          <cell r="D2">
            <v>79.95</v>
          </cell>
          <cell r="E2">
            <v>85.95</v>
          </cell>
          <cell r="F2">
            <v>88.95</v>
          </cell>
          <cell r="G2">
            <v>90.95</v>
          </cell>
          <cell r="H2">
            <v>119.95</v>
          </cell>
          <cell r="I2">
            <v>119.95</v>
          </cell>
          <cell r="J2">
            <v>119.95</v>
          </cell>
          <cell r="K2">
            <v>90.95</v>
          </cell>
          <cell r="L2">
            <v>95.95</v>
          </cell>
          <cell r="M2">
            <v>79.95</v>
          </cell>
          <cell r="N2">
            <v>79.95</v>
          </cell>
        </row>
        <row r="3">
          <cell r="A3" t="str">
            <v>NB002</v>
          </cell>
          <cell r="B3" t="str">
            <v>Grand Island</v>
          </cell>
          <cell r="C3">
            <v>73.95</v>
          </cell>
          <cell r="D3">
            <v>85.95</v>
          </cell>
          <cell r="E3">
            <v>85.95</v>
          </cell>
          <cell r="F3">
            <v>87.95</v>
          </cell>
          <cell r="G3">
            <v>88.95</v>
          </cell>
          <cell r="H3">
            <v>105.95</v>
          </cell>
          <cell r="I3">
            <v>105.95</v>
          </cell>
          <cell r="J3">
            <v>105.95</v>
          </cell>
          <cell r="K3">
            <v>88.95</v>
          </cell>
          <cell r="L3">
            <v>93.95</v>
          </cell>
          <cell r="M3">
            <v>85.95</v>
          </cell>
          <cell r="N3">
            <v>85.95</v>
          </cell>
        </row>
        <row r="4">
          <cell r="A4" t="str">
            <v>NB003</v>
          </cell>
          <cell r="B4" t="str">
            <v>Hastings</v>
          </cell>
          <cell r="C4">
            <v>74.95</v>
          </cell>
          <cell r="D4">
            <v>89.95</v>
          </cell>
          <cell r="E4">
            <v>90.95</v>
          </cell>
          <cell r="F4">
            <v>90.95</v>
          </cell>
          <cell r="G4">
            <v>93.95</v>
          </cell>
          <cell r="H4">
            <v>97.95</v>
          </cell>
          <cell r="I4">
            <v>97.95</v>
          </cell>
          <cell r="J4">
            <v>97.95</v>
          </cell>
          <cell r="K4">
            <v>93.95</v>
          </cell>
          <cell r="L4">
            <v>98.95</v>
          </cell>
          <cell r="M4">
            <v>89.95</v>
          </cell>
          <cell r="N4">
            <v>89.95</v>
          </cell>
        </row>
        <row r="5">
          <cell r="A5" t="str">
            <v>NB004</v>
          </cell>
          <cell r="B5" t="str">
            <v>Kearney</v>
          </cell>
          <cell r="C5">
            <v>80.95</v>
          </cell>
          <cell r="D5">
            <v>90.95</v>
          </cell>
          <cell r="E5">
            <v>93.95</v>
          </cell>
          <cell r="F5">
            <v>93.95</v>
          </cell>
          <cell r="G5">
            <v>95.95</v>
          </cell>
          <cell r="H5">
            <v>103.95</v>
          </cell>
          <cell r="I5">
            <v>135.94999999999999</v>
          </cell>
          <cell r="J5">
            <v>108.95</v>
          </cell>
          <cell r="K5">
            <v>95.95</v>
          </cell>
          <cell r="L5">
            <v>100.95</v>
          </cell>
          <cell r="M5">
            <v>90.95</v>
          </cell>
          <cell r="N5">
            <v>90.95</v>
          </cell>
        </row>
        <row r="6">
          <cell r="A6" t="str">
            <v>NB005</v>
          </cell>
          <cell r="B6" t="str">
            <v>Lexington</v>
          </cell>
          <cell r="C6">
            <v>79.95</v>
          </cell>
          <cell r="D6">
            <v>85.95</v>
          </cell>
          <cell r="E6">
            <v>92.95</v>
          </cell>
          <cell r="F6">
            <v>95.95</v>
          </cell>
          <cell r="G6">
            <v>101.95</v>
          </cell>
          <cell r="H6">
            <v>95.95</v>
          </cell>
          <cell r="I6">
            <v>95.95</v>
          </cell>
          <cell r="J6">
            <v>101.95</v>
          </cell>
          <cell r="K6">
            <v>101.95</v>
          </cell>
          <cell r="L6">
            <v>106.95</v>
          </cell>
          <cell r="M6">
            <v>85.95</v>
          </cell>
          <cell r="N6">
            <v>85.95</v>
          </cell>
        </row>
        <row r="7">
          <cell r="A7" t="str">
            <v>NB006</v>
          </cell>
          <cell r="B7" t="str">
            <v>Lincoln</v>
          </cell>
          <cell r="C7">
            <v>69.95</v>
          </cell>
          <cell r="D7">
            <v>69.95</v>
          </cell>
          <cell r="E7">
            <v>74.95</v>
          </cell>
          <cell r="F7">
            <v>74.95</v>
          </cell>
          <cell r="G7">
            <v>79.95</v>
          </cell>
          <cell r="H7">
            <v>87.95</v>
          </cell>
          <cell r="I7">
            <v>97.95</v>
          </cell>
          <cell r="J7">
            <v>97.95</v>
          </cell>
          <cell r="K7">
            <v>75.95</v>
          </cell>
          <cell r="L7">
            <v>80.95</v>
          </cell>
          <cell r="M7">
            <v>79.95</v>
          </cell>
          <cell r="N7">
            <v>69.95</v>
          </cell>
        </row>
        <row r="8">
          <cell r="A8" t="str">
            <v>NB007</v>
          </cell>
          <cell r="B8" t="str">
            <v>Lincoln</v>
          </cell>
          <cell r="C8">
            <v>72.95</v>
          </cell>
          <cell r="D8">
            <v>85.95</v>
          </cell>
          <cell r="E8">
            <v>88.95</v>
          </cell>
          <cell r="F8">
            <v>90.95</v>
          </cell>
          <cell r="G8">
            <v>93.95</v>
          </cell>
          <cell r="H8">
            <v>105.95</v>
          </cell>
          <cell r="I8">
            <v>125.95</v>
          </cell>
          <cell r="J8">
            <v>110.95</v>
          </cell>
          <cell r="K8">
            <v>93.95</v>
          </cell>
          <cell r="L8">
            <v>98.95</v>
          </cell>
          <cell r="M8">
            <v>85.95</v>
          </cell>
          <cell r="N8">
            <v>85.95</v>
          </cell>
        </row>
        <row r="9">
          <cell r="A9" t="str">
            <v>NB008</v>
          </cell>
          <cell r="B9" t="str">
            <v>Lincoln</v>
          </cell>
          <cell r="C9">
            <v>91.95</v>
          </cell>
          <cell r="D9">
            <v>110.95</v>
          </cell>
          <cell r="E9">
            <v>112.95</v>
          </cell>
          <cell r="F9">
            <v>112.95</v>
          </cell>
          <cell r="G9">
            <v>115.95</v>
          </cell>
          <cell r="H9">
            <v>129.94999999999999</v>
          </cell>
          <cell r="I9">
            <v>145.94999999999999</v>
          </cell>
          <cell r="J9">
            <v>135.94999999999999</v>
          </cell>
          <cell r="K9">
            <v>115.95</v>
          </cell>
          <cell r="L9">
            <v>120.95</v>
          </cell>
          <cell r="M9">
            <v>110.95</v>
          </cell>
          <cell r="N9">
            <v>110.95</v>
          </cell>
        </row>
        <row r="10">
          <cell r="A10" t="str">
            <v>NB009</v>
          </cell>
          <cell r="B10" t="str">
            <v>North Platte</v>
          </cell>
          <cell r="C10">
            <v>69.95</v>
          </cell>
          <cell r="D10">
            <v>74.95</v>
          </cell>
          <cell r="E10">
            <v>77.95</v>
          </cell>
          <cell r="F10">
            <v>78.95</v>
          </cell>
          <cell r="G10">
            <v>79.95</v>
          </cell>
          <cell r="H10">
            <v>79.95</v>
          </cell>
          <cell r="I10">
            <v>79.95</v>
          </cell>
          <cell r="J10">
            <v>79.95</v>
          </cell>
          <cell r="K10">
            <v>79.95</v>
          </cell>
          <cell r="L10">
            <v>84.95</v>
          </cell>
          <cell r="M10">
            <v>74.95</v>
          </cell>
          <cell r="N10">
            <v>74.95</v>
          </cell>
        </row>
        <row r="11">
          <cell r="A11" t="str">
            <v>NB010</v>
          </cell>
          <cell r="B11" t="str">
            <v>Omaha</v>
          </cell>
          <cell r="C11">
            <v>69.95</v>
          </cell>
          <cell r="D11">
            <v>69.95</v>
          </cell>
          <cell r="E11">
            <v>74.95</v>
          </cell>
          <cell r="F11">
            <v>76.95</v>
          </cell>
          <cell r="G11">
            <v>79.95</v>
          </cell>
          <cell r="H11">
            <v>86.95</v>
          </cell>
          <cell r="I11">
            <v>96.95</v>
          </cell>
          <cell r="J11">
            <v>95.95</v>
          </cell>
          <cell r="K11">
            <v>79.95</v>
          </cell>
          <cell r="L11">
            <v>84.95</v>
          </cell>
          <cell r="M11">
            <v>69.95</v>
          </cell>
          <cell r="N11">
            <v>69.95</v>
          </cell>
        </row>
        <row r="12">
          <cell r="A12" t="str">
            <v>NB011</v>
          </cell>
          <cell r="B12" t="str">
            <v>Omaha</v>
          </cell>
          <cell r="C12">
            <v>79.95</v>
          </cell>
          <cell r="D12">
            <v>83.95</v>
          </cell>
          <cell r="E12">
            <v>88.95</v>
          </cell>
          <cell r="F12">
            <v>90.95</v>
          </cell>
          <cell r="G12">
            <v>93.95</v>
          </cell>
          <cell r="H12">
            <v>101.95</v>
          </cell>
          <cell r="I12">
            <v>123.95</v>
          </cell>
          <cell r="J12">
            <v>120.95</v>
          </cell>
          <cell r="K12">
            <v>93.95</v>
          </cell>
          <cell r="L12">
            <v>98.95</v>
          </cell>
          <cell r="M12">
            <v>83.95</v>
          </cell>
          <cell r="N12">
            <v>83.95</v>
          </cell>
        </row>
        <row r="13">
          <cell r="A13" t="str">
            <v>NB012</v>
          </cell>
          <cell r="B13" t="str">
            <v>Omaha</v>
          </cell>
          <cell r="C13">
            <v>89.95</v>
          </cell>
          <cell r="D13">
            <v>93.95</v>
          </cell>
          <cell r="E13">
            <v>98.95</v>
          </cell>
          <cell r="F13">
            <v>100.95</v>
          </cell>
          <cell r="G13">
            <v>105.95</v>
          </cell>
          <cell r="H13">
            <v>119.95</v>
          </cell>
          <cell r="I13">
            <v>130.94999999999999</v>
          </cell>
          <cell r="J13">
            <v>119.95</v>
          </cell>
          <cell r="K13">
            <v>105.95</v>
          </cell>
          <cell r="L13">
            <v>110.95</v>
          </cell>
          <cell r="M13">
            <v>93.95</v>
          </cell>
          <cell r="N13">
            <v>93.95</v>
          </cell>
        </row>
        <row r="14">
          <cell r="A14" t="str">
            <v>NB013</v>
          </cell>
          <cell r="B14" t="str">
            <v>Scottsbluff</v>
          </cell>
          <cell r="C14">
            <v>69.95</v>
          </cell>
          <cell r="D14">
            <v>79.95</v>
          </cell>
          <cell r="E14">
            <v>84.95</v>
          </cell>
          <cell r="F14">
            <v>84.95</v>
          </cell>
          <cell r="G14">
            <v>89.95</v>
          </cell>
          <cell r="H14">
            <v>95.95</v>
          </cell>
          <cell r="I14">
            <v>95.95</v>
          </cell>
          <cell r="J14">
            <v>95.95</v>
          </cell>
          <cell r="K14">
            <v>89.95</v>
          </cell>
          <cell r="L14">
            <v>94.95</v>
          </cell>
          <cell r="M14">
            <v>79.95</v>
          </cell>
          <cell r="N14">
            <v>79.95</v>
          </cell>
        </row>
        <row r="15">
          <cell r="A15" t="str">
            <v>NB014</v>
          </cell>
          <cell r="B15" t="str">
            <v>Sidney</v>
          </cell>
          <cell r="C15">
            <v>64.95</v>
          </cell>
          <cell r="D15">
            <v>69.95</v>
          </cell>
          <cell r="E15">
            <v>83.95</v>
          </cell>
          <cell r="F15">
            <v>85.95</v>
          </cell>
          <cell r="G15">
            <v>95.95</v>
          </cell>
          <cell r="H15">
            <v>87.95</v>
          </cell>
          <cell r="I15">
            <v>95.95</v>
          </cell>
          <cell r="J15">
            <v>95.95</v>
          </cell>
          <cell r="K15">
            <v>95.95</v>
          </cell>
          <cell r="L15">
            <v>100.95</v>
          </cell>
          <cell r="M15">
            <v>69.95</v>
          </cell>
          <cell r="N15">
            <v>69.95</v>
          </cell>
        </row>
        <row r="16">
          <cell r="A16" t="str">
            <v>NB015</v>
          </cell>
          <cell r="B16" t="str">
            <v>Valentine</v>
          </cell>
          <cell r="C16">
            <v>69.95</v>
          </cell>
          <cell r="D16">
            <v>86.95</v>
          </cell>
          <cell r="E16">
            <v>90.95</v>
          </cell>
          <cell r="F16">
            <v>92.95</v>
          </cell>
          <cell r="G16">
            <v>96.95</v>
          </cell>
          <cell r="H16">
            <v>91.95</v>
          </cell>
          <cell r="I16">
            <v>95.95</v>
          </cell>
          <cell r="J16">
            <v>95.95</v>
          </cell>
          <cell r="K16">
            <v>96.95</v>
          </cell>
          <cell r="L16">
            <v>101.95</v>
          </cell>
          <cell r="M16">
            <v>86.95</v>
          </cell>
          <cell r="N16">
            <v>79.95</v>
          </cell>
        </row>
        <row r="17">
          <cell r="A17" t="str">
            <v>NB016</v>
          </cell>
          <cell r="B17" t="str">
            <v>York</v>
          </cell>
          <cell r="C17">
            <v>78.95</v>
          </cell>
          <cell r="D17">
            <v>97.95</v>
          </cell>
          <cell r="E17">
            <v>102.95</v>
          </cell>
          <cell r="F17">
            <v>103.95</v>
          </cell>
          <cell r="G17">
            <v>107.95</v>
          </cell>
          <cell r="H17">
            <v>115.95</v>
          </cell>
          <cell r="I17">
            <v>125.95</v>
          </cell>
          <cell r="J17">
            <v>110.95</v>
          </cell>
          <cell r="K17">
            <v>107.95</v>
          </cell>
          <cell r="L17">
            <v>112.95</v>
          </cell>
          <cell r="M17">
            <v>97.95</v>
          </cell>
          <cell r="N17">
            <v>97.95</v>
          </cell>
        </row>
        <row r="18">
          <cell r="A18" t="str">
            <v>SD001</v>
          </cell>
          <cell r="B18" t="str">
            <v>Custer</v>
          </cell>
          <cell r="C18">
            <v>69.95</v>
          </cell>
          <cell r="D18">
            <v>79.95</v>
          </cell>
          <cell r="E18">
            <v>79.95</v>
          </cell>
          <cell r="F18">
            <v>79.95</v>
          </cell>
          <cell r="G18">
            <v>110.95</v>
          </cell>
          <cell r="H18">
            <v>120.95</v>
          </cell>
          <cell r="I18">
            <v>130.94999999999999</v>
          </cell>
          <cell r="J18">
            <v>122.95</v>
          </cell>
          <cell r="K18">
            <v>100.95</v>
          </cell>
          <cell r="L18">
            <v>92.91</v>
          </cell>
          <cell r="M18">
            <v>79.95</v>
          </cell>
          <cell r="N18">
            <v>74.95</v>
          </cell>
        </row>
        <row r="19">
          <cell r="A19" t="str">
            <v>SD002</v>
          </cell>
          <cell r="B19" t="str">
            <v>Brookings</v>
          </cell>
          <cell r="C19">
            <v>69.95</v>
          </cell>
          <cell r="D19">
            <v>75.95</v>
          </cell>
          <cell r="E19">
            <v>80.95</v>
          </cell>
          <cell r="F19">
            <v>81.95</v>
          </cell>
          <cell r="G19">
            <v>85.95</v>
          </cell>
          <cell r="H19">
            <v>85.95</v>
          </cell>
          <cell r="I19">
            <v>93.95</v>
          </cell>
          <cell r="J19">
            <v>85.95</v>
          </cell>
          <cell r="K19">
            <v>85.95</v>
          </cell>
          <cell r="L19">
            <v>90.95</v>
          </cell>
          <cell r="M19">
            <v>75.95</v>
          </cell>
          <cell r="N19">
            <v>75.95</v>
          </cell>
        </row>
        <row r="20">
          <cell r="A20" t="str">
            <v>SD003</v>
          </cell>
          <cell r="B20" t="str">
            <v>Deadwood</v>
          </cell>
          <cell r="C20">
            <v>64.95</v>
          </cell>
          <cell r="D20">
            <v>64.95</v>
          </cell>
          <cell r="E20">
            <v>69.95</v>
          </cell>
          <cell r="F20">
            <v>75.95</v>
          </cell>
          <cell r="G20">
            <v>95.95</v>
          </cell>
          <cell r="H20">
            <v>119.95</v>
          </cell>
          <cell r="I20">
            <v>127.95</v>
          </cell>
          <cell r="J20">
            <v>122.95</v>
          </cell>
          <cell r="K20">
            <v>95.95</v>
          </cell>
          <cell r="L20">
            <v>100.95</v>
          </cell>
          <cell r="M20">
            <v>79.95</v>
          </cell>
          <cell r="N20">
            <v>69.95</v>
          </cell>
        </row>
        <row r="21">
          <cell r="A21" t="str">
            <v>SD004</v>
          </cell>
          <cell r="B21" t="str">
            <v>Hill City</v>
          </cell>
          <cell r="C21">
            <v>64.95</v>
          </cell>
          <cell r="D21">
            <v>69.95</v>
          </cell>
          <cell r="E21">
            <v>74.95</v>
          </cell>
          <cell r="F21">
            <v>85.95</v>
          </cell>
          <cell r="G21">
            <v>105.95</v>
          </cell>
          <cell r="H21">
            <v>114.95</v>
          </cell>
          <cell r="I21">
            <v>125.95</v>
          </cell>
          <cell r="J21">
            <v>130.94999999999999</v>
          </cell>
          <cell r="K21">
            <v>120.95</v>
          </cell>
          <cell r="L21">
            <v>105.95</v>
          </cell>
          <cell r="M21">
            <v>79.95</v>
          </cell>
          <cell r="N21">
            <v>69.95</v>
          </cell>
        </row>
        <row r="22">
          <cell r="A22" t="str">
            <v>SD005</v>
          </cell>
          <cell r="B22" t="str">
            <v>Mitchell</v>
          </cell>
          <cell r="C22">
            <v>72.95</v>
          </cell>
          <cell r="D22">
            <v>93.95</v>
          </cell>
          <cell r="E22">
            <v>98.95</v>
          </cell>
          <cell r="F22">
            <v>102.95</v>
          </cell>
          <cell r="G22">
            <v>105.95</v>
          </cell>
          <cell r="H22">
            <v>112.95</v>
          </cell>
          <cell r="I22">
            <v>120.95</v>
          </cell>
          <cell r="J22">
            <v>115.95</v>
          </cell>
          <cell r="K22">
            <v>105.95</v>
          </cell>
          <cell r="L22">
            <v>110.95</v>
          </cell>
          <cell r="M22">
            <v>93.95</v>
          </cell>
          <cell r="N22">
            <v>83.24</v>
          </cell>
        </row>
        <row r="23">
          <cell r="A23" t="str">
            <v>SD006</v>
          </cell>
          <cell r="B23" t="str">
            <v>Rapid City</v>
          </cell>
          <cell r="C23">
            <v>79.95</v>
          </cell>
          <cell r="D23">
            <v>79.95</v>
          </cell>
          <cell r="E23">
            <v>79.95</v>
          </cell>
          <cell r="F23">
            <v>89.95</v>
          </cell>
          <cell r="G23">
            <v>105.95</v>
          </cell>
          <cell r="H23">
            <v>120.95</v>
          </cell>
          <cell r="I23">
            <v>130.94999999999999</v>
          </cell>
          <cell r="J23">
            <v>119.95</v>
          </cell>
          <cell r="K23">
            <v>105.95</v>
          </cell>
          <cell r="L23">
            <v>110.95</v>
          </cell>
          <cell r="M23">
            <v>84.24</v>
          </cell>
          <cell r="N23">
            <v>79.95</v>
          </cell>
        </row>
        <row r="24">
          <cell r="A24" t="str">
            <v>SD007</v>
          </cell>
          <cell r="B24" t="str">
            <v>Sioux Falls</v>
          </cell>
          <cell r="C24">
            <v>69.95</v>
          </cell>
          <cell r="D24">
            <v>79.95</v>
          </cell>
          <cell r="E24">
            <v>89.95</v>
          </cell>
          <cell r="F24">
            <v>93.95</v>
          </cell>
          <cell r="G24">
            <v>105.95</v>
          </cell>
          <cell r="H24">
            <v>118.95</v>
          </cell>
          <cell r="I24">
            <v>118.95</v>
          </cell>
          <cell r="J24">
            <v>118.95</v>
          </cell>
          <cell r="K24">
            <v>105.95</v>
          </cell>
          <cell r="L24">
            <v>110.95</v>
          </cell>
          <cell r="M24">
            <v>79.95</v>
          </cell>
          <cell r="N24">
            <v>79.95</v>
          </cell>
        </row>
        <row r="25">
          <cell r="A25" t="str">
            <v>SD008</v>
          </cell>
          <cell r="B25" t="str">
            <v>Sioux Falls</v>
          </cell>
          <cell r="C25">
            <v>78.95</v>
          </cell>
          <cell r="D25">
            <v>93.95</v>
          </cell>
          <cell r="E25">
            <v>100.95</v>
          </cell>
          <cell r="F25">
            <v>105.95</v>
          </cell>
          <cell r="G25">
            <v>115.95</v>
          </cell>
          <cell r="H25">
            <v>125.95</v>
          </cell>
          <cell r="I25">
            <v>135.94999999999999</v>
          </cell>
          <cell r="J25">
            <v>130.94999999999999</v>
          </cell>
          <cell r="K25">
            <v>115.95</v>
          </cell>
          <cell r="L25">
            <v>120.95</v>
          </cell>
          <cell r="M25">
            <v>93.95</v>
          </cell>
          <cell r="N25">
            <v>93.95</v>
          </cell>
        </row>
      </sheetData>
      <sheetData sheetId="3">
        <row r="1">
          <cell r="A1" t="str">
            <v>Motel ID</v>
          </cell>
          <cell r="B1" t="str">
            <v>City</v>
          </cell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</row>
        <row r="2">
          <cell r="A2" t="str">
            <v>NB001</v>
          </cell>
          <cell r="B2" t="str">
            <v>Bellevue</v>
          </cell>
          <cell r="C2">
            <v>0.54500000000000004</v>
          </cell>
          <cell r="D2">
            <v>0.61199999999999999</v>
          </cell>
          <cell r="E2">
            <v>0.68500000000000005</v>
          </cell>
          <cell r="F2">
            <v>0.67900000000000005</v>
          </cell>
          <cell r="G2">
            <v>0.68200000000000005</v>
          </cell>
          <cell r="H2">
            <v>0.745</v>
          </cell>
          <cell r="I2">
            <v>0.73599999999999999</v>
          </cell>
          <cell r="J2">
            <v>0.71399999999999997</v>
          </cell>
          <cell r="K2">
            <v>0.68</v>
          </cell>
          <cell r="L2">
            <v>0.69899999999999995</v>
          </cell>
          <cell r="M2">
            <v>0.61699999999999999</v>
          </cell>
          <cell r="N2">
            <v>0.54100000000000004</v>
          </cell>
        </row>
        <row r="3">
          <cell r="A3" t="str">
            <v>NB002</v>
          </cell>
          <cell r="B3" t="str">
            <v>Grand Island</v>
          </cell>
          <cell r="C3">
            <v>0.5</v>
          </cell>
          <cell r="D3">
            <v>0.6</v>
          </cell>
          <cell r="E3">
            <v>0.65</v>
          </cell>
          <cell r="F3">
            <v>0.65</v>
          </cell>
          <cell r="G3">
            <v>0.68</v>
          </cell>
          <cell r="H3">
            <v>0.75</v>
          </cell>
          <cell r="I3">
            <v>0.75</v>
          </cell>
          <cell r="J3">
            <v>0.72</v>
          </cell>
          <cell r="K3">
            <v>0.62</v>
          </cell>
          <cell r="L3">
            <v>0.65</v>
          </cell>
          <cell r="M3">
            <v>0.6</v>
          </cell>
          <cell r="N3">
            <v>0.52</v>
          </cell>
        </row>
        <row r="4">
          <cell r="A4" t="str">
            <v>NB003</v>
          </cell>
          <cell r="B4" t="str">
            <v>Hastings</v>
          </cell>
          <cell r="C4">
            <v>0.5</v>
          </cell>
          <cell r="D4">
            <v>0.6</v>
          </cell>
          <cell r="E4">
            <v>0.65</v>
          </cell>
          <cell r="F4">
            <v>0.65</v>
          </cell>
          <cell r="G4">
            <v>0.68</v>
          </cell>
          <cell r="H4">
            <v>0.75</v>
          </cell>
          <cell r="I4">
            <v>0.75</v>
          </cell>
          <cell r="J4">
            <v>0.72</v>
          </cell>
          <cell r="K4">
            <v>0.62</v>
          </cell>
          <cell r="L4">
            <v>0.65</v>
          </cell>
          <cell r="M4">
            <v>0.6</v>
          </cell>
          <cell r="N4">
            <v>0.52</v>
          </cell>
        </row>
        <row r="5">
          <cell r="A5" t="str">
            <v>NB004</v>
          </cell>
          <cell r="B5" t="str">
            <v>Kearney</v>
          </cell>
          <cell r="C5">
            <v>0.5</v>
          </cell>
          <cell r="D5">
            <v>0.6</v>
          </cell>
          <cell r="E5">
            <v>0.65</v>
          </cell>
          <cell r="F5">
            <v>0.65</v>
          </cell>
          <cell r="G5">
            <v>0.68</v>
          </cell>
          <cell r="H5">
            <v>0.75</v>
          </cell>
          <cell r="I5">
            <v>0.75</v>
          </cell>
          <cell r="J5">
            <v>0.72</v>
          </cell>
          <cell r="K5">
            <v>0.62</v>
          </cell>
          <cell r="L5">
            <v>0.65</v>
          </cell>
          <cell r="M5">
            <v>0.6</v>
          </cell>
          <cell r="N5">
            <v>0.52</v>
          </cell>
        </row>
        <row r="6">
          <cell r="A6" t="str">
            <v>NB005</v>
          </cell>
          <cell r="B6" t="str">
            <v>Lexington</v>
          </cell>
          <cell r="C6">
            <v>0.5</v>
          </cell>
          <cell r="D6">
            <v>0.6</v>
          </cell>
          <cell r="E6">
            <v>0.65</v>
          </cell>
          <cell r="F6">
            <v>0.65</v>
          </cell>
          <cell r="G6">
            <v>0.68</v>
          </cell>
          <cell r="H6">
            <v>0.75</v>
          </cell>
          <cell r="I6">
            <v>0.75</v>
          </cell>
          <cell r="J6">
            <v>0.72</v>
          </cell>
          <cell r="K6">
            <v>0.62</v>
          </cell>
          <cell r="L6">
            <v>0.65</v>
          </cell>
          <cell r="M6">
            <v>0.6</v>
          </cell>
          <cell r="N6">
            <v>0.52</v>
          </cell>
        </row>
        <row r="7">
          <cell r="A7" t="str">
            <v>NB006</v>
          </cell>
          <cell r="B7" t="str">
            <v>Lincoln</v>
          </cell>
          <cell r="C7">
            <v>0.54500000000000004</v>
          </cell>
          <cell r="D7">
            <v>0.61199999999999999</v>
          </cell>
          <cell r="E7">
            <v>0.68500000000000005</v>
          </cell>
          <cell r="F7">
            <v>0.67900000000000005</v>
          </cell>
          <cell r="G7">
            <v>0.68200000000000005</v>
          </cell>
          <cell r="H7">
            <v>0.745</v>
          </cell>
          <cell r="I7">
            <v>0.73599999999999999</v>
          </cell>
          <cell r="J7">
            <v>0.71399999999999997</v>
          </cell>
          <cell r="K7">
            <v>0.68</v>
          </cell>
          <cell r="L7">
            <v>0.69899999999999995</v>
          </cell>
          <cell r="M7">
            <v>0.61699999999999999</v>
          </cell>
          <cell r="N7">
            <v>0.54100000000000004</v>
          </cell>
        </row>
        <row r="8">
          <cell r="A8" t="str">
            <v>NB007</v>
          </cell>
          <cell r="B8" t="str">
            <v>Lincoln</v>
          </cell>
          <cell r="C8">
            <v>0.54500000000000004</v>
          </cell>
          <cell r="D8">
            <v>0.61199999999999999</v>
          </cell>
          <cell r="E8">
            <v>0.68500000000000005</v>
          </cell>
          <cell r="F8">
            <v>0.67900000000000005</v>
          </cell>
          <cell r="G8">
            <v>0.68200000000000005</v>
          </cell>
          <cell r="H8">
            <v>0.745</v>
          </cell>
          <cell r="I8">
            <v>0.73599999999999999</v>
          </cell>
          <cell r="J8">
            <v>0.71399999999999997</v>
          </cell>
          <cell r="K8">
            <v>0.68</v>
          </cell>
          <cell r="L8">
            <v>0.69899999999999995</v>
          </cell>
          <cell r="M8">
            <v>0.61699999999999999</v>
          </cell>
          <cell r="N8">
            <v>0.54100000000000004</v>
          </cell>
        </row>
        <row r="9">
          <cell r="A9" t="str">
            <v>NB008</v>
          </cell>
          <cell r="B9" t="str">
            <v>Lincoln</v>
          </cell>
          <cell r="C9">
            <v>0.54500000000000004</v>
          </cell>
          <cell r="D9">
            <v>0.61199999999999999</v>
          </cell>
          <cell r="E9">
            <v>0.68500000000000005</v>
          </cell>
          <cell r="F9">
            <v>0.67900000000000005</v>
          </cell>
          <cell r="G9">
            <v>0.68200000000000005</v>
          </cell>
          <cell r="H9">
            <v>0.745</v>
          </cell>
          <cell r="I9">
            <v>0.73599999999999999</v>
          </cell>
          <cell r="J9">
            <v>0.71399999999999997</v>
          </cell>
          <cell r="K9">
            <v>0.68</v>
          </cell>
          <cell r="L9">
            <v>0.69899999999999995</v>
          </cell>
          <cell r="M9">
            <v>0.61699999999999999</v>
          </cell>
          <cell r="N9">
            <v>0.54100000000000004</v>
          </cell>
        </row>
        <row r="10">
          <cell r="A10" t="str">
            <v>NB009</v>
          </cell>
          <cell r="B10" t="str">
            <v>North Platte</v>
          </cell>
          <cell r="C10">
            <v>0.5</v>
          </cell>
          <cell r="D10">
            <v>0.6</v>
          </cell>
          <cell r="E10">
            <v>0.65</v>
          </cell>
          <cell r="F10">
            <v>0.65</v>
          </cell>
          <cell r="G10">
            <v>0.68</v>
          </cell>
          <cell r="H10">
            <v>0.75</v>
          </cell>
          <cell r="I10">
            <v>0.75</v>
          </cell>
          <cell r="J10">
            <v>0.72</v>
          </cell>
          <cell r="K10">
            <v>0.62</v>
          </cell>
          <cell r="L10">
            <v>0.65</v>
          </cell>
          <cell r="M10">
            <v>0.6</v>
          </cell>
          <cell r="N10">
            <v>0.52</v>
          </cell>
        </row>
        <row r="11">
          <cell r="A11" t="str">
            <v>NB010</v>
          </cell>
          <cell r="B11" t="str">
            <v>Omaha</v>
          </cell>
          <cell r="C11">
            <v>0.54500000000000004</v>
          </cell>
          <cell r="D11">
            <v>0.61199999999999999</v>
          </cell>
          <cell r="E11">
            <v>0.68500000000000005</v>
          </cell>
          <cell r="F11">
            <v>0.67900000000000005</v>
          </cell>
          <cell r="G11">
            <v>0.68200000000000005</v>
          </cell>
          <cell r="H11">
            <v>0.745</v>
          </cell>
          <cell r="I11">
            <v>0.79</v>
          </cell>
          <cell r="J11">
            <v>0.71399999999999997</v>
          </cell>
          <cell r="K11">
            <v>0.68</v>
          </cell>
          <cell r="L11">
            <v>0.69899999999999995</v>
          </cell>
          <cell r="M11">
            <v>0.61699999999999999</v>
          </cell>
          <cell r="N11">
            <v>0.54100000000000004</v>
          </cell>
        </row>
        <row r="12">
          <cell r="A12" t="str">
            <v>NB011</v>
          </cell>
          <cell r="B12" t="str">
            <v>Omaha</v>
          </cell>
          <cell r="C12">
            <v>0.54500000000000004</v>
          </cell>
          <cell r="D12">
            <v>0.61199999999999999</v>
          </cell>
          <cell r="E12">
            <v>0.68500000000000005</v>
          </cell>
          <cell r="F12">
            <v>0.67900000000000005</v>
          </cell>
          <cell r="G12">
            <v>0.68200000000000005</v>
          </cell>
          <cell r="H12">
            <v>0.745</v>
          </cell>
          <cell r="I12">
            <v>0.79</v>
          </cell>
          <cell r="J12">
            <v>0.71399999999999997</v>
          </cell>
          <cell r="K12">
            <v>0.68</v>
          </cell>
          <cell r="L12">
            <v>0.69899999999999995</v>
          </cell>
          <cell r="M12">
            <v>0.61699999999999999</v>
          </cell>
          <cell r="N12">
            <v>0.54100000000000004</v>
          </cell>
        </row>
        <row r="13">
          <cell r="A13" t="str">
            <v>NB012</v>
          </cell>
          <cell r="B13" t="str">
            <v>Omaha</v>
          </cell>
          <cell r="C13">
            <v>0.54500000000000004</v>
          </cell>
          <cell r="D13">
            <v>0.61199999999999999</v>
          </cell>
          <cell r="E13">
            <v>0.68500000000000005</v>
          </cell>
          <cell r="F13">
            <v>0.67900000000000005</v>
          </cell>
          <cell r="G13">
            <v>0.68200000000000005</v>
          </cell>
          <cell r="H13">
            <v>0.745</v>
          </cell>
          <cell r="I13">
            <v>0.79</v>
          </cell>
          <cell r="J13">
            <v>0.71399999999999997</v>
          </cell>
          <cell r="K13">
            <v>0.68</v>
          </cell>
          <cell r="L13">
            <v>0.69899999999999995</v>
          </cell>
          <cell r="M13">
            <v>0.61699999999999999</v>
          </cell>
          <cell r="N13">
            <v>0.54100000000000004</v>
          </cell>
        </row>
        <row r="14">
          <cell r="A14" t="str">
            <v>NB013</v>
          </cell>
          <cell r="B14" t="str">
            <v>Scottsbluff</v>
          </cell>
          <cell r="C14">
            <v>0.53</v>
          </cell>
          <cell r="D14">
            <v>0.59</v>
          </cell>
          <cell r="E14">
            <v>0.63</v>
          </cell>
          <cell r="F14">
            <v>0.65</v>
          </cell>
          <cell r="G14">
            <v>0.68</v>
          </cell>
          <cell r="H14">
            <v>0.75</v>
          </cell>
          <cell r="I14">
            <v>0.75</v>
          </cell>
          <cell r="J14">
            <v>0.71</v>
          </cell>
          <cell r="K14">
            <v>0.63</v>
          </cell>
          <cell r="L14">
            <v>0.66</v>
          </cell>
          <cell r="M14">
            <v>0.6</v>
          </cell>
          <cell r="N14">
            <v>0.55000000000000004</v>
          </cell>
        </row>
        <row r="15">
          <cell r="A15" t="str">
            <v>NB014</v>
          </cell>
          <cell r="B15" t="str">
            <v>Sidney</v>
          </cell>
          <cell r="C15">
            <v>0.53</v>
          </cell>
          <cell r="D15">
            <v>0.59</v>
          </cell>
          <cell r="E15">
            <v>0.63</v>
          </cell>
          <cell r="F15">
            <v>0.65</v>
          </cell>
          <cell r="G15">
            <v>0.68</v>
          </cell>
          <cell r="H15">
            <v>0.75</v>
          </cell>
          <cell r="I15">
            <v>0.75</v>
          </cell>
          <cell r="J15">
            <v>0.71</v>
          </cell>
          <cell r="K15">
            <v>0.63</v>
          </cell>
          <cell r="L15">
            <v>0.66</v>
          </cell>
          <cell r="M15">
            <v>0.6</v>
          </cell>
          <cell r="N15">
            <v>0.55000000000000004</v>
          </cell>
        </row>
        <row r="16">
          <cell r="A16" t="str">
            <v>NB015</v>
          </cell>
          <cell r="B16" t="str">
            <v>Valentine</v>
          </cell>
          <cell r="C16">
            <v>0.45</v>
          </cell>
          <cell r="D16">
            <v>0.5</v>
          </cell>
          <cell r="E16">
            <v>0.57999999999999996</v>
          </cell>
          <cell r="F16">
            <v>0.62</v>
          </cell>
          <cell r="G16">
            <v>0.65</v>
          </cell>
          <cell r="H16">
            <v>0.7</v>
          </cell>
          <cell r="I16">
            <v>0.73</v>
          </cell>
          <cell r="J16">
            <v>0.71</v>
          </cell>
          <cell r="K16">
            <v>0.62</v>
          </cell>
          <cell r="L16">
            <v>0.65</v>
          </cell>
          <cell r="M16">
            <v>0.59</v>
          </cell>
          <cell r="N16">
            <v>0.5</v>
          </cell>
        </row>
        <row r="17">
          <cell r="A17" t="str">
            <v>NB016</v>
          </cell>
          <cell r="B17" t="str">
            <v>York</v>
          </cell>
          <cell r="C17">
            <v>0.5</v>
          </cell>
          <cell r="D17">
            <v>0.6</v>
          </cell>
          <cell r="E17">
            <v>0.65</v>
          </cell>
          <cell r="F17">
            <v>0.65</v>
          </cell>
          <cell r="G17">
            <v>0.68</v>
          </cell>
          <cell r="H17">
            <v>0.75</v>
          </cell>
          <cell r="I17">
            <v>0.75</v>
          </cell>
          <cell r="J17">
            <v>0.72</v>
          </cell>
          <cell r="K17">
            <v>0.62</v>
          </cell>
          <cell r="L17">
            <v>0.65</v>
          </cell>
          <cell r="M17">
            <v>0.6</v>
          </cell>
          <cell r="N17">
            <v>0.52</v>
          </cell>
        </row>
        <row r="18">
          <cell r="A18" t="str">
            <v>SD001</v>
          </cell>
          <cell r="B18" t="str">
            <v>Custer</v>
          </cell>
          <cell r="C18">
            <v>0.45</v>
          </cell>
          <cell r="D18">
            <v>0.45</v>
          </cell>
          <cell r="E18">
            <v>0.52</v>
          </cell>
          <cell r="F18">
            <v>0.67900000000000005</v>
          </cell>
          <cell r="G18">
            <v>0.7</v>
          </cell>
          <cell r="H18">
            <v>0.8</v>
          </cell>
          <cell r="I18">
            <v>0.9</v>
          </cell>
          <cell r="J18">
            <v>0.88</v>
          </cell>
          <cell r="K18">
            <v>0.7</v>
          </cell>
          <cell r="L18">
            <v>0.72</v>
          </cell>
          <cell r="M18">
            <v>0.6</v>
          </cell>
          <cell r="N18">
            <v>0.5</v>
          </cell>
        </row>
        <row r="19">
          <cell r="A19" t="str">
            <v>SD002</v>
          </cell>
          <cell r="B19" t="str">
            <v>Brookings</v>
          </cell>
          <cell r="C19">
            <v>0.5</v>
          </cell>
          <cell r="D19">
            <v>0.6</v>
          </cell>
          <cell r="E19">
            <v>0.65</v>
          </cell>
          <cell r="F19">
            <v>0.65</v>
          </cell>
          <cell r="G19">
            <v>0.68</v>
          </cell>
          <cell r="H19">
            <v>0.7</v>
          </cell>
          <cell r="I19">
            <v>0.75</v>
          </cell>
          <cell r="J19">
            <v>0.72</v>
          </cell>
          <cell r="K19">
            <v>0.62</v>
          </cell>
          <cell r="L19">
            <v>0.65</v>
          </cell>
          <cell r="M19">
            <v>0.6</v>
          </cell>
          <cell r="N19">
            <v>0.52</v>
          </cell>
        </row>
        <row r="20">
          <cell r="A20" t="str">
            <v>SD003</v>
          </cell>
          <cell r="B20" t="str">
            <v>Deadwood</v>
          </cell>
          <cell r="C20">
            <v>0.4</v>
          </cell>
          <cell r="D20">
            <v>0.45</v>
          </cell>
          <cell r="E20">
            <v>0.52</v>
          </cell>
          <cell r="F20">
            <v>0.67900000000000005</v>
          </cell>
          <cell r="G20">
            <v>0.7</v>
          </cell>
          <cell r="H20">
            <v>0.8</v>
          </cell>
          <cell r="I20">
            <v>0.9</v>
          </cell>
          <cell r="J20">
            <v>0.88</v>
          </cell>
          <cell r="K20">
            <v>0.7</v>
          </cell>
          <cell r="L20">
            <v>0.72</v>
          </cell>
          <cell r="M20">
            <v>0.6</v>
          </cell>
          <cell r="N20">
            <v>0.45</v>
          </cell>
        </row>
        <row r="21">
          <cell r="A21" t="str">
            <v>SD004</v>
          </cell>
          <cell r="B21" t="str">
            <v>Hill City</v>
          </cell>
          <cell r="C21">
            <v>0.45</v>
          </cell>
          <cell r="D21">
            <v>0.45</v>
          </cell>
          <cell r="E21">
            <v>0.52</v>
          </cell>
          <cell r="F21">
            <v>0.67900000000000005</v>
          </cell>
          <cell r="G21">
            <v>0.7</v>
          </cell>
          <cell r="H21">
            <v>0.8</v>
          </cell>
          <cell r="I21">
            <v>0.9</v>
          </cell>
          <cell r="J21">
            <v>0.88</v>
          </cell>
          <cell r="K21">
            <v>0.7</v>
          </cell>
          <cell r="L21">
            <v>0.72</v>
          </cell>
          <cell r="M21">
            <v>0.6</v>
          </cell>
          <cell r="N21">
            <v>0.5</v>
          </cell>
        </row>
        <row r="22">
          <cell r="A22" t="str">
            <v>SD005</v>
          </cell>
          <cell r="B22" t="str">
            <v>Mitchell</v>
          </cell>
          <cell r="C22">
            <v>0.5</v>
          </cell>
          <cell r="D22">
            <v>0.6</v>
          </cell>
          <cell r="E22">
            <v>0.65</v>
          </cell>
          <cell r="F22">
            <v>0.65</v>
          </cell>
          <cell r="G22">
            <v>0.68</v>
          </cell>
          <cell r="H22">
            <v>0.7</v>
          </cell>
          <cell r="I22">
            <v>0.75</v>
          </cell>
          <cell r="J22">
            <v>0.72</v>
          </cell>
          <cell r="K22">
            <v>0.62</v>
          </cell>
          <cell r="L22">
            <v>0.65</v>
          </cell>
          <cell r="M22">
            <v>0.6</v>
          </cell>
          <cell r="N22">
            <v>0.52</v>
          </cell>
        </row>
        <row r="23">
          <cell r="A23" t="str">
            <v>SD006</v>
          </cell>
          <cell r="B23" t="str">
            <v>Rapid City</v>
          </cell>
          <cell r="C23">
            <v>0.45</v>
          </cell>
          <cell r="D23">
            <v>0.45</v>
          </cell>
          <cell r="E23">
            <v>0.52</v>
          </cell>
          <cell r="F23">
            <v>0.67900000000000005</v>
          </cell>
          <cell r="G23">
            <v>0.7</v>
          </cell>
          <cell r="H23">
            <v>0.8</v>
          </cell>
          <cell r="I23">
            <v>0.9</v>
          </cell>
          <cell r="J23">
            <v>0.88</v>
          </cell>
          <cell r="K23">
            <v>0.7</v>
          </cell>
          <cell r="L23">
            <v>0.72</v>
          </cell>
          <cell r="M23">
            <v>0.6</v>
          </cell>
          <cell r="N23">
            <v>0.5</v>
          </cell>
        </row>
        <row r="24">
          <cell r="A24" t="str">
            <v>SD007</v>
          </cell>
          <cell r="B24" t="str">
            <v>Sioux Falls</v>
          </cell>
          <cell r="C24">
            <v>0.54500000000000004</v>
          </cell>
          <cell r="D24">
            <v>0.61199999999999999</v>
          </cell>
          <cell r="E24">
            <v>0.68500000000000005</v>
          </cell>
          <cell r="F24">
            <v>0.67900000000000005</v>
          </cell>
          <cell r="G24">
            <v>0.68200000000000005</v>
          </cell>
          <cell r="H24">
            <v>0.745</v>
          </cell>
          <cell r="I24">
            <v>0.75</v>
          </cell>
          <cell r="J24">
            <v>0.71399999999999997</v>
          </cell>
          <cell r="K24">
            <v>0.68</v>
          </cell>
          <cell r="L24">
            <v>0.69899999999999995</v>
          </cell>
          <cell r="M24">
            <v>0.61699999999999999</v>
          </cell>
          <cell r="N24">
            <v>0.54100000000000004</v>
          </cell>
        </row>
        <row r="25">
          <cell r="A25" t="str">
            <v>SD008</v>
          </cell>
          <cell r="B25" t="str">
            <v>Sioux Falls</v>
          </cell>
          <cell r="C25">
            <v>0.54500000000000004</v>
          </cell>
          <cell r="D25">
            <v>0.61199999999999999</v>
          </cell>
          <cell r="E25">
            <v>0.68500000000000005</v>
          </cell>
          <cell r="F25">
            <v>0.67900000000000005</v>
          </cell>
          <cell r="G25">
            <v>0.68200000000000005</v>
          </cell>
          <cell r="H25">
            <v>0.745</v>
          </cell>
          <cell r="I25">
            <v>0.75</v>
          </cell>
          <cell r="J25">
            <v>0.71399999999999997</v>
          </cell>
          <cell r="K25">
            <v>0.68</v>
          </cell>
          <cell r="L25">
            <v>0.69899999999999995</v>
          </cell>
          <cell r="M25">
            <v>0.61699999999999999</v>
          </cell>
          <cell r="N25">
            <v>0.54100000000000004</v>
          </cell>
        </row>
      </sheetData>
      <sheetData sheetId="4">
        <row r="1">
          <cell r="A1" t="str">
            <v>Pool</v>
          </cell>
          <cell r="B1" t="str">
            <v>OC Increase</v>
          </cell>
          <cell r="D1" t="str">
            <v>Weekend</v>
          </cell>
          <cell r="E1" t="str">
            <v>Oc Increase</v>
          </cell>
          <cell r="G1" t="str">
            <v>Weekend</v>
          </cell>
          <cell r="H1" t="str">
            <v>Rate Increase</v>
          </cell>
          <cell r="M1" t="str">
            <v>Holidays</v>
          </cell>
          <cell r="N1" t="str">
            <v>OCR</v>
          </cell>
          <cell r="O1" t="str">
            <v>Rate</v>
          </cell>
          <cell r="Q1" t="str">
            <v>Motel ID</v>
          </cell>
          <cell r="R1">
            <v>2020</v>
          </cell>
          <cell r="S1">
            <v>2021</v>
          </cell>
          <cell r="U1" t="str">
            <v>Seed</v>
          </cell>
          <cell r="V1" t="str">
            <v>Unavailable</v>
          </cell>
          <cell r="X1" t="str">
            <v>Motel</v>
          </cell>
          <cell r="Y1">
            <v>43995</v>
          </cell>
          <cell r="Z1">
            <v>43996</v>
          </cell>
          <cell r="AA1">
            <v>43997</v>
          </cell>
          <cell r="AB1">
            <v>43998</v>
          </cell>
          <cell r="AC1">
            <v>43999</v>
          </cell>
          <cell r="AD1">
            <v>44000</v>
          </cell>
          <cell r="AE1">
            <v>44001</v>
          </cell>
          <cell r="AF1">
            <v>44002</v>
          </cell>
          <cell r="AG1">
            <v>44003</v>
          </cell>
          <cell r="AH1">
            <v>44004</v>
          </cell>
          <cell r="AI1">
            <v>44005</v>
          </cell>
          <cell r="AJ1">
            <v>44006</v>
          </cell>
          <cell r="AK1">
            <v>44366</v>
          </cell>
          <cell r="AL1">
            <v>44367</v>
          </cell>
          <cell r="AM1">
            <v>44368</v>
          </cell>
          <cell r="AN1">
            <v>44369</v>
          </cell>
          <cell r="AO1">
            <v>44370</v>
          </cell>
          <cell r="AP1">
            <v>44371</v>
          </cell>
          <cell r="AQ1">
            <v>44372</v>
          </cell>
          <cell r="AR1">
            <v>44373</v>
          </cell>
          <cell r="AS1">
            <v>44374</v>
          </cell>
          <cell r="AT1">
            <v>44375</v>
          </cell>
          <cell r="AU1">
            <v>44376</v>
          </cell>
          <cell r="AV1">
            <v>44043</v>
          </cell>
          <cell r="AW1">
            <v>44044</v>
          </cell>
          <cell r="AX1">
            <v>44045</v>
          </cell>
          <cell r="AY1">
            <v>44046</v>
          </cell>
          <cell r="AZ1">
            <v>44047</v>
          </cell>
          <cell r="BA1">
            <v>44048</v>
          </cell>
          <cell r="BB1">
            <v>44049</v>
          </cell>
          <cell r="BC1">
            <v>44050</v>
          </cell>
          <cell r="BD1">
            <v>44051</v>
          </cell>
          <cell r="BE1">
            <v>44052</v>
          </cell>
          <cell r="BF1">
            <v>44414</v>
          </cell>
          <cell r="BG1">
            <v>44415</v>
          </cell>
          <cell r="BH1">
            <v>44416</v>
          </cell>
          <cell r="BI1">
            <v>44417</v>
          </cell>
          <cell r="BJ1">
            <v>44418</v>
          </cell>
          <cell r="BK1">
            <v>44419</v>
          </cell>
          <cell r="BL1">
            <v>44420</v>
          </cell>
          <cell r="BM1">
            <v>44421</v>
          </cell>
          <cell r="BN1">
            <v>44422</v>
          </cell>
          <cell r="BO1">
            <v>44423</v>
          </cell>
          <cell r="BP1">
            <v>44081</v>
          </cell>
          <cell r="BQ1">
            <v>44080</v>
          </cell>
          <cell r="BR1">
            <v>44079</v>
          </cell>
          <cell r="BS1">
            <v>44078</v>
          </cell>
          <cell r="BT1">
            <v>44077</v>
          </cell>
          <cell r="BU1">
            <v>44076</v>
          </cell>
          <cell r="BV1">
            <v>44075</v>
          </cell>
          <cell r="BW1">
            <v>44074</v>
          </cell>
          <cell r="BX1">
            <v>44073</v>
          </cell>
          <cell r="BY1">
            <v>44072</v>
          </cell>
          <cell r="BZ1">
            <v>44445</v>
          </cell>
          <cell r="CA1">
            <v>44444</v>
          </cell>
          <cell r="CB1">
            <v>44443</v>
          </cell>
          <cell r="CC1">
            <v>44442</v>
          </cell>
          <cell r="CD1">
            <v>44441</v>
          </cell>
          <cell r="CE1">
            <v>44440</v>
          </cell>
          <cell r="CF1">
            <v>44439</v>
          </cell>
          <cell r="CG1">
            <v>44438</v>
          </cell>
          <cell r="CH1">
            <v>44437</v>
          </cell>
          <cell r="CI1">
            <v>44436</v>
          </cell>
          <cell r="CJ1">
            <v>43859</v>
          </cell>
          <cell r="CK1">
            <v>43860</v>
          </cell>
          <cell r="CL1">
            <v>43861</v>
          </cell>
          <cell r="CM1">
            <v>43862</v>
          </cell>
          <cell r="CN1">
            <v>43863</v>
          </cell>
          <cell r="CO1">
            <v>44223</v>
          </cell>
          <cell r="CP1">
            <v>44224</v>
          </cell>
          <cell r="CQ1">
            <v>44225</v>
          </cell>
          <cell r="CR1">
            <v>44226</v>
          </cell>
          <cell r="CS1">
            <v>44227</v>
          </cell>
        </row>
        <row r="2">
          <cell r="A2" t="str">
            <v>No</v>
          </cell>
          <cell r="B2">
            <v>0</v>
          </cell>
          <cell r="D2">
            <v>1</v>
          </cell>
          <cell r="E2">
            <v>0</v>
          </cell>
          <cell r="G2">
            <v>1</v>
          </cell>
          <cell r="H2">
            <v>0</v>
          </cell>
          <cell r="M2">
            <v>43973</v>
          </cell>
          <cell r="N2">
            <v>0.1</v>
          </cell>
          <cell r="O2">
            <v>15</v>
          </cell>
          <cell r="Q2" t="str">
            <v>NB001</v>
          </cell>
          <cell r="R2">
            <v>1</v>
          </cell>
          <cell r="S2">
            <v>1</v>
          </cell>
          <cell r="U2">
            <v>0</v>
          </cell>
          <cell r="V2">
            <v>0</v>
          </cell>
          <cell r="X2" t="str">
            <v>NB001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</row>
        <row r="3">
          <cell r="A3" t="str">
            <v>Yes</v>
          </cell>
          <cell r="B3">
            <v>0.03</v>
          </cell>
          <cell r="D3">
            <v>2</v>
          </cell>
          <cell r="E3">
            <v>0</v>
          </cell>
          <cell r="G3">
            <v>2</v>
          </cell>
          <cell r="H3">
            <v>0</v>
          </cell>
          <cell r="M3">
            <v>43974</v>
          </cell>
          <cell r="N3">
            <v>0.1</v>
          </cell>
          <cell r="O3">
            <v>15</v>
          </cell>
          <cell r="Q3" t="str">
            <v>NB002</v>
          </cell>
          <cell r="R3">
            <v>1</v>
          </cell>
          <cell r="S3">
            <v>1.02</v>
          </cell>
          <cell r="U3">
            <v>0.8</v>
          </cell>
          <cell r="V3">
            <v>1</v>
          </cell>
          <cell r="X3" t="str">
            <v>NB002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0.11</v>
          </cell>
          <cell r="BQ3">
            <v>0.11</v>
          </cell>
          <cell r="BR3">
            <v>0.11</v>
          </cell>
          <cell r="BS3">
            <v>0.11</v>
          </cell>
          <cell r="BT3">
            <v>0.11</v>
          </cell>
          <cell r="BU3">
            <v>0.11</v>
          </cell>
          <cell r="BV3">
            <v>0.11</v>
          </cell>
          <cell r="BW3">
            <v>0.11</v>
          </cell>
          <cell r="BX3">
            <v>0.11</v>
          </cell>
          <cell r="BY3">
            <v>0.11</v>
          </cell>
          <cell r="BZ3">
            <v>0.11</v>
          </cell>
          <cell r="CA3">
            <v>0.11</v>
          </cell>
          <cell r="CB3">
            <v>0.11</v>
          </cell>
          <cell r="CC3">
            <v>0.11</v>
          </cell>
          <cell r="CD3">
            <v>0.11</v>
          </cell>
          <cell r="CE3">
            <v>0.11</v>
          </cell>
          <cell r="CF3">
            <v>0.11</v>
          </cell>
          <cell r="CG3">
            <v>0.11</v>
          </cell>
          <cell r="CH3">
            <v>0.11</v>
          </cell>
          <cell r="CI3">
            <v>0.11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</row>
        <row r="4">
          <cell r="D4">
            <v>3</v>
          </cell>
          <cell r="E4">
            <v>0</v>
          </cell>
          <cell r="G4">
            <v>3</v>
          </cell>
          <cell r="H4">
            <v>0</v>
          </cell>
          <cell r="K4">
            <v>20</v>
          </cell>
          <cell r="M4">
            <v>43975</v>
          </cell>
          <cell r="N4">
            <v>0.1</v>
          </cell>
          <cell r="O4">
            <v>15</v>
          </cell>
          <cell r="Q4" t="str">
            <v>NB003</v>
          </cell>
          <cell r="R4">
            <v>1</v>
          </cell>
          <cell r="S4">
            <v>1</v>
          </cell>
          <cell r="U4">
            <v>0.9</v>
          </cell>
          <cell r="V4">
            <v>2</v>
          </cell>
          <cell r="X4" t="str">
            <v>NB003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</row>
        <row r="5">
          <cell r="D5">
            <v>4</v>
          </cell>
          <cell r="E5">
            <v>0</v>
          </cell>
          <cell r="G5">
            <v>4</v>
          </cell>
          <cell r="H5">
            <v>0</v>
          </cell>
          <cell r="M5">
            <v>44014</v>
          </cell>
          <cell r="N5">
            <v>0.1</v>
          </cell>
          <cell r="O5">
            <v>15</v>
          </cell>
          <cell r="Q5" t="str">
            <v>NB004</v>
          </cell>
          <cell r="R5">
            <v>1</v>
          </cell>
          <cell r="S5">
            <v>1.1000000000000001</v>
          </cell>
          <cell r="U5">
            <v>0.96</v>
          </cell>
          <cell r="V5">
            <v>3</v>
          </cell>
          <cell r="X5" t="str">
            <v>NB004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</row>
        <row r="6">
          <cell r="D6">
            <v>5</v>
          </cell>
          <cell r="E6">
            <v>0</v>
          </cell>
          <cell r="G6">
            <v>5</v>
          </cell>
          <cell r="H6">
            <v>0</v>
          </cell>
          <cell r="M6">
            <v>44015</v>
          </cell>
          <cell r="N6">
            <v>0.1</v>
          </cell>
          <cell r="O6">
            <v>15</v>
          </cell>
          <cell r="Q6" t="str">
            <v>NB005</v>
          </cell>
          <cell r="R6">
            <v>1</v>
          </cell>
          <cell r="S6">
            <v>1.05</v>
          </cell>
          <cell r="U6">
            <v>0.99</v>
          </cell>
          <cell r="V6">
            <v>4</v>
          </cell>
          <cell r="X6" t="str">
            <v>NB005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</row>
        <row r="7">
          <cell r="D7">
            <v>6</v>
          </cell>
          <cell r="E7">
            <v>0.1</v>
          </cell>
          <cell r="G7">
            <v>6</v>
          </cell>
          <cell r="H7">
            <v>10</v>
          </cell>
          <cell r="M7">
            <v>44016</v>
          </cell>
          <cell r="N7">
            <v>0.1</v>
          </cell>
          <cell r="O7">
            <v>15</v>
          </cell>
          <cell r="Q7" t="str">
            <v>NB006</v>
          </cell>
          <cell r="R7">
            <v>1</v>
          </cell>
          <cell r="S7">
            <v>0.82</v>
          </cell>
          <cell r="X7" t="str">
            <v>NB006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</row>
        <row r="8">
          <cell r="D8">
            <v>7</v>
          </cell>
          <cell r="E8">
            <v>0.1</v>
          </cell>
          <cell r="G8">
            <v>7</v>
          </cell>
          <cell r="H8">
            <v>10</v>
          </cell>
          <cell r="M8">
            <v>44078</v>
          </cell>
          <cell r="N8">
            <v>0.1</v>
          </cell>
          <cell r="O8">
            <v>15</v>
          </cell>
          <cell r="Q8" t="str">
            <v>NB007</v>
          </cell>
          <cell r="R8">
            <v>1</v>
          </cell>
          <cell r="S8">
            <v>1.04</v>
          </cell>
          <cell r="X8" t="str">
            <v>NB007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</row>
        <row r="9">
          <cell r="M9">
            <v>44079</v>
          </cell>
          <cell r="N9">
            <v>0.1</v>
          </cell>
          <cell r="O9">
            <v>15</v>
          </cell>
          <cell r="Q9" t="str">
            <v>NB008</v>
          </cell>
          <cell r="R9">
            <v>1</v>
          </cell>
          <cell r="S9">
            <v>1.02</v>
          </cell>
          <cell r="X9" t="str">
            <v>NB008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</row>
        <row r="10">
          <cell r="M10">
            <v>44080</v>
          </cell>
          <cell r="N10">
            <v>0.1</v>
          </cell>
          <cell r="O10">
            <v>15</v>
          </cell>
          <cell r="Q10" t="str">
            <v>NB009</v>
          </cell>
          <cell r="R10">
            <v>1</v>
          </cell>
          <cell r="S10">
            <v>1.03</v>
          </cell>
          <cell r="X10" t="str">
            <v>NB009</v>
          </cell>
          <cell r="Y10">
            <v>0</v>
          </cell>
          <cell r="Z10">
            <v>0</v>
          </cell>
          <cell r="AA10">
            <v>0.14000000000000001</v>
          </cell>
          <cell r="AB10">
            <v>0.14000000000000001</v>
          </cell>
          <cell r="AC10">
            <v>0.14000000000000001</v>
          </cell>
          <cell r="AD10">
            <v>0.14000000000000001</v>
          </cell>
          <cell r="AE10">
            <v>0.14000000000000001</v>
          </cell>
          <cell r="AF10">
            <v>0.14000000000000001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0.14000000000000001</v>
          </cell>
          <cell r="AL10">
            <v>0.14000000000000001</v>
          </cell>
          <cell r="AM10">
            <v>0.14000000000000001</v>
          </cell>
          <cell r="AN10">
            <v>0.14000000000000001</v>
          </cell>
          <cell r="AO10">
            <v>0.14000000000000001</v>
          </cell>
          <cell r="AP10">
            <v>0.14000000000000001</v>
          </cell>
          <cell r="AQ10">
            <v>0.14000000000000001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</row>
        <row r="11">
          <cell r="M11">
            <v>44160</v>
          </cell>
          <cell r="N11">
            <v>0.1</v>
          </cell>
          <cell r="O11">
            <v>15</v>
          </cell>
          <cell r="Q11" t="str">
            <v>NB010</v>
          </cell>
          <cell r="R11">
            <v>1</v>
          </cell>
          <cell r="S11">
            <v>1</v>
          </cell>
          <cell r="X11" t="str">
            <v>NB010</v>
          </cell>
          <cell r="Y11">
            <v>0.28000000000000003</v>
          </cell>
          <cell r="Z11">
            <v>0.28000000000000003</v>
          </cell>
          <cell r="AA11">
            <v>0.28000000000000003</v>
          </cell>
          <cell r="AB11">
            <v>0.28000000000000003</v>
          </cell>
          <cell r="AC11">
            <v>0.28000000000000003</v>
          </cell>
          <cell r="AD11">
            <v>0.28000000000000003</v>
          </cell>
          <cell r="AE11">
            <v>0.28000000000000003</v>
          </cell>
          <cell r="AF11">
            <v>0.28000000000000003</v>
          </cell>
          <cell r="AG11">
            <v>0.28000000000000003</v>
          </cell>
          <cell r="AH11">
            <v>0.28000000000000003</v>
          </cell>
          <cell r="AI11">
            <v>0.28000000000000003</v>
          </cell>
          <cell r="AJ11">
            <v>0.28000000000000003</v>
          </cell>
          <cell r="AK11">
            <v>0.28000000000000003</v>
          </cell>
          <cell r="AL11">
            <v>0.28000000000000003</v>
          </cell>
          <cell r="AM11">
            <v>0.28000000000000003</v>
          </cell>
          <cell r="AN11">
            <v>0.28000000000000003</v>
          </cell>
          <cell r="AO11">
            <v>0.28000000000000003</v>
          </cell>
          <cell r="AP11">
            <v>0.28000000000000003</v>
          </cell>
          <cell r="AQ11">
            <v>0.28000000000000003</v>
          </cell>
          <cell r="AR11">
            <v>0.28000000000000003</v>
          </cell>
          <cell r="AS11">
            <v>0.28000000000000003</v>
          </cell>
          <cell r="AT11">
            <v>0.28000000000000003</v>
          </cell>
          <cell r="AU11">
            <v>0.28000000000000003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</row>
        <row r="12">
          <cell r="M12">
            <v>44161</v>
          </cell>
          <cell r="N12">
            <v>0.1</v>
          </cell>
          <cell r="O12">
            <v>15</v>
          </cell>
          <cell r="Q12" t="str">
            <v>NB011</v>
          </cell>
          <cell r="R12">
            <v>1</v>
          </cell>
          <cell r="S12">
            <v>1.05</v>
          </cell>
          <cell r="X12" t="str">
            <v>NB011</v>
          </cell>
          <cell r="Y12">
            <v>0.28000000000000003</v>
          </cell>
          <cell r="Z12">
            <v>0.28000000000000003</v>
          </cell>
          <cell r="AA12">
            <v>0.28000000000000003</v>
          </cell>
          <cell r="AB12">
            <v>0.28000000000000003</v>
          </cell>
          <cell r="AC12">
            <v>0.28000000000000003</v>
          </cell>
          <cell r="AD12">
            <v>0.28000000000000003</v>
          </cell>
          <cell r="AE12">
            <v>0.28000000000000003</v>
          </cell>
          <cell r="AF12">
            <v>0.28000000000000003</v>
          </cell>
          <cell r="AG12">
            <v>0.28000000000000003</v>
          </cell>
          <cell r="AH12">
            <v>0.28000000000000003</v>
          </cell>
          <cell r="AI12">
            <v>0.28000000000000003</v>
          </cell>
          <cell r="AJ12">
            <v>0.28000000000000003</v>
          </cell>
          <cell r="AK12">
            <v>0.28000000000000003</v>
          </cell>
          <cell r="AL12">
            <v>0.28000000000000003</v>
          </cell>
          <cell r="AM12">
            <v>0.28000000000000003</v>
          </cell>
          <cell r="AN12">
            <v>0.28000000000000003</v>
          </cell>
          <cell r="AO12">
            <v>0.28000000000000003</v>
          </cell>
          <cell r="AP12">
            <v>0.28000000000000003</v>
          </cell>
          <cell r="AQ12">
            <v>0.28000000000000003</v>
          </cell>
          <cell r="AR12">
            <v>0.28000000000000003</v>
          </cell>
          <cell r="AS12">
            <v>0.28000000000000003</v>
          </cell>
          <cell r="AT12">
            <v>0.28000000000000003</v>
          </cell>
          <cell r="AU12">
            <v>0.28000000000000003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</row>
        <row r="13">
          <cell r="M13">
            <v>44162</v>
          </cell>
          <cell r="N13">
            <v>0.1</v>
          </cell>
          <cell r="O13">
            <v>15</v>
          </cell>
          <cell r="Q13" t="str">
            <v>NB012</v>
          </cell>
          <cell r="R13">
            <v>1</v>
          </cell>
          <cell r="S13">
            <v>1.08</v>
          </cell>
          <cell r="X13" t="str">
            <v>NB012</v>
          </cell>
          <cell r="Y13">
            <v>0.28000000000000003</v>
          </cell>
          <cell r="Z13">
            <v>0.28000000000000003</v>
          </cell>
          <cell r="AA13">
            <v>0.28000000000000003</v>
          </cell>
          <cell r="AB13">
            <v>0.28000000000000003</v>
          </cell>
          <cell r="AC13">
            <v>0.28000000000000003</v>
          </cell>
          <cell r="AD13">
            <v>0.28000000000000003</v>
          </cell>
          <cell r="AE13">
            <v>0.28000000000000003</v>
          </cell>
          <cell r="AF13">
            <v>0.28000000000000003</v>
          </cell>
          <cell r="AG13">
            <v>0.28000000000000003</v>
          </cell>
          <cell r="AH13">
            <v>0.28000000000000003</v>
          </cell>
          <cell r="AI13">
            <v>0.28000000000000003</v>
          </cell>
          <cell r="AJ13">
            <v>0.28000000000000003</v>
          </cell>
          <cell r="AK13">
            <v>0.28000000000000003</v>
          </cell>
          <cell r="AL13">
            <v>0.28000000000000003</v>
          </cell>
          <cell r="AM13">
            <v>0.28000000000000003</v>
          </cell>
          <cell r="AN13">
            <v>0.28000000000000003</v>
          </cell>
          <cell r="AO13">
            <v>0.28000000000000003</v>
          </cell>
          <cell r="AP13">
            <v>0.28000000000000003</v>
          </cell>
          <cell r="AQ13">
            <v>0.28000000000000003</v>
          </cell>
          <cell r="AR13">
            <v>0.28000000000000003</v>
          </cell>
          <cell r="AS13">
            <v>0.28000000000000003</v>
          </cell>
          <cell r="AT13">
            <v>0.28000000000000003</v>
          </cell>
          <cell r="AU13">
            <v>0.28000000000000003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</row>
        <row r="14">
          <cell r="M14">
            <v>44163</v>
          </cell>
          <cell r="N14">
            <v>0.1</v>
          </cell>
          <cell r="O14">
            <v>15</v>
          </cell>
          <cell r="Q14" t="str">
            <v>NB013</v>
          </cell>
          <cell r="R14">
            <v>1</v>
          </cell>
          <cell r="S14">
            <v>1.06</v>
          </cell>
          <cell r="X14" t="str">
            <v>NB013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</row>
        <row r="15">
          <cell r="M15">
            <v>44188</v>
          </cell>
          <cell r="N15">
            <v>0.1</v>
          </cell>
          <cell r="O15">
            <v>15</v>
          </cell>
          <cell r="Q15" t="str">
            <v>NB014</v>
          </cell>
          <cell r="R15">
            <v>1</v>
          </cell>
          <cell r="S15">
            <v>0.92</v>
          </cell>
          <cell r="X15" t="str">
            <v>NB014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</row>
        <row r="16">
          <cell r="M16">
            <v>44189</v>
          </cell>
          <cell r="N16">
            <v>0.1</v>
          </cell>
          <cell r="O16">
            <v>15</v>
          </cell>
          <cell r="Q16" t="str">
            <v>NB015</v>
          </cell>
          <cell r="R16">
            <v>1</v>
          </cell>
          <cell r="S16">
            <v>0.94</v>
          </cell>
          <cell r="X16" t="str">
            <v>NB015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</row>
        <row r="17">
          <cell r="M17">
            <v>44191</v>
          </cell>
          <cell r="N17">
            <v>0.1</v>
          </cell>
          <cell r="O17">
            <v>15</v>
          </cell>
          <cell r="Q17" t="str">
            <v>NB016</v>
          </cell>
          <cell r="R17">
            <v>1</v>
          </cell>
          <cell r="S17">
            <v>1</v>
          </cell>
          <cell r="X17" t="str">
            <v>NB016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</row>
        <row r="18">
          <cell r="M18">
            <v>44196</v>
          </cell>
          <cell r="N18">
            <v>0.1</v>
          </cell>
          <cell r="O18">
            <v>15</v>
          </cell>
          <cell r="Q18" t="str">
            <v>SD001</v>
          </cell>
          <cell r="R18">
            <v>1</v>
          </cell>
          <cell r="S18">
            <v>1.1000000000000001</v>
          </cell>
          <cell r="X18" t="str">
            <v>SD001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0.28000000000000003</v>
          </cell>
          <cell r="AW18">
            <v>0.28000000000000003</v>
          </cell>
          <cell r="AX18">
            <v>0.28000000000000003</v>
          </cell>
          <cell r="AY18">
            <v>0.28000000000000003</v>
          </cell>
          <cell r="AZ18">
            <v>0.28000000000000003</v>
          </cell>
          <cell r="BA18">
            <v>0.28000000000000003</v>
          </cell>
          <cell r="BB18">
            <v>0.28000000000000003</v>
          </cell>
          <cell r="BC18">
            <v>0.28000000000000003</v>
          </cell>
          <cell r="BD18">
            <v>0.28000000000000003</v>
          </cell>
          <cell r="BE18">
            <v>0.28000000000000003</v>
          </cell>
          <cell r="BF18">
            <v>0.28000000000000003</v>
          </cell>
          <cell r="BG18">
            <v>0.28000000000000003</v>
          </cell>
          <cell r="BH18">
            <v>0.28000000000000003</v>
          </cell>
          <cell r="BI18">
            <v>0.28000000000000003</v>
          </cell>
          <cell r="BJ18">
            <v>0.28000000000000003</v>
          </cell>
          <cell r="BK18">
            <v>0.28000000000000003</v>
          </cell>
          <cell r="BL18">
            <v>0.28000000000000003</v>
          </cell>
          <cell r="BM18">
            <v>0.28000000000000003</v>
          </cell>
          <cell r="BN18">
            <v>0.28000000000000003</v>
          </cell>
          <cell r="BO18">
            <v>0.28000000000000003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</row>
        <row r="19">
          <cell r="M19">
            <v>44344</v>
          </cell>
          <cell r="N19">
            <v>0.1</v>
          </cell>
          <cell r="O19">
            <v>15</v>
          </cell>
          <cell r="Q19" t="str">
            <v>SD002</v>
          </cell>
          <cell r="R19">
            <v>1</v>
          </cell>
          <cell r="S19">
            <v>0.93</v>
          </cell>
          <cell r="X19" t="str">
            <v>SD002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</row>
        <row r="20">
          <cell r="M20">
            <v>44345</v>
          </cell>
          <cell r="N20">
            <v>0.1</v>
          </cell>
          <cell r="O20">
            <v>15</v>
          </cell>
          <cell r="Q20" t="str">
            <v>SD003</v>
          </cell>
          <cell r="R20">
            <v>1</v>
          </cell>
          <cell r="S20">
            <v>0.97</v>
          </cell>
          <cell r="X20" t="str">
            <v>SD003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0.28000000000000003</v>
          </cell>
          <cell r="AW20">
            <v>0.28000000000000003</v>
          </cell>
          <cell r="AX20">
            <v>0.28000000000000003</v>
          </cell>
          <cell r="AY20">
            <v>0.28000000000000003</v>
          </cell>
          <cell r="AZ20">
            <v>0.28000000000000003</v>
          </cell>
          <cell r="BA20">
            <v>0.28000000000000003</v>
          </cell>
          <cell r="BB20">
            <v>0.28000000000000003</v>
          </cell>
          <cell r="BC20">
            <v>0.28000000000000003</v>
          </cell>
          <cell r="BD20">
            <v>0.28000000000000003</v>
          </cell>
          <cell r="BE20">
            <v>0.28000000000000003</v>
          </cell>
          <cell r="BF20">
            <v>0.28000000000000003</v>
          </cell>
          <cell r="BG20">
            <v>0.28000000000000003</v>
          </cell>
          <cell r="BH20">
            <v>0.28000000000000003</v>
          </cell>
          <cell r="BI20">
            <v>0.28000000000000003</v>
          </cell>
          <cell r="BJ20">
            <v>0.28000000000000003</v>
          </cell>
          <cell r="BK20">
            <v>0.28000000000000003</v>
          </cell>
          <cell r="BL20">
            <v>0.28000000000000003</v>
          </cell>
          <cell r="BM20">
            <v>0.28000000000000003</v>
          </cell>
          <cell r="BN20">
            <v>0.28000000000000003</v>
          </cell>
          <cell r="BO20">
            <v>0.28000000000000003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</row>
        <row r="21">
          <cell r="M21">
            <v>44346</v>
          </cell>
          <cell r="N21">
            <v>0.1</v>
          </cell>
          <cell r="O21">
            <v>15</v>
          </cell>
          <cell r="Q21" t="str">
            <v>SD004</v>
          </cell>
          <cell r="R21">
            <v>1</v>
          </cell>
          <cell r="S21">
            <v>1.03</v>
          </cell>
          <cell r="X21" t="str">
            <v>SD004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0.28000000000000003</v>
          </cell>
          <cell r="AW21">
            <v>0.28000000000000003</v>
          </cell>
          <cell r="AX21">
            <v>0.28000000000000003</v>
          </cell>
          <cell r="AY21">
            <v>0.28000000000000003</v>
          </cell>
          <cell r="AZ21">
            <v>0.28000000000000003</v>
          </cell>
          <cell r="BA21">
            <v>0.28000000000000003</v>
          </cell>
          <cell r="BB21">
            <v>0.28000000000000003</v>
          </cell>
          <cell r="BC21">
            <v>0.28000000000000003</v>
          </cell>
          <cell r="BD21">
            <v>0.28000000000000003</v>
          </cell>
          <cell r="BE21">
            <v>0.28000000000000003</v>
          </cell>
          <cell r="BF21">
            <v>0.28000000000000003</v>
          </cell>
          <cell r="BG21">
            <v>0.28000000000000003</v>
          </cell>
          <cell r="BH21">
            <v>0.28000000000000003</v>
          </cell>
          <cell r="BI21">
            <v>0.28000000000000003</v>
          </cell>
          <cell r="BJ21">
            <v>0.28000000000000003</v>
          </cell>
          <cell r="BK21">
            <v>0.28000000000000003</v>
          </cell>
          <cell r="BL21">
            <v>0.28000000000000003</v>
          </cell>
          <cell r="BM21">
            <v>0.28000000000000003</v>
          </cell>
          <cell r="BN21">
            <v>0.28000000000000003</v>
          </cell>
          <cell r="BO21">
            <v>0.28000000000000003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</row>
        <row r="22">
          <cell r="M22">
            <v>44379</v>
          </cell>
          <cell r="N22">
            <v>0.1</v>
          </cell>
          <cell r="O22">
            <v>15</v>
          </cell>
          <cell r="Q22" t="str">
            <v>SD005</v>
          </cell>
          <cell r="R22">
            <v>1</v>
          </cell>
          <cell r="S22">
            <v>0.98</v>
          </cell>
          <cell r="X22" t="str">
            <v>SD005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</row>
        <row r="23">
          <cell r="M23">
            <v>44380</v>
          </cell>
          <cell r="N23">
            <v>0.1</v>
          </cell>
          <cell r="O23">
            <v>15</v>
          </cell>
          <cell r="Q23" t="str">
            <v>SD006</v>
          </cell>
          <cell r="R23">
            <v>1</v>
          </cell>
          <cell r="S23">
            <v>1.05</v>
          </cell>
          <cell r="X23" t="str">
            <v>SD006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0.28000000000000003</v>
          </cell>
          <cell r="AW23">
            <v>0.28000000000000003</v>
          </cell>
          <cell r="AX23">
            <v>0.28000000000000003</v>
          </cell>
          <cell r="AY23">
            <v>0.28000000000000003</v>
          </cell>
          <cell r="AZ23">
            <v>0.28000000000000003</v>
          </cell>
          <cell r="BA23">
            <v>0.28000000000000003</v>
          </cell>
          <cell r="BB23">
            <v>0.28000000000000003</v>
          </cell>
          <cell r="BC23">
            <v>0.28000000000000003</v>
          </cell>
          <cell r="BD23">
            <v>0.28000000000000003</v>
          </cell>
          <cell r="BE23">
            <v>0.28000000000000003</v>
          </cell>
          <cell r="BF23">
            <v>0.28000000000000003</v>
          </cell>
          <cell r="BG23">
            <v>0.28000000000000003</v>
          </cell>
          <cell r="BH23">
            <v>0.28000000000000003</v>
          </cell>
          <cell r="BI23">
            <v>0.28000000000000003</v>
          </cell>
          <cell r="BJ23">
            <v>0.28000000000000003</v>
          </cell>
          <cell r="BK23">
            <v>0.28000000000000003</v>
          </cell>
          <cell r="BL23">
            <v>0.28000000000000003</v>
          </cell>
          <cell r="BM23">
            <v>0.28000000000000003</v>
          </cell>
          <cell r="BN23">
            <v>0.28000000000000003</v>
          </cell>
          <cell r="BO23">
            <v>0.28000000000000003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0.18</v>
          </cell>
          <cell r="CK23">
            <v>0.18</v>
          </cell>
          <cell r="CL23">
            <v>0.18</v>
          </cell>
          <cell r="CM23">
            <v>0.18</v>
          </cell>
          <cell r="CN23">
            <v>0.18</v>
          </cell>
          <cell r="CO23">
            <v>0.18</v>
          </cell>
          <cell r="CP23">
            <v>0.18</v>
          </cell>
          <cell r="CQ23">
            <v>0.18</v>
          </cell>
          <cell r="CR23">
            <v>0.18</v>
          </cell>
          <cell r="CS23">
            <v>0.18</v>
          </cell>
        </row>
        <row r="24">
          <cell r="M24">
            <v>44381</v>
          </cell>
          <cell r="N24">
            <v>0.1</v>
          </cell>
          <cell r="O24">
            <v>15</v>
          </cell>
          <cell r="Q24" t="str">
            <v>SD007</v>
          </cell>
          <cell r="R24">
            <v>1</v>
          </cell>
          <cell r="S24">
            <v>1</v>
          </cell>
          <cell r="X24" t="str">
            <v>SD007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</row>
        <row r="25">
          <cell r="M25">
            <v>44442</v>
          </cell>
          <cell r="N25">
            <v>0.1</v>
          </cell>
          <cell r="O25">
            <v>15</v>
          </cell>
          <cell r="Q25" t="str">
            <v>SD008</v>
          </cell>
          <cell r="R25">
            <v>1</v>
          </cell>
          <cell r="S25">
            <v>1.08</v>
          </cell>
          <cell r="X25" t="str">
            <v>SD008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</row>
        <row r="26">
          <cell r="M26">
            <v>44443</v>
          </cell>
          <cell r="N26">
            <v>0.1</v>
          </cell>
          <cell r="O26">
            <v>15</v>
          </cell>
        </row>
        <row r="27">
          <cell r="M27">
            <v>44444</v>
          </cell>
          <cell r="N27">
            <v>0.1</v>
          </cell>
          <cell r="O27">
            <v>15</v>
          </cell>
          <cell r="X27" t="str">
            <v>Motel</v>
          </cell>
          <cell r="Y27">
            <v>43995</v>
          </cell>
          <cell r="Z27">
            <v>43996</v>
          </cell>
          <cell r="AA27">
            <v>43997</v>
          </cell>
          <cell r="AB27">
            <v>43998</v>
          </cell>
          <cell r="AC27">
            <v>43999</v>
          </cell>
          <cell r="AD27">
            <v>44000</v>
          </cell>
          <cell r="AE27">
            <v>44001</v>
          </cell>
          <cell r="AF27">
            <v>44002</v>
          </cell>
          <cell r="AG27">
            <v>44003</v>
          </cell>
          <cell r="AH27">
            <v>44004</v>
          </cell>
          <cell r="AI27">
            <v>44005</v>
          </cell>
          <cell r="AJ27">
            <v>44006</v>
          </cell>
          <cell r="AK27">
            <v>44366</v>
          </cell>
          <cell r="AL27">
            <v>44367</v>
          </cell>
          <cell r="AM27">
            <v>44368</v>
          </cell>
          <cell r="AN27">
            <v>44369</v>
          </cell>
          <cell r="AO27">
            <v>44370</v>
          </cell>
          <cell r="AP27">
            <v>44371</v>
          </cell>
          <cell r="AQ27">
            <v>44372</v>
          </cell>
          <cell r="AR27">
            <v>44373</v>
          </cell>
          <cell r="AS27">
            <v>44374</v>
          </cell>
          <cell r="AT27">
            <v>44375</v>
          </cell>
          <cell r="AU27">
            <v>44376</v>
          </cell>
          <cell r="AV27">
            <v>44043</v>
          </cell>
          <cell r="AW27">
            <v>44044</v>
          </cell>
          <cell r="AX27">
            <v>44045</v>
          </cell>
          <cell r="AY27">
            <v>44046</v>
          </cell>
          <cell r="AZ27">
            <v>44047</v>
          </cell>
          <cell r="BA27">
            <v>44048</v>
          </cell>
          <cell r="BB27">
            <v>44049</v>
          </cell>
          <cell r="BC27">
            <v>44050</v>
          </cell>
          <cell r="BD27">
            <v>44051</v>
          </cell>
          <cell r="BE27">
            <v>44052</v>
          </cell>
          <cell r="BF27">
            <v>44414</v>
          </cell>
          <cell r="BG27">
            <v>44415</v>
          </cell>
          <cell r="BH27">
            <v>44416</v>
          </cell>
          <cell r="BI27">
            <v>44417</v>
          </cell>
          <cell r="BJ27">
            <v>44418</v>
          </cell>
          <cell r="BK27">
            <v>44419</v>
          </cell>
          <cell r="BL27">
            <v>44420</v>
          </cell>
          <cell r="BM27">
            <v>44421</v>
          </cell>
          <cell r="BN27">
            <v>44422</v>
          </cell>
          <cell r="BO27">
            <v>44423</v>
          </cell>
          <cell r="BP27">
            <v>44081</v>
          </cell>
          <cell r="BQ27">
            <v>44080</v>
          </cell>
          <cell r="BR27">
            <v>44079</v>
          </cell>
          <cell r="BS27">
            <v>44078</v>
          </cell>
          <cell r="BT27">
            <v>44077</v>
          </cell>
          <cell r="BU27">
            <v>44076</v>
          </cell>
          <cell r="BV27">
            <v>44075</v>
          </cell>
          <cell r="BW27">
            <v>44074</v>
          </cell>
          <cell r="BX27">
            <v>44073</v>
          </cell>
          <cell r="BY27">
            <v>44072</v>
          </cell>
          <cell r="BZ27">
            <v>44445</v>
          </cell>
          <cell r="CA27">
            <v>44444</v>
          </cell>
          <cell r="CB27">
            <v>44443</v>
          </cell>
          <cell r="CC27">
            <v>44442</v>
          </cell>
          <cell r="CD27">
            <v>44441</v>
          </cell>
          <cell r="CE27">
            <v>44440</v>
          </cell>
          <cell r="CF27">
            <v>44439</v>
          </cell>
          <cell r="CG27">
            <v>44438</v>
          </cell>
          <cell r="CH27">
            <v>44437</v>
          </cell>
          <cell r="CI27">
            <v>44436</v>
          </cell>
          <cell r="CJ27">
            <v>43859</v>
          </cell>
          <cell r="CK27">
            <v>43860</v>
          </cell>
          <cell r="CL27">
            <v>43861</v>
          </cell>
          <cell r="CM27">
            <v>43862</v>
          </cell>
          <cell r="CN27">
            <v>43863</v>
          </cell>
          <cell r="CO27">
            <v>44223</v>
          </cell>
          <cell r="CP27">
            <v>44224</v>
          </cell>
          <cell r="CQ27">
            <v>44225</v>
          </cell>
          <cell r="CR27">
            <v>44226</v>
          </cell>
          <cell r="CS27">
            <v>44227</v>
          </cell>
        </row>
        <row r="28">
          <cell r="M28">
            <v>44524</v>
          </cell>
          <cell r="N28">
            <v>0.1</v>
          </cell>
          <cell r="O28">
            <v>15</v>
          </cell>
          <cell r="X28" t="str">
            <v>NB001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</row>
        <row r="29">
          <cell r="M29">
            <v>44525</v>
          </cell>
          <cell r="N29">
            <v>0.1</v>
          </cell>
          <cell r="O29">
            <v>15</v>
          </cell>
          <cell r="X29" t="str">
            <v>NB002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9.89</v>
          </cell>
          <cell r="BQ29">
            <v>9.89</v>
          </cell>
          <cell r="BR29">
            <v>9.89</v>
          </cell>
          <cell r="BS29">
            <v>9.89</v>
          </cell>
          <cell r="BT29">
            <v>9.89</v>
          </cell>
          <cell r="BU29">
            <v>9.89</v>
          </cell>
          <cell r="BV29">
            <v>9.89</v>
          </cell>
          <cell r="BW29">
            <v>9.89</v>
          </cell>
          <cell r="BX29">
            <v>9.89</v>
          </cell>
          <cell r="BY29">
            <v>9.89</v>
          </cell>
          <cell r="BZ29">
            <v>9.89</v>
          </cell>
          <cell r="CA29">
            <v>9.89</v>
          </cell>
          <cell r="CB29">
            <v>9.89</v>
          </cell>
          <cell r="CC29">
            <v>9.89</v>
          </cell>
          <cell r="CD29">
            <v>9.89</v>
          </cell>
          <cell r="CE29">
            <v>9.89</v>
          </cell>
          <cell r="CF29">
            <v>9.89</v>
          </cell>
          <cell r="CG29">
            <v>9.89</v>
          </cell>
          <cell r="CH29">
            <v>9.89</v>
          </cell>
          <cell r="CI29">
            <v>9.89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</row>
        <row r="30">
          <cell r="M30">
            <v>44526</v>
          </cell>
          <cell r="N30">
            <v>0.1</v>
          </cell>
          <cell r="O30">
            <v>15</v>
          </cell>
          <cell r="X30" t="str">
            <v>NB003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</row>
        <row r="31">
          <cell r="M31">
            <v>44527</v>
          </cell>
          <cell r="N31">
            <v>0.1</v>
          </cell>
          <cell r="O31">
            <v>15</v>
          </cell>
          <cell r="X31" t="str">
            <v>NB004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</row>
        <row r="32">
          <cell r="M32">
            <v>44553</v>
          </cell>
          <cell r="N32">
            <v>0.1</v>
          </cell>
          <cell r="O32">
            <v>15</v>
          </cell>
          <cell r="X32" t="str">
            <v>NB005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</row>
        <row r="33">
          <cell r="M33">
            <v>44554</v>
          </cell>
          <cell r="N33">
            <v>0.1</v>
          </cell>
          <cell r="O33">
            <v>15</v>
          </cell>
          <cell r="X33" t="str">
            <v>NB006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</row>
        <row r="34">
          <cell r="M34">
            <v>44556</v>
          </cell>
          <cell r="N34">
            <v>0.1</v>
          </cell>
          <cell r="O34">
            <v>15</v>
          </cell>
          <cell r="X34" t="str">
            <v>NB007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</row>
        <row r="35">
          <cell r="M35">
            <v>44926</v>
          </cell>
          <cell r="N35">
            <v>0.1</v>
          </cell>
          <cell r="O35">
            <v>15</v>
          </cell>
          <cell r="X35" t="str">
            <v>NB008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</row>
        <row r="36">
          <cell r="X36" t="str">
            <v>NB009</v>
          </cell>
          <cell r="Y36">
            <v>0</v>
          </cell>
          <cell r="Z36">
            <v>0</v>
          </cell>
          <cell r="AA36">
            <v>9.49</v>
          </cell>
          <cell r="AB36">
            <v>9.49</v>
          </cell>
          <cell r="AC36">
            <v>9.49</v>
          </cell>
          <cell r="AD36">
            <v>9.49</v>
          </cell>
          <cell r="AE36">
            <v>9.49</v>
          </cell>
          <cell r="AF36">
            <v>9.49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9.49</v>
          </cell>
          <cell r="AL36">
            <v>9.49</v>
          </cell>
          <cell r="AM36">
            <v>9.49</v>
          </cell>
          <cell r="AN36">
            <v>9.49</v>
          </cell>
          <cell r="AO36">
            <v>9.49</v>
          </cell>
          <cell r="AP36">
            <v>9.49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</row>
        <row r="37">
          <cell r="X37" t="str">
            <v>NB010</v>
          </cell>
          <cell r="Y37">
            <v>19.95</v>
          </cell>
          <cell r="Z37">
            <v>19.95</v>
          </cell>
          <cell r="AA37">
            <v>19.95</v>
          </cell>
          <cell r="AB37">
            <v>19.95</v>
          </cell>
          <cell r="AC37">
            <v>19.95</v>
          </cell>
          <cell r="AD37">
            <v>19.95</v>
          </cell>
          <cell r="AE37">
            <v>19.95</v>
          </cell>
          <cell r="AF37">
            <v>19.95</v>
          </cell>
          <cell r="AG37">
            <v>19.95</v>
          </cell>
          <cell r="AH37">
            <v>19.95</v>
          </cell>
          <cell r="AI37">
            <v>19.95</v>
          </cell>
          <cell r="AJ37">
            <v>19.95</v>
          </cell>
          <cell r="AK37">
            <v>19.95</v>
          </cell>
          <cell r="AL37">
            <v>19.95</v>
          </cell>
          <cell r="AM37">
            <v>19.95</v>
          </cell>
          <cell r="AN37">
            <v>19.95</v>
          </cell>
          <cell r="AO37">
            <v>19.95</v>
          </cell>
          <cell r="AP37">
            <v>19.95</v>
          </cell>
          <cell r="AQ37">
            <v>19.95</v>
          </cell>
          <cell r="AR37">
            <v>19.95</v>
          </cell>
          <cell r="AS37">
            <v>19.95</v>
          </cell>
          <cell r="AT37">
            <v>19.95</v>
          </cell>
          <cell r="AU37">
            <v>19.95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</row>
        <row r="38">
          <cell r="X38" t="str">
            <v>NB011</v>
          </cell>
          <cell r="Y38">
            <v>24.95</v>
          </cell>
          <cell r="Z38">
            <v>24.95</v>
          </cell>
          <cell r="AA38">
            <v>24.95</v>
          </cell>
          <cell r="AB38">
            <v>24.95</v>
          </cell>
          <cell r="AC38">
            <v>24.95</v>
          </cell>
          <cell r="AD38">
            <v>24.95</v>
          </cell>
          <cell r="AE38">
            <v>24.95</v>
          </cell>
          <cell r="AF38">
            <v>24.95</v>
          </cell>
          <cell r="AG38">
            <v>24.95</v>
          </cell>
          <cell r="AH38">
            <v>24.95</v>
          </cell>
          <cell r="AI38">
            <v>24.95</v>
          </cell>
          <cell r="AJ38">
            <v>24.95</v>
          </cell>
          <cell r="AK38">
            <v>24.95</v>
          </cell>
          <cell r="AL38">
            <v>24.95</v>
          </cell>
          <cell r="AM38">
            <v>24.95</v>
          </cell>
          <cell r="AN38">
            <v>24.95</v>
          </cell>
          <cell r="AO38">
            <v>24.95</v>
          </cell>
          <cell r="AP38">
            <v>24.95</v>
          </cell>
          <cell r="AQ38">
            <v>24.95</v>
          </cell>
          <cell r="AR38">
            <v>24.95</v>
          </cell>
          <cell r="AS38">
            <v>24.95</v>
          </cell>
          <cell r="AT38">
            <v>24.95</v>
          </cell>
          <cell r="AU38">
            <v>24.95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</row>
        <row r="39">
          <cell r="X39" t="str">
            <v>NB012</v>
          </cell>
          <cell r="Y39">
            <v>19.95</v>
          </cell>
          <cell r="Z39">
            <v>19.95</v>
          </cell>
          <cell r="AA39">
            <v>19.95</v>
          </cell>
          <cell r="AB39">
            <v>19.95</v>
          </cell>
          <cell r="AC39">
            <v>19.95</v>
          </cell>
          <cell r="AD39">
            <v>19.95</v>
          </cell>
          <cell r="AE39">
            <v>19.95</v>
          </cell>
          <cell r="AF39">
            <v>19.95</v>
          </cell>
          <cell r="AG39">
            <v>19.95</v>
          </cell>
          <cell r="AH39">
            <v>19.95</v>
          </cell>
          <cell r="AI39">
            <v>19.95</v>
          </cell>
          <cell r="AJ39">
            <v>19.95</v>
          </cell>
          <cell r="AK39">
            <v>19.95</v>
          </cell>
          <cell r="AL39">
            <v>19.95</v>
          </cell>
          <cell r="AM39">
            <v>19.95</v>
          </cell>
          <cell r="AN39">
            <v>19.95</v>
          </cell>
          <cell r="AO39">
            <v>19.95</v>
          </cell>
          <cell r="AP39">
            <v>19.95</v>
          </cell>
          <cell r="AQ39">
            <v>19.95</v>
          </cell>
          <cell r="AR39">
            <v>19.95</v>
          </cell>
          <cell r="AS39">
            <v>19.95</v>
          </cell>
          <cell r="AT39">
            <v>19.95</v>
          </cell>
          <cell r="AU39">
            <v>19.95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</row>
        <row r="40">
          <cell r="X40" t="str">
            <v>NB013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</row>
        <row r="41">
          <cell r="X41" t="str">
            <v>NB014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</row>
        <row r="42">
          <cell r="X42" t="str">
            <v>NB015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</row>
        <row r="43">
          <cell r="X43" t="str">
            <v>NB016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</row>
        <row r="44">
          <cell r="X44" t="str">
            <v>SD001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19.95</v>
          </cell>
          <cell r="AW44">
            <v>19.95</v>
          </cell>
          <cell r="AX44">
            <v>19.95</v>
          </cell>
          <cell r="AY44">
            <v>19.95</v>
          </cell>
          <cell r="AZ44">
            <v>19.95</v>
          </cell>
          <cell r="BA44">
            <v>19.95</v>
          </cell>
          <cell r="BB44">
            <v>19.95</v>
          </cell>
          <cell r="BC44">
            <v>19.95</v>
          </cell>
          <cell r="BD44">
            <v>19.95</v>
          </cell>
          <cell r="BE44">
            <v>19.95</v>
          </cell>
          <cell r="BF44">
            <v>19.95</v>
          </cell>
          <cell r="BG44">
            <v>19.95</v>
          </cell>
          <cell r="BH44">
            <v>19.95</v>
          </cell>
          <cell r="BI44">
            <v>19.95</v>
          </cell>
          <cell r="BJ44">
            <v>19.95</v>
          </cell>
          <cell r="BK44">
            <v>19.95</v>
          </cell>
          <cell r="BL44">
            <v>19.95</v>
          </cell>
          <cell r="BM44">
            <v>19.95</v>
          </cell>
          <cell r="BN44">
            <v>19.95</v>
          </cell>
          <cell r="BO44">
            <v>19.95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</row>
        <row r="45">
          <cell r="X45" t="str">
            <v>SD002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</row>
        <row r="46">
          <cell r="X46" t="str">
            <v>SD003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24.95</v>
          </cell>
          <cell r="AW46">
            <v>24.95</v>
          </cell>
          <cell r="AX46">
            <v>24.95</v>
          </cell>
          <cell r="AY46">
            <v>24.95</v>
          </cell>
          <cell r="AZ46">
            <v>24.95</v>
          </cell>
          <cell r="BA46">
            <v>24.95</v>
          </cell>
          <cell r="BB46">
            <v>24.95</v>
          </cell>
          <cell r="BC46">
            <v>24.95</v>
          </cell>
          <cell r="BD46">
            <v>24.95</v>
          </cell>
          <cell r="BE46">
            <v>24.95</v>
          </cell>
          <cell r="BF46">
            <v>24.95</v>
          </cell>
          <cell r="BG46">
            <v>24.95</v>
          </cell>
          <cell r="BH46">
            <v>24.95</v>
          </cell>
          <cell r="BI46">
            <v>24.95</v>
          </cell>
          <cell r="BJ46">
            <v>24.95</v>
          </cell>
          <cell r="BK46">
            <v>24.95</v>
          </cell>
          <cell r="BL46">
            <v>24.95</v>
          </cell>
          <cell r="BM46">
            <v>24.95</v>
          </cell>
          <cell r="BN46">
            <v>24.95</v>
          </cell>
          <cell r="BO46">
            <v>24.95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</row>
        <row r="47">
          <cell r="X47" t="str">
            <v>SD004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19.940000000000001</v>
          </cell>
          <cell r="AW47">
            <v>19.940000000000001</v>
          </cell>
          <cell r="AX47">
            <v>19.940000000000001</v>
          </cell>
          <cell r="AY47">
            <v>19.940000000000001</v>
          </cell>
          <cell r="AZ47">
            <v>19.940000000000001</v>
          </cell>
          <cell r="BA47">
            <v>19.940000000000001</v>
          </cell>
          <cell r="BB47">
            <v>19.940000000000001</v>
          </cell>
          <cell r="BC47">
            <v>19.940000000000001</v>
          </cell>
          <cell r="BD47">
            <v>19.940000000000001</v>
          </cell>
          <cell r="BE47">
            <v>19.940000000000001</v>
          </cell>
          <cell r="BF47">
            <v>19.940000000000001</v>
          </cell>
          <cell r="BG47">
            <v>19.940000000000001</v>
          </cell>
          <cell r="BH47">
            <v>19.940000000000001</v>
          </cell>
          <cell r="BI47">
            <v>19.940000000000001</v>
          </cell>
          <cell r="BJ47">
            <v>19.940000000000001</v>
          </cell>
          <cell r="BK47">
            <v>19.940000000000001</v>
          </cell>
          <cell r="BL47">
            <v>19.940000000000001</v>
          </cell>
          <cell r="BM47">
            <v>19.940000000000001</v>
          </cell>
          <cell r="BN47">
            <v>19.940000000000001</v>
          </cell>
          <cell r="BO47">
            <v>19.940000000000001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</row>
        <row r="48">
          <cell r="X48" t="str">
            <v>SD005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</row>
        <row r="49">
          <cell r="X49" t="str">
            <v>SD006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24.95</v>
          </cell>
          <cell r="AW49">
            <v>24.95</v>
          </cell>
          <cell r="AX49">
            <v>24.95</v>
          </cell>
          <cell r="AY49">
            <v>24.95</v>
          </cell>
          <cell r="AZ49">
            <v>24.95</v>
          </cell>
          <cell r="BA49">
            <v>24.95</v>
          </cell>
          <cell r="BB49">
            <v>24.95</v>
          </cell>
          <cell r="BC49">
            <v>24.95</v>
          </cell>
          <cell r="BD49">
            <v>24.95</v>
          </cell>
          <cell r="BE49">
            <v>24.95</v>
          </cell>
          <cell r="BF49">
            <v>24.95</v>
          </cell>
          <cell r="BG49">
            <v>24.95</v>
          </cell>
          <cell r="BH49">
            <v>24.95</v>
          </cell>
          <cell r="BI49">
            <v>24.95</v>
          </cell>
          <cell r="BJ49">
            <v>24.95</v>
          </cell>
          <cell r="BK49">
            <v>24.95</v>
          </cell>
          <cell r="BL49">
            <v>24.95</v>
          </cell>
          <cell r="BM49">
            <v>24.95</v>
          </cell>
          <cell r="BN49">
            <v>24.95</v>
          </cell>
          <cell r="BO49">
            <v>24.95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12.93</v>
          </cell>
          <cell r="CJ49">
            <v>12.93</v>
          </cell>
          <cell r="CK49">
            <v>12.93</v>
          </cell>
          <cell r="CL49">
            <v>12.93</v>
          </cell>
          <cell r="CM49">
            <v>12.93</v>
          </cell>
          <cell r="CN49">
            <v>12.93</v>
          </cell>
          <cell r="CO49">
            <v>12.93</v>
          </cell>
          <cell r="CP49">
            <v>12.93</v>
          </cell>
          <cell r="CQ49">
            <v>12.93</v>
          </cell>
          <cell r="CR49">
            <v>12.93</v>
          </cell>
          <cell r="CS49">
            <v>12.93</v>
          </cell>
        </row>
        <row r="50">
          <cell r="X50" t="str">
            <v>SD007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</row>
        <row r="51">
          <cell r="X51" t="str">
            <v>SD008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</row>
      </sheetData>
      <sheetData sheetId="5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k Carey" refreshedDate="44531.105875231478" backgroundQuery="1" createdVersion="6" refreshedVersion="6" minRefreshableVersion="3" recordCount="0" supportSubquery="1" supportAdvancedDrill="1" xr:uid="{72F8C49F-BD21-4E18-9D67-8DA5F91F914B}">
  <cacheSource type="external" connectionId="3"/>
  <cacheFields count="5">
    <cacheField name="[Motels].[Motel Name].[Motel Name]" caption="Motel Name" numFmtId="0" hierarchy="1" level="1">
      <sharedItems count="24">
        <s v="Bellevue Inn"/>
        <s v="Brookings Inn"/>
        <s v="Custer Lodge"/>
        <s v="Deadwood Inn &amp; Suites"/>
        <s v="Grand Island Inn"/>
        <s v="Hastings Lodge"/>
        <s v="Hill City Inn"/>
        <s v="Kearney Inn"/>
        <s v="Lexington Inn &amp; Suites"/>
        <s v="Lincoln Inn &amp; Suites"/>
        <s v="Lincoln Lodge"/>
        <s v="Lincoln Motel"/>
        <s v="Mitchell Motel"/>
        <s v="North Platte Lodge"/>
        <s v="Omaha Inn"/>
        <s v="Omaha Inn &amp; Suites"/>
        <s v="Omaha Motel"/>
        <s v="Rapid City Inn"/>
        <s v="Scottsbluff Inn"/>
        <s v="Sidney Lodge"/>
        <s v="Sioux Falls Inn"/>
        <s v="Sioux Falls Inn &amp; Suites"/>
        <s v="Valentine Lodge"/>
        <s v="York Motel"/>
      </sharedItems>
    </cacheField>
    <cacheField name="[Stays].[Month].[Month]" caption="Month" numFmtId="0" hierarchy="20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Count of Date]" caption="Count of Date" numFmtId="0" hierarchy="27" level="32767"/>
    <cacheField name="[Measures].[Days Filled]" caption="Days Filled" numFmtId="0" hierarchy="28" level="32767"/>
    <cacheField name="[Measures].[Percent Filled]" caption="Percent Filled" numFmtId="0" hierarchy="29" level="32767"/>
  </cacheFields>
  <cacheHierarchies count="33">
    <cacheHierarchy uniqueName="[Motels].[Motel ID]" caption="Motel ID" attribute="1" defaultMemberUniqueName="[Motels].[Motel ID].[All]" allUniqueName="[Motels].[Motel ID].[All]" dimensionUniqueName="[Motels]" displayFolder="" count="0" memberValueDatatype="130" unbalanced="0"/>
    <cacheHierarchy uniqueName="[Motels].[Motel Name]" caption="Motel Name" attribute="1" defaultMemberUniqueName="[Motels].[Motel Name].[All]" allUniqueName="[Motels].[Motel Name].[All]" dimensionUniqueName="[Motels]" displayFolder="" count="2" memberValueDatatype="130" unbalanced="0">
      <fieldsUsage count="2">
        <fieldUsage x="-1"/>
        <fieldUsage x="0"/>
      </fieldsUsage>
    </cacheHierarchy>
    <cacheHierarchy uniqueName="[Motels].[Street]" caption="Street" attribute="1" defaultMemberUniqueName="[Motels].[Street].[All]" allUniqueName="[Motels].[Street].[All]" dimensionUniqueName="[Motels]" displayFolder="" count="0" memberValueDatatype="130" unbalanced="0"/>
    <cacheHierarchy uniqueName="[Motels].[City]" caption="City" attribute="1" defaultMemberUniqueName="[Motels].[City].[All]" allUniqueName="[Motels].[City].[All]" dimensionUniqueName="[Motels]" displayFolder="" count="0" memberValueDatatype="130" unbalanced="0"/>
    <cacheHierarchy uniqueName="[Motels].[State]" caption="State" attribute="1" defaultMemberUniqueName="[Motels].[State].[All]" allUniqueName="[Motels].[State].[All]" dimensionUniqueName="[Motels]" displayFolder="" count="0" memberValueDatatype="130" unbalanced="0"/>
    <cacheHierarchy uniqueName="[Motels].[Region]" caption="Region" attribute="1" defaultMemberUniqueName="[Motels].[Region].[All]" allUniqueName="[Motels].[Region].[All]" dimensionUniqueName="[Motels]" displayFolder="" count="0" memberValueDatatype="130" unbalanced="0"/>
    <cacheHierarchy uniqueName="[Motels].[Postal Code]" caption="Postal Code" attribute="1" defaultMemberUniqueName="[Motels].[Postal Code].[All]" allUniqueName="[Motels].[Postal Code].[All]" dimensionUniqueName="[Motels]" displayFolder="" count="0" memberValueDatatype="20" unbalanced="0"/>
    <cacheHierarchy uniqueName="[Motels].[Phone]" caption="Phone" attribute="1" defaultMemberUniqueName="[Motels].[Phone].[All]" allUniqueName="[Motels].[Phone].[All]" dimensionUniqueName="[Motels]" displayFolder="" count="0" memberValueDatatype="130" unbalanced="0"/>
    <cacheHierarchy uniqueName="[Motels].[Manager]" caption="Manager" attribute="1" defaultMemberUniqueName="[Motels].[Manager].[All]" allUniqueName="[Motels].[Manager].[All]" dimensionUniqueName="[Motels]" displayFolder="" count="0" memberValueDatatype="130" unbalanced="0"/>
    <cacheHierarchy uniqueName="[Motels].[Royalty]" caption="Royalty" attribute="1" defaultMemberUniqueName="[Motels].[Royalty].[All]" allUniqueName="[Motels].[Royalty].[All]" dimensionUniqueName="[Motels]" displayFolder="" count="0" memberValueDatatype="5" unbalanced="0"/>
    <cacheHierarchy uniqueName="[Motels].[Motel Age]" caption="Motel Age" attribute="1" defaultMemberUniqueName="[Motels].[Motel Age].[All]" allUniqueName="[Motels].[Motel Age].[All]" dimensionUniqueName="[Motels]" displayFolder="" count="0" memberValueDatatype="20" unbalanced="0"/>
    <cacheHierarchy uniqueName="[Motels].[Standard Rooms]" caption="Standard Rooms" attribute="1" defaultMemberUniqueName="[Motels].[Standard Rooms].[All]" allUniqueName="[Motels].[Standard Rooms].[All]" dimensionUniqueName="[Motels]" displayFolder="" count="0" memberValueDatatype="20" unbalanced="0"/>
    <cacheHierarchy uniqueName="[Motels].[Suites]" caption="Suites" attribute="1" defaultMemberUniqueName="[Motels].[Suites].[All]" allUniqueName="[Motels].[Suites].[All]" dimensionUniqueName="[Motels]" displayFolder="" count="0" memberValueDatatype="20" unbalanced="0"/>
    <cacheHierarchy uniqueName="[Motels].[Total Rooms]" caption="Total Rooms" attribute="1" defaultMemberUniqueName="[Motels].[Total Rooms].[All]" allUniqueName="[Motels].[Total Rooms].[All]" dimensionUniqueName="[Motels]" displayFolder="" count="0" memberValueDatatype="20" unbalanced="0"/>
    <cacheHierarchy uniqueName="[Motels].[Suite Percent]" caption="Suite Percent" attribute="1" defaultMemberUniqueName="[Motels].[Suite Percent].[All]" allUniqueName="[Motels].[Suite Percent].[All]" dimensionUniqueName="[Motels]" displayFolder="" count="0" memberValueDatatype="5" unbalanced="0"/>
    <cacheHierarchy uniqueName="[Motels].[Travel Grade]" caption="Travel Grade" attribute="1" defaultMemberUniqueName="[Motels].[Travel Grade].[All]" allUniqueName="[Motels].[Travel Grade].[All]" dimensionUniqueName="[Motels]" displayFolder="" count="0" memberValueDatatype="5" unbalanced="0"/>
    <cacheHierarchy uniqueName="[Motels].[Pool]" caption="Pool" attribute="1" defaultMemberUniqueName="[Motels].[Pool].[All]" allUniqueName="[Motels].[Pool].[All]" dimensionUniqueName="[Motels]" displayFolder="" count="0" memberValueDatatype="130" unbalanced="0"/>
    <cacheHierarchy uniqueName="[Stays].[Motel ID]" caption="Motel ID" attribute="1" defaultMemberUniqueName="[Stays].[Motel ID].[All]" allUniqueName="[Stays].[Motel ID].[All]" dimensionUniqueName="[Stays]" displayFolder="" count="0" memberValueDatatype="130" unbalanced="0"/>
    <cacheHierarchy uniqueName="[Stays].[Date]" caption="Date" attribute="1" time="1" defaultMemberUniqueName="[Stays].[Date].[All]" allUniqueName="[Stays].[Date].[All]" dimensionUniqueName="[Stays]" displayFolder="" count="0" memberValueDatatype="7" unbalanced="0"/>
    <cacheHierarchy uniqueName="[Stays].[Year]" caption="Year" attribute="1" defaultMemberUniqueName="[Stays].[Year].[All]" allUniqueName="[Stays].[Year].[All]" dimensionUniqueName="[Stays]" displayFolder="" count="0" memberValueDatatype="20" unbalanced="0"/>
    <cacheHierarchy uniqueName="[Stays].[Month]" caption="Month" attribute="1" defaultMemberUniqueName="[Stays].[Month].[All]" allUniqueName="[Stays].[Month].[All]" dimensionUniqueName="[Stays]" displayFolder="" count="2" memberValueDatatype="130" unbalanced="0">
      <fieldsUsage count="2">
        <fieldUsage x="-1"/>
        <fieldUsage x="1"/>
      </fieldsUsage>
    </cacheHierarchy>
    <cacheHierarchy uniqueName="[Stays].[Weekday]" caption="Weekday" attribute="1" defaultMemberUniqueName="[Stays].[Weekday].[All]" allUniqueName="[Stays].[Weekday].[All]" dimensionUniqueName="[Stays]" displayFolder="" count="0" memberValueDatatype="130" unbalanced="0"/>
    <cacheHierarchy uniqueName="[Stays].[Rooms Rented]" caption="Rooms Rented" attribute="1" defaultMemberUniqueName="[Stays].[Rooms Rented].[All]" allUniqueName="[Stays].[Rooms Rented].[All]" dimensionUniqueName="[Stays]" displayFolder="" count="0" memberValueDatatype="20" unbalanced="0"/>
    <cacheHierarchy uniqueName="[Stays].[Occupancy]" caption="Occupancy" attribute="1" defaultMemberUniqueName="[Stays].[Occupancy].[All]" allUniqueName="[Stays].[Occupancy].[All]" dimensionUniqueName="[Stays]" displayFolder="" count="0" memberValueDatatype="5" unbalanced="0"/>
    <cacheHierarchy uniqueName="[Stays].[Revenue]" caption="Revenue" attribute="1" defaultMemberUniqueName="[Stays].[Revenue].[All]" allUniqueName="[Stays].[Revenue].[All]" dimensionUniqueName="[Stays]" displayFolder="" count="0" memberValueDatatype="6" unbalanced="0"/>
    <cacheHierarchy uniqueName="[Stays].[Date (Month)]" caption="Date (Month)" attribute="1" defaultMemberUniqueName="[Stays].[Date (Month)].[All]" allUniqueName="[Stays].[Date (Month)].[All]" dimensionUniqueName="[Stays]" displayFolder="" count="0" memberValueDatatype="130" unbalanced="0"/>
    <cacheHierarchy uniqueName="[Stays].[Date (Month Index)]" caption="Date (Month Index)" attribute="1" defaultMemberUniqueName="[Stays].[Date (Month Index)].[All]" allUniqueName="[Stays].[Date (Month Index)].[All]" dimensionUniqueName="[Stays]" displayFolder="" count="0" memberValueDatatype="20" unbalanced="0" hidden="1"/>
    <cacheHierarchy uniqueName="[Measures].[Count of Date]" caption="Count of Date" measure="1" displayFolder="" measureGroup="Stay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Days Filled]" caption="Days Filled" measure="1" displayFolder="" measureGroup="Stays" count="0" oneField="1">
      <fieldsUsage count="1">
        <fieldUsage x="3"/>
      </fieldsUsage>
    </cacheHierarchy>
    <cacheHierarchy uniqueName="[Measures].[Percent Filled]" caption="Percent Filled" measure="1" displayFolder="" measureGroup="Stays" count="0" oneField="1">
      <fieldsUsage count="1">
        <fieldUsage x="4"/>
      </fieldsUsage>
    </cacheHierarchy>
    <cacheHierarchy uniqueName="[Measures].[__XL_Count Stays 2]" caption="__XL_Count Stays 2" measure="1" displayFolder="" measureGroup="Stays" count="0" hidden="1"/>
    <cacheHierarchy uniqueName="[Measures].[__XL_Count Motels]" caption="__XL_Count Motels" measure="1" displayFolder="" measureGroup="Motels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Motels" uniqueName="[Motels]" caption="Motels"/>
    <dimension name="Stays" uniqueName="[Stays]" caption="Stays"/>
  </dimensions>
  <measureGroups count="2">
    <measureGroup name="Motels" caption="Motels"/>
    <measureGroup name="Stays" caption="Stay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92820-CFA9-4E0E-87C2-226705ECD3CF}" name="Vacancy Pivot" cacheId="6" applyNumberFormats="0" applyBorderFormats="0" applyFontFormats="0" applyPatternFormats="0" applyAlignmentFormats="0" applyWidthHeightFormats="1" dataCaption="Values" tag="2f73849e-0431-482f-b7e7-bc42bd5b3e14" updatedVersion="6" minRefreshableVersion="3" useAutoFormatting="1" itemPrintTitles="1" createdVersion="6" indent="0" compact="0" compactData="0" multipleFieldFilters="0">
  <location ref="B4:F293" firstHeaderRow="0" firstDataRow="1" firstDataCol="2"/>
  <pivotFields count="5"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allDrilled="1" outline="0" subtotalTop="0" showAll="0" nonAutoSortDefault="1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28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ays" fld="2" subtotal="count" baseField="0" baseItem="0"/>
    <dataField fld="3" subtotal="count" baseField="0" baseItem="0"/>
    <dataField fld="4" subtotal="count" baseField="1" baseItem="0" numFmtId="1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ay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tels]"/>
        <x15:activeTabTopLevelEntity name="[Stay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B893-5503-4D39-B7E2-BEEB7854FFC1}">
  <sheetPr codeName="Sheet1"/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9" x14ac:dyDescent="0.6">
      <c r="A1" s="1" t="s">
        <v>0</v>
      </c>
    </row>
    <row r="3" spans="1:2" x14ac:dyDescent="0.25">
      <c r="A3" s="3" t="s">
        <v>48</v>
      </c>
      <c r="B3" s="4" t="s">
        <v>114</v>
      </c>
    </row>
    <row r="4" spans="1:2" x14ac:dyDescent="0.25">
      <c r="A4" s="3" t="s">
        <v>2</v>
      </c>
      <c r="B4" s="5">
        <v>45658</v>
      </c>
    </row>
    <row r="5" spans="1:2" ht="30" x14ac:dyDescent="0.25">
      <c r="A5" s="3" t="s">
        <v>49</v>
      </c>
      <c r="B5" s="4" t="s">
        <v>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CB71-D81D-4344-981A-766A7850C5F2}">
  <sheetPr codeName="Sheet2"/>
  <dimension ref="B1:C31"/>
  <sheetViews>
    <sheetView zoomScale="120" zoomScaleNormal="120" workbookViewId="0">
      <selection activeCell="C4" sqref="C4"/>
    </sheetView>
  </sheetViews>
  <sheetFormatPr defaultRowHeight="15" x14ac:dyDescent="0.25"/>
  <cols>
    <col min="1" max="1" width="2.85546875" customWidth="1"/>
    <col min="2" max="2" width="31.28515625" customWidth="1"/>
    <col min="3" max="3" width="33.85546875" customWidth="1"/>
    <col min="4" max="4" width="2.28515625" customWidth="1"/>
    <col min="5" max="5" width="26.140625" customWidth="1"/>
  </cols>
  <sheetData>
    <row r="1" spans="2:3" ht="39" x14ac:dyDescent="0.6">
      <c r="B1" s="1" t="s">
        <v>0</v>
      </c>
    </row>
    <row r="2" spans="2:3" ht="18.75" x14ac:dyDescent="0.3">
      <c r="B2" s="2" t="s">
        <v>99</v>
      </c>
    </row>
    <row r="3" spans="2:3" ht="15.75" thickBot="1" x14ac:dyDescent="0.3"/>
    <row r="4" spans="2:3" ht="16.5" thickTop="1" thickBot="1" x14ac:dyDescent="0.3">
      <c r="B4" s="14" t="s">
        <v>9</v>
      </c>
      <c r="C4" s="13" t="s">
        <v>40</v>
      </c>
    </row>
    <row r="5" spans="2:3" ht="16.5" thickTop="1" thickBot="1" x14ac:dyDescent="0.3">
      <c r="B5" s="15" t="s">
        <v>4</v>
      </c>
      <c r="C5" s="13" t="s">
        <v>103</v>
      </c>
    </row>
    <row r="6" spans="2:3" ht="15.75" thickTop="1" x14ac:dyDescent="0.25">
      <c r="B6" s="15" t="s">
        <v>98</v>
      </c>
      <c r="C6" s="17">
        <f>GETPIVOTDATA("[Measures].[Days Filled]",'Vacancy Table'!$B$4,"[Motels].[Motel Name]","[Motels].[Motel Name].&amp;["&amp;C4&amp;"]","[Stays].[Month]","[Stays].[Month].&amp;["&amp;C5&amp;"]")</f>
        <v>21</v>
      </c>
    </row>
    <row r="7" spans="2:3" x14ac:dyDescent="0.25">
      <c r="B7" s="15" t="s">
        <v>95</v>
      </c>
      <c r="C7" s="16">
        <f>GETPIVOTDATA("[Measures].[Percent Filled]",'Vacancy Table'!$B$4,"[Motels].[Motel Name]","[Motels].[Motel Name].&amp;["&amp;C4&amp;"]","[Stays].[Month]","[Stays].[Month].&amp;["&amp;C5&amp;"]")</f>
        <v>0.67741935483870963</v>
      </c>
    </row>
    <row r="8" spans="2:3" hidden="1" x14ac:dyDescent="0.25">
      <c r="C8" s="12" t="s">
        <v>24</v>
      </c>
    </row>
    <row r="9" spans="2:3" hidden="1" x14ac:dyDescent="0.25">
      <c r="C9" s="12" t="s">
        <v>41</v>
      </c>
    </row>
    <row r="10" spans="2:3" hidden="1" x14ac:dyDescent="0.25">
      <c r="C10" s="12" t="s">
        <v>40</v>
      </c>
    </row>
    <row r="11" spans="2:3" hidden="1" x14ac:dyDescent="0.25">
      <c r="C11" s="12" t="s">
        <v>42</v>
      </c>
    </row>
    <row r="12" spans="2:3" hidden="1" x14ac:dyDescent="0.25">
      <c r="C12" s="12" t="s">
        <v>25</v>
      </c>
    </row>
    <row r="13" spans="2:3" hidden="1" x14ac:dyDescent="0.25">
      <c r="C13" s="12" t="s">
        <v>26</v>
      </c>
    </row>
    <row r="14" spans="2:3" hidden="1" x14ac:dyDescent="0.25">
      <c r="C14" s="12" t="s">
        <v>43</v>
      </c>
    </row>
    <row r="15" spans="2:3" hidden="1" x14ac:dyDescent="0.25">
      <c r="C15" s="12" t="s">
        <v>27</v>
      </c>
    </row>
    <row r="16" spans="2:3" hidden="1" x14ac:dyDescent="0.25">
      <c r="C16" s="12" t="s">
        <v>28</v>
      </c>
    </row>
    <row r="17" spans="3:3" hidden="1" x14ac:dyDescent="0.25">
      <c r="C17" s="12" t="s">
        <v>31</v>
      </c>
    </row>
    <row r="18" spans="3:3" hidden="1" x14ac:dyDescent="0.25">
      <c r="C18" s="12" t="s">
        <v>30</v>
      </c>
    </row>
    <row r="19" spans="3:3" hidden="1" x14ac:dyDescent="0.25">
      <c r="C19" s="12" t="s">
        <v>29</v>
      </c>
    </row>
    <row r="20" spans="3:3" hidden="1" x14ac:dyDescent="0.25">
      <c r="C20" s="12" t="s">
        <v>44</v>
      </c>
    </row>
    <row r="21" spans="3:3" hidden="1" x14ac:dyDescent="0.25">
      <c r="C21" s="12" t="s">
        <v>32</v>
      </c>
    </row>
    <row r="22" spans="3:3" hidden="1" x14ac:dyDescent="0.25">
      <c r="C22" s="12" t="s">
        <v>33</v>
      </c>
    </row>
    <row r="23" spans="3:3" hidden="1" x14ac:dyDescent="0.25">
      <c r="C23" s="12" t="s">
        <v>34</v>
      </c>
    </row>
    <row r="24" spans="3:3" hidden="1" x14ac:dyDescent="0.25">
      <c r="C24" s="12" t="s">
        <v>35</v>
      </c>
    </row>
    <row r="25" spans="3:3" hidden="1" x14ac:dyDescent="0.25">
      <c r="C25" s="12" t="s">
        <v>45</v>
      </c>
    </row>
    <row r="26" spans="3:3" hidden="1" x14ac:dyDescent="0.25">
      <c r="C26" s="12" t="s">
        <v>36</v>
      </c>
    </row>
    <row r="27" spans="3:3" hidden="1" x14ac:dyDescent="0.25">
      <c r="C27" s="12" t="s">
        <v>37</v>
      </c>
    </row>
    <row r="28" spans="3:3" hidden="1" x14ac:dyDescent="0.25">
      <c r="C28" s="12" t="s">
        <v>46</v>
      </c>
    </row>
    <row r="29" spans="3:3" hidden="1" x14ac:dyDescent="0.25">
      <c r="C29" s="12" t="s">
        <v>47</v>
      </c>
    </row>
    <row r="30" spans="3:3" hidden="1" x14ac:dyDescent="0.25">
      <c r="C30" s="12" t="s">
        <v>38</v>
      </c>
    </row>
    <row r="31" spans="3:3" hidden="1" x14ac:dyDescent="0.25">
      <c r="C31" s="1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4CD6-734F-41CB-A14C-C474127B4029}">
  <sheetPr codeName="Sheet3"/>
  <dimension ref="B1:F293"/>
  <sheetViews>
    <sheetView zoomScale="120" zoomScaleNormal="120" workbookViewId="0"/>
  </sheetViews>
  <sheetFormatPr defaultRowHeight="15" x14ac:dyDescent="0.25"/>
  <cols>
    <col min="1" max="1" width="2.85546875" customWidth="1"/>
    <col min="2" max="2" width="24.85546875" bestFit="1" customWidth="1"/>
    <col min="3" max="3" width="9.28515625" bestFit="1" customWidth="1"/>
    <col min="4" max="4" width="5.42578125" bestFit="1" customWidth="1"/>
    <col min="5" max="5" width="10.5703125" bestFit="1" customWidth="1"/>
    <col min="6" max="7" width="13.42578125" bestFit="1" customWidth="1"/>
    <col min="8" max="8" width="9.5703125" bestFit="1" customWidth="1"/>
    <col min="9" max="74" width="22.42578125" bestFit="1" customWidth="1"/>
    <col min="75" max="75" width="10.42578125" bestFit="1" customWidth="1"/>
    <col min="76" max="76" width="15.5703125" bestFit="1" customWidth="1"/>
    <col min="77" max="77" width="18.42578125" bestFit="1" customWidth="1"/>
  </cols>
  <sheetData>
    <row r="1" spans="2:6" ht="39" x14ac:dyDescent="0.6">
      <c r="B1" s="1" t="s">
        <v>0</v>
      </c>
    </row>
    <row r="2" spans="2:6" ht="18.75" x14ac:dyDescent="0.3">
      <c r="B2" s="2" t="s">
        <v>100</v>
      </c>
    </row>
    <row r="4" spans="2:6" x14ac:dyDescent="0.25">
      <c r="B4" s="18" t="s">
        <v>9</v>
      </c>
      <c r="C4" s="18" t="s">
        <v>4</v>
      </c>
      <c r="D4" t="s">
        <v>113</v>
      </c>
      <c r="E4" t="s">
        <v>92</v>
      </c>
      <c r="F4" t="s">
        <v>93</v>
      </c>
    </row>
    <row r="5" spans="2:6" x14ac:dyDescent="0.25">
      <c r="B5" t="s">
        <v>24</v>
      </c>
      <c r="C5" t="s">
        <v>91</v>
      </c>
      <c r="D5" s="19">
        <v>31</v>
      </c>
      <c r="E5" s="21">
        <v>0</v>
      </c>
      <c r="F5" s="20">
        <v>0</v>
      </c>
    </row>
    <row r="6" spans="2:6" x14ac:dyDescent="0.25">
      <c r="C6" t="s">
        <v>105</v>
      </c>
      <c r="D6" s="19">
        <v>29</v>
      </c>
      <c r="E6" s="21">
        <v>0</v>
      </c>
      <c r="F6" s="20">
        <v>0</v>
      </c>
    </row>
    <row r="7" spans="2:6" x14ac:dyDescent="0.25">
      <c r="C7" t="s">
        <v>108</v>
      </c>
      <c r="D7" s="19">
        <v>31</v>
      </c>
      <c r="E7" s="21">
        <v>0</v>
      </c>
      <c r="F7" s="20">
        <v>0</v>
      </c>
    </row>
    <row r="8" spans="2:6" x14ac:dyDescent="0.25">
      <c r="C8" t="s">
        <v>102</v>
      </c>
      <c r="D8" s="19">
        <v>30</v>
      </c>
      <c r="E8" s="21">
        <v>0</v>
      </c>
      <c r="F8" s="20">
        <v>0</v>
      </c>
    </row>
    <row r="9" spans="2:6" x14ac:dyDescent="0.25">
      <c r="C9" t="s">
        <v>109</v>
      </c>
      <c r="D9" s="19">
        <v>31</v>
      </c>
      <c r="E9" s="21">
        <v>0</v>
      </c>
      <c r="F9" s="20">
        <v>0</v>
      </c>
    </row>
    <row r="10" spans="2:6" x14ac:dyDescent="0.25">
      <c r="C10" t="s">
        <v>107</v>
      </c>
      <c r="D10" s="19">
        <v>30</v>
      </c>
      <c r="E10" s="21">
        <v>0</v>
      </c>
      <c r="F10" s="20">
        <v>0</v>
      </c>
    </row>
    <row r="11" spans="2:6" x14ac:dyDescent="0.25">
      <c r="C11" t="s">
        <v>106</v>
      </c>
      <c r="D11" s="19">
        <v>31</v>
      </c>
      <c r="E11" s="21">
        <v>0</v>
      </c>
      <c r="F11" s="20">
        <v>0</v>
      </c>
    </row>
    <row r="12" spans="2:6" x14ac:dyDescent="0.25">
      <c r="C12" t="s">
        <v>103</v>
      </c>
      <c r="D12" s="19">
        <v>31</v>
      </c>
      <c r="E12" s="21">
        <v>0</v>
      </c>
      <c r="F12" s="20">
        <v>0</v>
      </c>
    </row>
    <row r="13" spans="2:6" x14ac:dyDescent="0.25">
      <c r="C13" t="s">
        <v>112</v>
      </c>
      <c r="D13" s="19">
        <v>30</v>
      </c>
      <c r="E13" s="21">
        <v>0</v>
      </c>
      <c r="F13" s="20">
        <v>0</v>
      </c>
    </row>
    <row r="14" spans="2:6" x14ac:dyDescent="0.25">
      <c r="C14" t="s">
        <v>111</v>
      </c>
      <c r="D14" s="19">
        <v>31</v>
      </c>
      <c r="E14" s="21">
        <v>0</v>
      </c>
      <c r="F14" s="20">
        <v>0</v>
      </c>
    </row>
    <row r="15" spans="2:6" x14ac:dyDescent="0.25">
      <c r="C15" t="s">
        <v>110</v>
      </c>
      <c r="D15" s="19">
        <v>30</v>
      </c>
      <c r="E15" s="21">
        <v>0</v>
      </c>
      <c r="F15" s="20">
        <v>0</v>
      </c>
    </row>
    <row r="16" spans="2:6" x14ac:dyDescent="0.25">
      <c r="C16" t="s">
        <v>104</v>
      </c>
      <c r="D16" s="19">
        <v>31</v>
      </c>
      <c r="E16" s="21">
        <v>0</v>
      </c>
      <c r="F16" s="20">
        <v>0</v>
      </c>
    </row>
    <row r="17" spans="2:6" x14ac:dyDescent="0.25">
      <c r="B17" t="s">
        <v>41</v>
      </c>
      <c r="C17" t="s">
        <v>91</v>
      </c>
      <c r="D17" s="19">
        <v>31</v>
      </c>
      <c r="E17" s="21">
        <v>0</v>
      </c>
      <c r="F17" s="20">
        <v>0</v>
      </c>
    </row>
    <row r="18" spans="2:6" x14ac:dyDescent="0.25">
      <c r="C18" t="s">
        <v>105</v>
      </c>
      <c r="D18" s="19">
        <v>29</v>
      </c>
      <c r="E18" s="21">
        <v>0</v>
      </c>
      <c r="F18" s="20">
        <v>0</v>
      </c>
    </row>
    <row r="19" spans="2:6" x14ac:dyDescent="0.25">
      <c r="C19" t="s">
        <v>108</v>
      </c>
      <c r="D19" s="19">
        <v>31</v>
      </c>
      <c r="E19" s="21">
        <v>0</v>
      </c>
      <c r="F19" s="20">
        <v>0</v>
      </c>
    </row>
    <row r="20" spans="2:6" x14ac:dyDescent="0.25">
      <c r="C20" t="s">
        <v>102</v>
      </c>
      <c r="D20" s="19">
        <v>30</v>
      </c>
      <c r="E20" s="21">
        <v>0</v>
      </c>
      <c r="F20" s="20">
        <v>0</v>
      </c>
    </row>
    <row r="21" spans="2:6" x14ac:dyDescent="0.25">
      <c r="C21" t="s">
        <v>109</v>
      </c>
      <c r="D21" s="19">
        <v>31</v>
      </c>
      <c r="E21" s="21">
        <v>0</v>
      </c>
      <c r="F21" s="20">
        <v>0</v>
      </c>
    </row>
    <row r="22" spans="2:6" x14ac:dyDescent="0.25">
      <c r="C22" t="s">
        <v>107</v>
      </c>
      <c r="D22" s="19">
        <v>30</v>
      </c>
      <c r="E22" s="21">
        <v>0</v>
      </c>
      <c r="F22" s="20">
        <v>0</v>
      </c>
    </row>
    <row r="23" spans="2:6" x14ac:dyDescent="0.25">
      <c r="C23" t="s">
        <v>106</v>
      </c>
      <c r="D23" s="19">
        <v>31</v>
      </c>
      <c r="E23" s="21">
        <v>0</v>
      </c>
      <c r="F23" s="20">
        <v>0</v>
      </c>
    </row>
    <row r="24" spans="2:6" x14ac:dyDescent="0.25">
      <c r="C24" t="s">
        <v>103</v>
      </c>
      <c r="D24" s="19">
        <v>31</v>
      </c>
      <c r="E24" s="21">
        <v>0</v>
      </c>
      <c r="F24" s="20">
        <v>0</v>
      </c>
    </row>
    <row r="25" spans="2:6" x14ac:dyDescent="0.25">
      <c r="C25" t="s">
        <v>112</v>
      </c>
      <c r="D25" s="19">
        <v>30</v>
      </c>
      <c r="E25" s="21">
        <v>0</v>
      </c>
      <c r="F25" s="20">
        <v>0</v>
      </c>
    </row>
    <row r="26" spans="2:6" x14ac:dyDescent="0.25">
      <c r="C26" t="s">
        <v>111</v>
      </c>
      <c r="D26" s="19">
        <v>31</v>
      </c>
      <c r="E26" s="21">
        <v>0</v>
      </c>
      <c r="F26" s="20">
        <v>0</v>
      </c>
    </row>
    <row r="27" spans="2:6" x14ac:dyDescent="0.25">
      <c r="C27" t="s">
        <v>110</v>
      </c>
      <c r="D27" s="19">
        <v>30</v>
      </c>
      <c r="E27" s="21">
        <v>0</v>
      </c>
      <c r="F27" s="20">
        <v>0</v>
      </c>
    </row>
    <row r="28" spans="2:6" x14ac:dyDescent="0.25">
      <c r="C28" t="s">
        <v>104</v>
      </c>
      <c r="D28" s="19">
        <v>31</v>
      </c>
      <c r="E28" s="21">
        <v>0</v>
      </c>
      <c r="F28" s="20">
        <v>0</v>
      </c>
    </row>
    <row r="29" spans="2:6" x14ac:dyDescent="0.25">
      <c r="B29" t="s">
        <v>40</v>
      </c>
      <c r="C29" t="s">
        <v>91</v>
      </c>
      <c r="D29" s="19">
        <v>31</v>
      </c>
      <c r="E29" s="21">
        <v>0</v>
      </c>
      <c r="F29" s="20">
        <v>0</v>
      </c>
    </row>
    <row r="30" spans="2:6" x14ac:dyDescent="0.25">
      <c r="C30" t="s">
        <v>105</v>
      </c>
      <c r="D30" s="19">
        <v>29</v>
      </c>
      <c r="E30" s="21">
        <v>0</v>
      </c>
      <c r="F30" s="20">
        <v>0</v>
      </c>
    </row>
    <row r="31" spans="2:6" x14ac:dyDescent="0.25">
      <c r="C31" t="s">
        <v>108</v>
      </c>
      <c r="D31" s="19">
        <v>31</v>
      </c>
      <c r="E31" s="21">
        <v>0</v>
      </c>
      <c r="F31" s="20">
        <v>0</v>
      </c>
    </row>
    <row r="32" spans="2:6" x14ac:dyDescent="0.25">
      <c r="C32" t="s">
        <v>102</v>
      </c>
      <c r="D32" s="19">
        <v>30</v>
      </c>
      <c r="E32" s="21">
        <v>0</v>
      </c>
      <c r="F32" s="20">
        <v>0</v>
      </c>
    </row>
    <row r="33" spans="2:6" x14ac:dyDescent="0.25">
      <c r="C33" t="s">
        <v>109</v>
      </c>
      <c r="D33" s="19">
        <v>31</v>
      </c>
      <c r="E33" s="21">
        <v>2</v>
      </c>
      <c r="F33" s="20">
        <v>6.4516129032258063E-2</v>
      </c>
    </row>
    <row r="34" spans="2:6" x14ac:dyDescent="0.25">
      <c r="C34" t="s">
        <v>107</v>
      </c>
      <c r="D34" s="19">
        <v>30</v>
      </c>
      <c r="E34" s="21">
        <v>10</v>
      </c>
      <c r="F34" s="20">
        <v>0.33333333333333331</v>
      </c>
    </row>
    <row r="35" spans="2:6" x14ac:dyDescent="0.25">
      <c r="C35" t="s">
        <v>106</v>
      </c>
      <c r="D35" s="19">
        <v>31</v>
      </c>
      <c r="E35" s="21">
        <v>23</v>
      </c>
      <c r="F35" s="20">
        <v>0.74193548387096775</v>
      </c>
    </row>
    <row r="36" spans="2:6" x14ac:dyDescent="0.25">
      <c r="C36" t="s">
        <v>103</v>
      </c>
      <c r="D36" s="19">
        <v>31</v>
      </c>
      <c r="E36" s="21">
        <v>21</v>
      </c>
      <c r="F36" s="20">
        <v>0.67741935483870963</v>
      </c>
    </row>
    <row r="37" spans="2:6" x14ac:dyDescent="0.25">
      <c r="C37" t="s">
        <v>112</v>
      </c>
      <c r="D37" s="19">
        <v>30</v>
      </c>
      <c r="E37" s="21">
        <v>0</v>
      </c>
      <c r="F37" s="20">
        <v>0</v>
      </c>
    </row>
    <row r="38" spans="2:6" x14ac:dyDescent="0.25">
      <c r="C38" t="s">
        <v>111</v>
      </c>
      <c r="D38" s="19">
        <v>31</v>
      </c>
      <c r="E38" s="21">
        <v>1</v>
      </c>
      <c r="F38" s="20">
        <v>3.2258064516129031E-2</v>
      </c>
    </row>
    <row r="39" spans="2:6" x14ac:dyDescent="0.25">
      <c r="C39" t="s">
        <v>110</v>
      </c>
      <c r="D39" s="19">
        <v>30</v>
      </c>
      <c r="E39" s="21">
        <v>0</v>
      </c>
      <c r="F39" s="20">
        <v>0</v>
      </c>
    </row>
    <row r="40" spans="2:6" x14ac:dyDescent="0.25">
      <c r="C40" t="s">
        <v>104</v>
      </c>
      <c r="D40" s="19">
        <v>31</v>
      </c>
      <c r="E40" s="21">
        <v>0</v>
      </c>
      <c r="F40" s="20">
        <v>0</v>
      </c>
    </row>
    <row r="41" spans="2:6" x14ac:dyDescent="0.25">
      <c r="B41" t="s">
        <v>42</v>
      </c>
      <c r="C41" t="s">
        <v>91</v>
      </c>
      <c r="D41" s="19">
        <v>31</v>
      </c>
      <c r="E41" s="21">
        <v>0</v>
      </c>
      <c r="F41" s="20">
        <v>0</v>
      </c>
    </row>
    <row r="42" spans="2:6" x14ac:dyDescent="0.25">
      <c r="C42" t="s">
        <v>105</v>
      </c>
      <c r="D42" s="19">
        <v>29</v>
      </c>
      <c r="E42" s="21">
        <v>0</v>
      </c>
      <c r="F42" s="20">
        <v>0</v>
      </c>
    </row>
    <row r="43" spans="2:6" x14ac:dyDescent="0.25">
      <c r="C43" t="s">
        <v>108</v>
      </c>
      <c r="D43" s="19">
        <v>31</v>
      </c>
      <c r="E43" s="21">
        <v>0</v>
      </c>
      <c r="F43" s="20">
        <v>0</v>
      </c>
    </row>
    <row r="44" spans="2:6" x14ac:dyDescent="0.25">
      <c r="C44" t="s">
        <v>102</v>
      </c>
      <c r="D44" s="19">
        <v>30</v>
      </c>
      <c r="E44" s="21">
        <v>0</v>
      </c>
      <c r="F44" s="20">
        <v>0</v>
      </c>
    </row>
    <row r="45" spans="2:6" x14ac:dyDescent="0.25">
      <c r="C45" t="s">
        <v>109</v>
      </c>
      <c r="D45" s="19">
        <v>31</v>
      </c>
      <c r="E45" s="21">
        <v>0</v>
      </c>
      <c r="F45" s="20">
        <v>0</v>
      </c>
    </row>
    <row r="46" spans="2:6" x14ac:dyDescent="0.25">
      <c r="C46" t="s">
        <v>107</v>
      </c>
      <c r="D46" s="19">
        <v>30</v>
      </c>
      <c r="E46" s="21">
        <v>2</v>
      </c>
      <c r="F46" s="20">
        <v>6.6666666666666666E-2</v>
      </c>
    </row>
    <row r="47" spans="2:6" x14ac:dyDescent="0.25">
      <c r="C47" t="s">
        <v>106</v>
      </c>
      <c r="D47" s="19">
        <v>31</v>
      </c>
      <c r="E47" s="21">
        <v>5</v>
      </c>
      <c r="F47" s="20">
        <v>0.16129032258064516</v>
      </c>
    </row>
    <row r="48" spans="2:6" x14ac:dyDescent="0.25">
      <c r="C48" t="s">
        <v>103</v>
      </c>
      <c r="D48" s="19">
        <v>31</v>
      </c>
      <c r="E48" s="21">
        <v>12</v>
      </c>
      <c r="F48" s="20">
        <v>0.38709677419354838</v>
      </c>
    </row>
    <row r="49" spans="2:6" x14ac:dyDescent="0.25">
      <c r="C49" t="s">
        <v>112</v>
      </c>
      <c r="D49" s="19">
        <v>30</v>
      </c>
      <c r="E49" s="21">
        <v>0</v>
      </c>
      <c r="F49" s="20">
        <v>0</v>
      </c>
    </row>
    <row r="50" spans="2:6" x14ac:dyDescent="0.25">
      <c r="C50" t="s">
        <v>111</v>
      </c>
      <c r="D50" s="19">
        <v>31</v>
      </c>
      <c r="E50" s="21">
        <v>0</v>
      </c>
      <c r="F50" s="20">
        <v>0</v>
      </c>
    </row>
    <row r="51" spans="2:6" x14ac:dyDescent="0.25">
      <c r="C51" t="s">
        <v>110</v>
      </c>
      <c r="D51" s="19">
        <v>30</v>
      </c>
      <c r="E51" s="21">
        <v>0</v>
      </c>
      <c r="F51" s="20">
        <v>0</v>
      </c>
    </row>
    <row r="52" spans="2:6" x14ac:dyDescent="0.25">
      <c r="C52" t="s">
        <v>104</v>
      </c>
      <c r="D52" s="19">
        <v>31</v>
      </c>
      <c r="E52" s="21">
        <v>0</v>
      </c>
      <c r="F52" s="20">
        <v>0</v>
      </c>
    </row>
    <row r="53" spans="2:6" x14ac:dyDescent="0.25">
      <c r="B53" t="s">
        <v>25</v>
      </c>
      <c r="C53" t="s">
        <v>91</v>
      </c>
      <c r="D53" s="19">
        <v>31</v>
      </c>
      <c r="E53" s="21">
        <v>0</v>
      </c>
      <c r="F53" s="20">
        <v>0</v>
      </c>
    </row>
    <row r="54" spans="2:6" x14ac:dyDescent="0.25">
      <c r="C54" t="s">
        <v>105</v>
      </c>
      <c r="D54" s="19">
        <v>29</v>
      </c>
      <c r="E54" s="21">
        <v>0</v>
      </c>
      <c r="F54" s="20">
        <v>0</v>
      </c>
    </row>
    <row r="55" spans="2:6" x14ac:dyDescent="0.25">
      <c r="C55" t="s">
        <v>108</v>
      </c>
      <c r="D55" s="19">
        <v>31</v>
      </c>
      <c r="E55" s="21">
        <v>0</v>
      </c>
      <c r="F55" s="20">
        <v>0</v>
      </c>
    </row>
    <row r="56" spans="2:6" x14ac:dyDescent="0.25">
      <c r="C56" t="s">
        <v>102</v>
      </c>
      <c r="D56" s="19">
        <v>30</v>
      </c>
      <c r="E56" s="21">
        <v>0</v>
      </c>
      <c r="F56" s="20">
        <v>0</v>
      </c>
    </row>
    <row r="57" spans="2:6" x14ac:dyDescent="0.25">
      <c r="C57" t="s">
        <v>109</v>
      </c>
      <c r="D57" s="19">
        <v>31</v>
      </c>
      <c r="E57" s="21">
        <v>0</v>
      </c>
      <c r="F57" s="20">
        <v>0</v>
      </c>
    </row>
    <row r="58" spans="2:6" x14ac:dyDescent="0.25">
      <c r="C58" t="s">
        <v>107</v>
      </c>
      <c r="D58" s="19">
        <v>30</v>
      </c>
      <c r="E58" s="21">
        <v>1</v>
      </c>
      <c r="F58" s="20">
        <v>3.3333333333333333E-2</v>
      </c>
    </row>
    <row r="59" spans="2:6" x14ac:dyDescent="0.25">
      <c r="C59" t="s">
        <v>106</v>
      </c>
      <c r="D59" s="19">
        <v>31</v>
      </c>
      <c r="E59" s="21">
        <v>0</v>
      </c>
      <c r="F59" s="20">
        <v>0</v>
      </c>
    </row>
    <row r="60" spans="2:6" x14ac:dyDescent="0.25">
      <c r="C60" t="s">
        <v>103</v>
      </c>
      <c r="D60" s="19">
        <v>31</v>
      </c>
      <c r="E60" s="21">
        <v>0</v>
      </c>
      <c r="F60" s="20">
        <v>0</v>
      </c>
    </row>
    <row r="61" spans="2:6" x14ac:dyDescent="0.25">
      <c r="C61" t="s">
        <v>112</v>
      </c>
      <c r="D61" s="19">
        <v>30</v>
      </c>
      <c r="E61" s="21">
        <v>0</v>
      </c>
      <c r="F61" s="20">
        <v>0</v>
      </c>
    </row>
    <row r="62" spans="2:6" x14ac:dyDescent="0.25">
      <c r="C62" t="s">
        <v>111</v>
      </c>
      <c r="D62" s="19">
        <v>31</v>
      </c>
      <c r="E62" s="21">
        <v>0</v>
      </c>
      <c r="F62" s="20">
        <v>0</v>
      </c>
    </row>
    <row r="63" spans="2:6" x14ac:dyDescent="0.25">
      <c r="C63" t="s">
        <v>110</v>
      </c>
      <c r="D63" s="19">
        <v>30</v>
      </c>
      <c r="E63" s="21">
        <v>0</v>
      </c>
      <c r="F63" s="20">
        <v>0</v>
      </c>
    </row>
    <row r="64" spans="2:6" x14ac:dyDescent="0.25">
      <c r="C64" t="s">
        <v>104</v>
      </c>
      <c r="D64" s="19">
        <v>31</v>
      </c>
      <c r="E64" s="21">
        <v>0</v>
      </c>
      <c r="F64" s="20">
        <v>0</v>
      </c>
    </row>
    <row r="65" spans="2:6" x14ac:dyDescent="0.25">
      <c r="B65" t="s">
        <v>26</v>
      </c>
      <c r="C65" t="s">
        <v>91</v>
      </c>
      <c r="D65" s="19">
        <v>31</v>
      </c>
      <c r="E65" s="21">
        <v>0</v>
      </c>
      <c r="F65" s="20">
        <v>0</v>
      </c>
    </row>
    <row r="66" spans="2:6" x14ac:dyDescent="0.25">
      <c r="C66" t="s">
        <v>105</v>
      </c>
      <c r="D66" s="19">
        <v>29</v>
      </c>
      <c r="E66" s="21">
        <v>0</v>
      </c>
      <c r="F66" s="20">
        <v>0</v>
      </c>
    </row>
    <row r="67" spans="2:6" x14ac:dyDescent="0.25">
      <c r="C67" t="s">
        <v>108</v>
      </c>
      <c r="D67" s="19">
        <v>31</v>
      </c>
      <c r="E67" s="21">
        <v>0</v>
      </c>
      <c r="F67" s="20">
        <v>0</v>
      </c>
    </row>
    <row r="68" spans="2:6" x14ac:dyDescent="0.25">
      <c r="C68" t="s">
        <v>102</v>
      </c>
      <c r="D68" s="19">
        <v>30</v>
      </c>
      <c r="E68" s="21">
        <v>0</v>
      </c>
      <c r="F68" s="20">
        <v>0</v>
      </c>
    </row>
    <row r="69" spans="2:6" x14ac:dyDescent="0.25">
      <c r="C69" t="s">
        <v>109</v>
      </c>
      <c r="D69" s="19">
        <v>31</v>
      </c>
      <c r="E69" s="21">
        <v>0</v>
      </c>
      <c r="F69" s="20">
        <v>0</v>
      </c>
    </row>
    <row r="70" spans="2:6" x14ac:dyDescent="0.25">
      <c r="C70" t="s">
        <v>107</v>
      </c>
      <c r="D70" s="19">
        <v>30</v>
      </c>
      <c r="E70" s="21">
        <v>0</v>
      </c>
      <c r="F70" s="20">
        <v>0</v>
      </c>
    </row>
    <row r="71" spans="2:6" x14ac:dyDescent="0.25">
      <c r="C71" t="s">
        <v>106</v>
      </c>
      <c r="D71" s="19">
        <v>31</v>
      </c>
      <c r="E71" s="21">
        <v>0</v>
      </c>
      <c r="F71" s="20">
        <v>0</v>
      </c>
    </row>
    <row r="72" spans="2:6" x14ac:dyDescent="0.25">
      <c r="C72" t="s">
        <v>103</v>
      </c>
      <c r="D72" s="19">
        <v>31</v>
      </c>
      <c r="E72" s="21">
        <v>0</v>
      </c>
      <c r="F72" s="20">
        <v>0</v>
      </c>
    </row>
    <row r="73" spans="2:6" x14ac:dyDescent="0.25">
      <c r="C73" t="s">
        <v>112</v>
      </c>
      <c r="D73" s="19">
        <v>30</v>
      </c>
      <c r="E73" s="21">
        <v>0</v>
      </c>
      <c r="F73" s="20">
        <v>0</v>
      </c>
    </row>
    <row r="74" spans="2:6" x14ac:dyDescent="0.25">
      <c r="C74" t="s">
        <v>111</v>
      </c>
      <c r="D74" s="19">
        <v>31</v>
      </c>
      <c r="E74" s="21">
        <v>0</v>
      </c>
      <c r="F74" s="20">
        <v>0</v>
      </c>
    </row>
    <row r="75" spans="2:6" x14ac:dyDescent="0.25">
      <c r="C75" t="s">
        <v>110</v>
      </c>
      <c r="D75" s="19">
        <v>30</v>
      </c>
      <c r="E75" s="21">
        <v>0</v>
      </c>
      <c r="F75" s="20">
        <v>0</v>
      </c>
    </row>
    <row r="76" spans="2:6" x14ac:dyDescent="0.25">
      <c r="C76" t="s">
        <v>104</v>
      </c>
      <c r="D76" s="19">
        <v>31</v>
      </c>
      <c r="E76" s="21">
        <v>0</v>
      </c>
      <c r="F76" s="20">
        <v>0</v>
      </c>
    </row>
    <row r="77" spans="2:6" x14ac:dyDescent="0.25">
      <c r="B77" t="s">
        <v>43</v>
      </c>
      <c r="C77" t="s">
        <v>91</v>
      </c>
      <c r="D77" s="19">
        <v>31</v>
      </c>
      <c r="E77" s="21">
        <v>0</v>
      </c>
      <c r="F77" s="20">
        <v>0</v>
      </c>
    </row>
    <row r="78" spans="2:6" x14ac:dyDescent="0.25">
      <c r="C78" t="s">
        <v>105</v>
      </c>
      <c r="D78" s="19">
        <v>29</v>
      </c>
      <c r="E78" s="21">
        <v>0</v>
      </c>
      <c r="F78" s="20">
        <v>0</v>
      </c>
    </row>
    <row r="79" spans="2:6" x14ac:dyDescent="0.25">
      <c r="C79" t="s">
        <v>108</v>
      </c>
      <c r="D79" s="19">
        <v>31</v>
      </c>
      <c r="E79" s="21">
        <v>0</v>
      </c>
      <c r="F79" s="20">
        <v>0</v>
      </c>
    </row>
    <row r="80" spans="2:6" x14ac:dyDescent="0.25">
      <c r="C80" t="s">
        <v>102</v>
      </c>
      <c r="D80" s="19">
        <v>30</v>
      </c>
      <c r="E80" s="21">
        <v>0</v>
      </c>
      <c r="F80" s="20">
        <v>0</v>
      </c>
    </row>
    <row r="81" spans="2:6" x14ac:dyDescent="0.25">
      <c r="C81" t="s">
        <v>109</v>
      </c>
      <c r="D81" s="19">
        <v>31</v>
      </c>
      <c r="E81" s="21">
        <v>0</v>
      </c>
      <c r="F81" s="20">
        <v>0</v>
      </c>
    </row>
    <row r="82" spans="2:6" x14ac:dyDescent="0.25">
      <c r="C82" t="s">
        <v>107</v>
      </c>
      <c r="D82" s="19">
        <v>30</v>
      </c>
      <c r="E82" s="21">
        <v>4</v>
      </c>
      <c r="F82" s="20">
        <v>0.13333333333333333</v>
      </c>
    </row>
    <row r="83" spans="2:6" x14ac:dyDescent="0.25">
      <c r="C83" t="s">
        <v>106</v>
      </c>
      <c r="D83" s="19">
        <v>31</v>
      </c>
      <c r="E83" s="21">
        <v>8</v>
      </c>
      <c r="F83" s="20">
        <v>0.25806451612903225</v>
      </c>
    </row>
    <row r="84" spans="2:6" x14ac:dyDescent="0.25">
      <c r="C84" t="s">
        <v>103</v>
      </c>
      <c r="D84" s="19">
        <v>31</v>
      </c>
      <c r="E84" s="21">
        <v>14</v>
      </c>
      <c r="F84" s="20">
        <v>0.45161290322580644</v>
      </c>
    </row>
    <row r="85" spans="2:6" x14ac:dyDescent="0.25">
      <c r="C85" t="s">
        <v>112</v>
      </c>
      <c r="D85" s="19">
        <v>30</v>
      </c>
      <c r="E85" s="21">
        <v>0</v>
      </c>
      <c r="F85" s="20">
        <v>0</v>
      </c>
    </row>
    <row r="86" spans="2:6" x14ac:dyDescent="0.25">
      <c r="C86" t="s">
        <v>111</v>
      </c>
      <c r="D86" s="19">
        <v>31</v>
      </c>
      <c r="E86" s="21">
        <v>0</v>
      </c>
      <c r="F86" s="20">
        <v>0</v>
      </c>
    </row>
    <row r="87" spans="2:6" x14ac:dyDescent="0.25">
      <c r="C87" t="s">
        <v>110</v>
      </c>
      <c r="D87" s="19">
        <v>30</v>
      </c>
      <c r="E87" s="21">
        <v>0</v>
      </c>
      <c r="F87" s="20">
        <v>0</v>
      </c>
    </row>
    <row r="88" spans="2:6" x14ac:dyDescent="0.25">
      <c r="C88" t="s">
        <v>104</v>
      </c>
      <c r="D88" s="19">
        <v>31</v>
      </c>
      <c r="E88" s="21">
        <v>0</v>
      </c>
      <c r="F88" s="20">
        <v>0</v>
      </c>
    </row>
    <row r="89" spans="2:6" x14ac:dyDescent="0.25">
      <c r="B89" t="s">
        <v>27</v>
      </c>
      <c r="C89" t="s">
        <v>91</v>
      </c>
      <c r="D89" s="19">
        <v>31</v>
      </c>
      <c r="E89" s="21">
        <v>0</v>
      </c>
      <c r="F89" s="20">
        <v>0</v>
      </c>
    </row>
    <row r="90" spans="2:6" x14ac:dyDescent="0.25">
      <c r="C90" t="s">
        <v>105</v>
      </c>
      <c r="D90" s="19">
        <v>29</v>
      </c>
      <c r="E90" s="21">
        <v>0</v>
      </c>
      <c r="F90" s="20">
        <v>0</v>
      </c>
    </row>
    <row r="91" spans="2:6" x14ac:dyDescent="0.25">
      <c r="C91" t="s">
        <v>108</v>
      </c>
      <c r="D91" s="19">
        <v>31</v>
      </c>
      <c r="E91" s="21">
        <v>0</v>
      </c>
      <c r="F91" s="20">
        <v>0</v>
      </c>
    </row>
    <row r="92" spans="2:6" x14ac:dyDescent="0.25">
      <c r="C92" t="s">
        <v>102</v>
      </c>
      <c r="D92" s="19">
        <v>30</v>
      </c>
      <c r="E92" s="21">
        <v>0</v>
      </c>
      <c r="F92" s="20">
        <v>0</v>
      </c>
    </row>
    <row r="93" spans="2:6" x14ac:dyDescent="0.25">
      <c r="C93" t="s">
        <v>109</v>
      </c>
      <c r="D93" s="19">
        <v>31</v>
      </c>
      <c r="E93" s="21">
        <v>0</v>
      </c>
      <c r="F93" s="20">
        <v>0</v>
      </c>
    </row>
    <row r="94" spans="2:6" x14ac:dyDescent="0.25">
      <c r="C94" t="s">
        <v>107</v>
      </c>
      <c r="D94" s="19">
        <v>30</v>
      </c>
      <c r="E94" s="21">
        <v>4</v>
      </c>
      <c r="F94" s="20">
        <v>0.13333333333333333</v>
      </c>
    </row>
    <row r="95" spans="2:6" x14ac:dyDescent="0.25">
      <c r="C95" t="s">
        <v>106</v>
      </c>
      <c r="D95" s="19">
        <v>31</v>
      </c>
      <c r="E95" s="21">
        <v>2</v>
      </c>
      <c r="F95" s="20">
        <v>6.4516129032258063E-2</v>
      </c>
    </row>
    <row r="96" spans="2:6" x14ac:dyDescent="0.25">
      <c r="C96" t="s">
        <v>103</v>
      </c>
      <c r="D96" s="19">
        <v>31</v>
      </c>
      <c r="E96" s="21">
        <v>0</v>
      </c>
      <c r="F96" s="20">
        <v>0</v>
      </c>
    </row>
    <row r="97" spans="2:6" x14ac:dyDescent="0.25">
      <c r="C97" t="s">
        <v>112</v>
      </c>
      <c r="D97" s="19">
        <v>30</v>
      </c>
      <c r="E97" s="21">
        <v>0</v>
      </c>
      <c r="F97" s="20">
        <v>0</v>
      </c>
    </row>
    <row r="98" spans="2:6" x14ac:dyDescent="0.25">
      <c r="C98" t="s">
        <v>111</v>
      </c>
      <c r="D98" s="19">
        <v>31</v>
      </c>
      <c r="E98" s="21">
        <v>0</v>
      </c>
      <c r="F98" s="20">
        <v>0</v>
      </c>
    </row>
    <row r="99" spans="2:6" x14ac:dyDescent="0.25">
      <c r="C99" t="s">
        <v>110</v>
      </c>
      <c r="D99" s="19">
        <v>30</v>
      </c>
      <c r="E99" s="21">
        <v>0</v>
      </c>
      <c r="F99" s="20">
        <v>0</v>
      </c>
    </row>
    <row r="100" spans="2:6" x14ac:dyDescent="0.25">
      <c r="C100" t="s">
        <v>104</v>
      </c>
      <c r="D100" s="19">
        <v>31</v>
      </c>
      <c r="E100" s="21">
        <v>0</v>
      </c>
      <c r="F100" s="20">
        <v>0</v>
      </c>
    </row>
    <row r="101" spans="2:6" x14ac:dyDescent="0.25">
      <c r="B101" t="s">
        <v>28</v>
      </c>
      <c r="C101" t="s">
        <v>91</v>
      </c>
      <c r="D101" s="19">
        <v>31</v>
      </c>
      <c r="E101" s="21">
        <v>0</v>
      </c>
      <c r="F101" s="20">
        <v>0</v>
      </c>
    </row>
    <row r="102" spans="2:6" x14ac:dyDescent="0.25">
      <c r="C102" t="s">
        <v>105</v>
      </c>
      <c r="D102" s="19">
        <v>29</v>
      </c>
      <c r="E102" s="21">
        <v>0</v>
      </c>
      <c r="F102" s="20">
        <v>0</v>
      </c>
    </row>
    <row r="103" spans="2:6" x14ac:dyDescent="0.25">
      <c r="C103" t="s">
        <v>108</v>
      </c>
      <c r="D103" s="19">
        <v>31</v>
      </c>
      <c r="E103" s="21">
        <v>0</v>
      </c>
      <c r="F103" s="20">
        <v>0</v>
      </c>
    </row>
    <row r="104" spans="2:6" x14ac:dyDescent="0.25">
      <c r="C104" t="s">
        <v>102</v>
      </c>
      <c r="D104" s="19">
        <v>30</v>
      </c>
      <c r="E104" s="21">
        <v>0</v>
      </c>
      <c r="F104" s="20">
        <v>0</v>
      </c>
    </row>
    <row r="105" spans="2:6" x14ac:dyDescent="0.25">
      <c r="C105" t="s">
        <v>109</v>
      </c>
      <c r="D105" s="19">
        <v>31</v>
      </c>
      <c r="E105" s="21">
        <v>0</v>
      </c>
      <c r="F105" s="20">
        <v>0</v>
      </c>
    </row>
    <row r="106" spans="2:6" x14ac:dyDescent="0.25">
      <c r="C106" t="s">
        <v>107</v>
      </c>
      <c r="D106" s="19">
        <v>30</v>
      </c>
      <c r="E106" s="21">
        <v>0</v>
      </c>
      <c r="F106" s="20">
        <v>0</v>
      </c>
    </row>
    <row r="107" spans="2:6" x14ac:dyDescent="0.25">
      <c r="C107" t="s">
        <v>106</v>
      </c>
      <c r="D107" s="19">
        <v>31</v>
      </c>
      <c r="E107" s="21">
        <v>1</v>
      </c>
      <c r="F107" s="20">
        <v>3.2258064516129031E-2</v>
      </c>
    </row>
    <row r="108" spans="2:6" x14ac:dyDescent="0.25">
      <c r="C108" t="s">
        <v>103</v>
      </c>
      <c r="D108" s="19">
        <v>31</v>
      </c>
      <c r="E108" s="21">
        <v>0</v>
      </c>
      <c r="F108" s="20">
        <v>0</v>
      </c>
    </row>
    <row r="109" spans="2:6" x14ac:dyDescent="0.25">
      <c r="C109" t="s">
        <v>112</v>
      </c>
      <c r="D109" s="19">
        <v>30</v>
      </c>
      <c r="E109" s="21">
        <v>0</v>
      </c>
      <c r="F109" s="20">
        <v>0</v>
      </c>
    </row>
    <row r="110" spans="2:6" x14ac:dyDescent="0.25">
      <c r="C110" t="s">
        <v>111</v>
      </c>
      <c r="D110" s="19">
        <v>31</v>
      </c>
      <c r="E110" s="21">
        <v>0</v>
      </c>
      <c r="F110" s="20">
        <v>0</v>
      </c>
    </row>
    <row r="111" spans="2:6" x14ac:dyDescent="0.25">
      <c r="C111" t="s">
        <v>110</v>
      </c>
      <c r="D111" s="19">
        <v>30</v>
      </c>
      <c r="E111" s="21">
        <v>0</v>
      </c>
      <c r="F111" s="20">
        <v>0</v>
      </c>
    </row>
    <row r="112" spans="2:6" x14ac:dyDescent="0.25">
      <c r="C112" t="s">
        <v>104</v>
      </c>
      <c r="D112" s="19">
        <v>31</v>
      </c>
      <c r="E112" s="21">
        <v>0</v>
      </c>
      <c r="F112" s="20">
        <v>0</v>
      </c>
    </row>
    <row r="113" spans="2:6" x14ac:dyDescent="0.25">
      <c r="B113" t="s">
        <v>31</v>
      </c>
      <c r="C113" t="s">
        <v>91</v>
      </c>
      <c r="D113" s="19">
        <v>31</v>
      </c>
      <c r="E113" s="21">
        <v>0</v>
      </c>
      <c r="F113" s="20">
        <v>0</v>
      </c>
    </row>
    <row r="114" spans="2:6" x14ac:dyDescent="0.25">
      <c r="C114" t="s">
        <v>105</v>
      </c>
      <c r="D114" s="19">
        <v>29</v>
      </c>
      <c r="E114" s="21">
        <v>0</v>
      </c>
      <c r="F114" s="20">
        <v>0</v>
      </c>
    </row>
    <row r="115" spans="2:6" x14ac:dyDescent="0.25">
      <c r="C115" t="s">
        <v>108</v>
      </c>
      <c r="D115" s="19">
        <v>31</v>
      </c>
      <c r="E115" s="21">
        <v>0</v>
      </c>
      <c r="F115" s="20">
        <v>0</v>
      </c>
    </row>
    <row r="116" spans="2:6" x14ac:dyDescent="0.25">
      <c r="C116" t="s">
        <v>102</v>
      </c>
      <c r="D116" s="19">
        <v>30</v>
      </c>
      <c r="E116" s="21">
        <v>0</v>
      </c>
      <c r="F116" s="20">
        <v>0</v>
      </c>
    </row>
    <row r="117" spans="2:6" x14ac:dyDescent="0.25">
      <c r="C117" t="s">
        <v>109</v>
      </c>
      <c r="D117" s="19">
        <v>31</v>
      </c>
      <c r="E117" s="21">
        <v>0</v>
      </c>
      <c r="F117" s="20">
        <v>0</v>
      </c>
    </row>
    <row r="118" spans="2:6" x14ac:dyDescent="0.25">
      <c r="C118" t="s">
        <v>107</v>
      </c>
      <c r="D118" s="19">
        <v>30</v>
      </c>
      <c r="E118" s="21">
        <v>0</v>
      </c>
      <c r="F118" s="20">
        <v>0</v>
      </c>
    </row>
    <row r="119" spans="2:6" x14ac:dyDescent="0.25">
      <c r="C119" t="s">
        <v>106</v>
      </c>
      <c r="D119" s="19">
        <v>31</v>
      </c>
      <c r="E119" s="21">
        <v>0</v>
      </c>
      <c r="F119" s="20">
        <v>0</v>
      </c>
    </row>
    <row r="120" spans="2:6" x14ac:dyDescent="0.25">
      <c r="C120" t="s">
        <v>103</v>
      </c>
      <c r="D120" s="19">
        <v>31</v>
      </c>
      <c r="E120" s="21">
        <v>0</v>
      </c>
      <c r="F120" s="20">
        <v>0</v>
      </c>
    </row>
    <row r="121" spans="2:6" x14ac:dyDescent="0.25">
      <c r="C121" t="s">
        <v>112</v>
      </c>
      <c r="D121" s="19">
        <v>30</v>
      </c>
      <c r="E121" s="21">
        <v>0</v>
      </c>
      <c r="F121" s="20">
        <v>0</v>
      </c>
    </row>
    <row r="122" spans="2:6" x14ac:dyDescent="0.25">
      <c r="C122" t="s">
        <v>111</v>
      </c>
      <c r="D122" s="19">
        <v>31</v>
      </c>
      <c r="E122" s="21">
        <v>0</v>
      </c>
      <c r="F122" s="20">
        <v>0</v>
      </c>
    </row>
    <row r="123" spans="2:6" x14ac:dyDescent="0.25">
      <c r="C123" t="s">
        <v>110</v>
      </c>
      <c r="D123" s="19">
        <v>30</v>
      </c>
      <c r="E123" s="21">
        <v>0</v>
      </c>
      <c r="F123" s="20">
        <v>0</v>
      </c>
    </row>
    <row r="124" spans="2:6" x14ac:dyDescent="0.25">
      <c r="C124" t="s">
        <v>104</v>
      </c>
      <c r="D124" s="19">
        <v>31</v>
      </c>
      <c r="E124" s="21">
        <v>0</v>
      </c>
      <c r="F124" s="20">
        <v>0</v>
      </c>
    </row>
    <row r="125" spans="2:6" x14ac:dyDescent="0.25">
      <c r="B125" t="s">
        <v>30</v>
      </c>
      <c r="C125" t="s">
        <v>91</v>
      </c>
      <c r="D125" s="19">
        <v>31</v>
      </c>
      <c r="E125" s="21">
        <v>0</v>
      </c>
      <c r="F125" s="20">
        <v>0</v>
      </c>
    </row>
    <row r="126" spans="2:6" x14ac:dyDescent="0.25">
      <c r="C126" t="s">
        <v>105</v>
      </c>
      <c r="D126" s="19">
        <v>29</v>
      </c>
      <c r="E126" s="21">
        <v>0</v>
      </c>
      <c r="F126" s="20">
        <v>0</v>
      </c>
    </row>
    <row r="127" spans="2:6" x14ac:dyDescent="0.25">
      <c r="C127" t="s">
        <v>108</v>
      </c>
      <c r="D127" s="19">
        <v>31</v>
      </c>
      <c r="E127" s="21">
        <v>0</v>
      </c>
      <c r="F127" s="20">
        <v>0</v>
      </c>
    </row>
    <row r="128" spans="2:6" x14ac:dyDescent="0.25">
      <c r="C128" t="s">
        <v>102</v>
      </c>
      <c r="D128" s="19">
        <v>30</v>
      </c>
      <c r="E128" s="21">
        <v>0</v>
      </c>
      <c r="F128" s="20">
        <v>0</v>
      </c>
    </row>
    <row r="129" spans="2:6" x14ac:dyDescent="0.25">
      <c r="C129" t="s">
        <v>109</v>
      </c>
      <c r="D129" s="19">
        <v>31</v>
      </c>
      <c r="E129" s="21">
        <v>0</v>
      </c>
      <c r="F129" s="20">
        <v>0</v>
      </c>
    </row>
    <row r="130" spans="2:6" x14ac:dyDescent="0.25">
      <c r="C130" t="s">
        <v>107</v>
      </c>
      <c r="D130" s="19">
        <v>30</v>
      </c>
      <c r="E130" s="21">
        <v>0</v>
      </c>
      <c r="F130" s="20">
        <v>0</v>
      </c>
    </row>
    <row r="131" spans="2:6" x14ac:dyDescent="0.25">
      <c r="C131" t="s">
        <v>106</v>
      </c>
      <c r="D131" s="19">
        <v>31</v>
      </c>
      <c r="E131" s="21">
        <v>0</v>
      </c>
      <c r="F131" s="20">
        <v>0</v>
      </c>
    </row>
    <row r="132" spans="2:6" x14ac:dyDescent="0.25">
      <c r="C132" t="s">
        <v>103</v>
      </c>
      <c r="D132" s="19">
        <v>31</v>
      </c>
      <c r="E132" s="21">
        <v>0</v>
      </c>
      <c r="F132" s="20">
        <v>0</v>
      </c>
    </row>
    <row r="133" spans="2:6" x14ac:dyDescent="0.25">
      <c r="C133" t="s">
        <v>112</v>
      </c>
      <c r="D133" s="19">
        <v>30</v>
      </c>
      <c r="E133" s="21">
        <v>0</v>
      </c>
      <c r="F133" s="20">
        <v>0</v>
      </c>
    </row>
    <row r="134" spans="2:6" x14ac:dyDescent="0.25">
      <c r="C134" t="s">
        <v>111</v>
      </c>
      <c r="D134" s="19">
        <v>31</v>
      </c>
      <c r="E134" s="21">
        <v>0</v>
      </c>
      <c r="F134" s="20">
        <v>0</v>
      </c>
    </row>
    <row r="135" spans="2:6" x14ac:dyDescent="0.25">
      <c r="C135" t="s">
        <v>110</v>
      </c>
      <c r="D135" s="19">
        <v>30</v>
      </c>
      <c r="E135" s="21">
        <v>0</v>
      </c>
      <c r="F135" s="20">
        <v>0</v>
      </c>
    </row>
    <row r="136" spans="2:6" x14ac:dyDescent="0.25">
      <c r="C136" t="s">
        <v>104</v>
      </c>
      <c r="D136" s="19">
        <v>31</v>
      </c>
      <c r="E136" s="21">
        <v>0</v>
      </c>
      <c r="F136" s="20">
        <v>0</v>
      </c>
    </row>
    <row r="137" spans="2:6" x14ac:dyDescent="0.25">
      <c r="B137" t="s">
        <v>29</v>
      </c>
      <c r="C137" t="s">
        <v>91</v>
      </c>
      <c r="D137" s="19">
        <v>31</v>
      </c>
      <c r="E137" s="21">
        <v>0</v>
      </c>
      <c r="F137" s="20">
        <v>0</v>
      </c>
    </row>
    <row r="138" spans="2:6" x14ac:dyDescent="0.25">
      <c r="C138" t="s">
        <v>105</v>
      </c>
      <c r="D138" s="19">
        <v>29</v>
      </c>
      <c r="E138" s="21">
        <v>0</v>
      </c>
      <c r="F138" s="20">
        <v>0</v>
      </c>
    </row>
    <row r="139" spans="2:6" x14ac:dyDescent="0.25">
      <c r="C139" t="s">
        <v>108</v>
      </c>
      <c r="D139" s="19">
        <v>31</v>
      </c>
      <c r="E139" s="21">
        <v>0</v>
      </c>
      <c r="F139" s="20">
        <v>0</v>
      </c>
    </row>
    <row r="140" spans="2:6" x14ac:dyDescent="0.25">
      <c r="C140" t="s">
        <v>102</v>
      </c>
      <c r="D140" s="19">
        <v>30</v>
      </c>
      <c r="E140" s="21">
        <v>0</v>
      </c>
      <c r="F140" s="20">
        <v>0</v>
      </c>
    </row>
    <row r="141" spans="2:6" x14ac:dyDescent="0.25">
      <c r="C141" t="s">
        <v>109</v>
      </c>
      <c r="D141" s="19">
        <v>31</v>
      </c>
      <c r="E141" s="21">
        <v>0</v>
      </c>
      <c r="F141" s="20">
        <v>0</v>
      </c>
    </row>
    <row r="142" spans="2:6" x14ac:dyDescent="0.25">
      <c r="C142" t="s">
        <v>107</v>
      </c>
      <c r="D142" s="19">
        <v>30</v>
      </c>
      <c r="E142" s="21">
        <v>0</v>
      </c>
      <c r="F142" s="20">
        <v>0</v>
      </c>
    </row>
    <row r="143" spans="2:6" x14ac:dyDescent="0.25">
      <c r="C143" t="s">
        <v>106</v>
      </c>
      <c r="D143" s="19">
        <v>31</v>
      </c>
      <c r="E143" s="21">
        <v>0</v>
      </c>
      <c r="F143" s="20">
        <v>0</v>
      </c>
    </row>
    <row r="144" spans="2:6" x14ac:dyDescent="0.25">
      <c r="C144" t="s">
        <v>103</v>
      </c>
      <c r="D144" s="19">
        <v>31</v>
      </c>
      <c r="E144" s="21">
        <v>0</v>
      </c>
      <c r="F144" s="20">
        <v>0</v>
      </c>
    </row>
    <row r="145" spans="2:6" x14ac:dyDescent="0.25">
      <c r="C145" t="s">
        <v>112</v>
      </c>
      <c r="D145" s="19">
        <v>30</v>
      </c>
      <c r="E145" s="21">
        <v>0</v>
      </c>
      <c r="F145" s="20">
        <v>0</v>
      </c>
    </row>
    <row r="146" spans="2:6" x14ac:dyDescent="0.25">
      <c r="C146" t="s">
        <v>111</v>
      </c>
      <c r="D146" s="19">
        <v>31</v>
      </c>
      <c r="E146" s="21">
        <v>0</v>
      </c>
      <c r="F146" s="20">
        <v>0</v>
      </c>
    </row>
    <row r="147" spans="2:6" x14ac:dyDescent="0.25">
      <c r="C147" t="s">
        <v>110</v>
      </c>
      <c r="D147" s="19">
        <v>30</v>
      </c>
      <c r="E147" s="21">
        <v>0</v>
      </c>
      <c r="F147" s="20">
        <v>0</v>
      </c>
    </row>
    <row r="148" spans="2:6" x14ac:dyDescent="0.25">
      <c r="C148" t="s">
        <v>104</v>
      </c>
      <c r="D148" s="19">
        <v>31</v>
      </c>
      <c r="E148" s="21">
        <v>0</v>
      </c>
      <c r="F148" s="20">
        <v>0</v>
      </c>
    </row>
    <row r="149" spans="2:6" x14ac:dyDescent="0.25">
      <c r="B149" t="s">
        <v>44</v>
      </c>
      <c r="C149" t="s">
        <v>91</v>
      </c>
      <c r="D149" s="19">
        <v>31</v>
      </c>
      <c r="E149" s="21">
        <v>0</v>
      </c>
      <c r="F149" s="20">
        <v>0</v>
      </c>
    </row>
    <row r="150" spans="2:6" x14ac:dyDescent="0.25">
      <c r="C150" t="s">
        <v>105</v>
      </c>
      <c r="D150" s="19">
        <v>29</v>
      </c>
      <c r="E150" s="21">
        <v>0</v>
      </c>
      <c r="F150" s="20">
        <v>0</v>
      </c>
    </row>
    <row r="151" spans="2:6" x14ac:dyDescent="0.25">
      <c r="C151" t="s">
        <v>108</v>
      </c>
      <c r="D151" s="19">
        <v>31</v>
      </c>
      <c r="E151" s="21">
        <v>0</v>
      </c>
      <c r="F151" s="20">
        <v>0</v>
      </c>
    </row>
    <row r="152" spans="2:6" x14ac:dyDescent="0.25">
      <c r="C152" t="s">
        <v>102</v>
      </c>
      <c r="D152" s="19">
        <v>30</v>
      </c>
      <c r="E152" s="21">
        <v>0</v>
      </c>
      <c r="F152" s="20">
        <v>0</v>
      </c>
    </row>
    <row r="153" spans="2:6" x14ac:dyDescent="0.25">
      <c r="C153" t="s">
        <v>109</v>
      </c>
      <c r="D153" s="19">
        <v>31</v>
      </c>
      <c r="E153" s="21">
        <v>0</v>
      </c>
      <c r="F153" s="20">
        <v>0</v>
      </c>
    </row>
    <row r="154" spans="2:6" x14ac:dyDescent="0.25">
      <c r="C154" t="s">
        <v>107</v>
      </c>
      <c r="D154" s="19">
        <v>30</v>
      </c>
      <c r="E154" s="21">
        <v>0</v>
      </c>
      <c r="F154" s="20">
        <v>0</v>
      </c>
    </row>
    <row r="155" spans="2:6" x14ac:dyDescent="0.25">
      <c r="C155" t="s">
        <v>106</v>
      </c>
      <c r="D155" s="19">
        <v>31</v>
      </c>
      <c r="E155" s="21">
        <v>0</v>
      </c>
      <c r="F155" s="20">
        <v>0</v>
      </c>
    </row>
    <row r="156" spans="2:6" x14ac:dyDescent="0.25">
      <c r="C156" t="s">
        <v>103</v>
      </c>
      <c r="D156" s="19">
        <v>31</v>
      </c>
      <c r="E156" s="21">
        <v>0</v>
      </c>
      <c r="F156" s="20">
        <v>0</v>
      </c>
    </row>
    <row r="157" spans="2:6" x14ac:dyDescent="0.25">
      <c r="C157" t="s">
        <v>112</v>
      </c>
      <c r="D157" s="19">
        <v>30</v>
      </c>
      <c r="E157" s="21">
        <v>0</v>
      </c>
      <c r="F157" s="20">
        <v>0</v>
      </c>
    </row>
    <row r="158" spans="2:6" x14ac:dyDescent="0.25">
      <c r="C158" t="s">
        <v>111</v>
      </c>
      <c r="D158" s="19">
        <v>31</v>
      </c>
      <c r="E158" s="21">
        <v>0</v>
      </c>
      <c r="F158" s="20">
        <v>0</v>
      </c>
    </row>
    <row r="159" spans="2:6" x14ac:dyDescent="0.25">
      <c r="C159" t="s">
        <v>110</v>
      </c>
      <c r="D159" s="19">
        <v>30</v>
      </c>
      <c r="E159" s="21">
        <v>0</v>
      </c>
      <c r="F159" s="20">
        <v>0</v>
      </c>
    </row>
    <row r="160" spans="2:6" x14ac:dyDescent="0.25">
      <c r="C160" t="s">
        <v>104</v>
      </c>
      <c r="D160" s="19">
        <v>31</v>
      </c>
      <c r="E160" s="21">
        <v>0</v>
      </c>
      <c r="F160" s="20">
        <v>0</v>
      </c>
    </row>
    <row r="161" spans="2:6" x14ac:dyDescent="0.25">
      <c r="B161" t="s">
        <v>32</v>
      </c>
      <c r="C161" t="s">
        <v>91</v>
      </c>
      <c r="D161" s="19">
        <v>31</v>
      </c>
      <c r="E161" s="21">
        <v>0</v>
      </c>
      <c r="F161" s="20">
        <v>0</v>
      </c>
    </row>
    <row r="162" spans="2:6" x14ac:dyDescent="0.25">
      <c r="C162" t="s">
        <v>105</v>
      </c>
      <c r="D162" s="19">
        <v>29</v>
      </c>
      <c r="E162" s="21">
        <v>0</v>
      </c>
      <c r="F162" s="20">
        <v>0</v>
      </c>
    </row>
    <row r="163" spans="2:6" x14ac:dyDescent="0.25">
      <c r="C163" t="s">
        <v>108</v>
      </c>
      <c r="D163" s="19">
        <v>31</v>
      </c>
      <c r="E163" s="21">
        <v>0</v>
      </c>
      <c r="F163" s="20">
        <v>0</v>
      </c>
    </row>
    <row r="164" spans="2:6" x14ac:dyDescent="0.25">
      <c r="C164" t="s">
        <v>102</v>
      </c>
      <c r="D164" s="19">
        <v>30</v>
      </c>
      <c r="E164" s="21">
        <v>0</v>
      </c>
      <c r="F164" s="20">
        <v>0</v>
      </c>
    </row>
    <row r="165" spans="2:6" x14ac:dyDescent="0.25">
      <c r="C165" t="s">
        <v>109</v>
      </c>
      <c r="D165" s="19">
        <v>31</v>
      </c>
      <c r="E165" s="21">
        <v>0</v>
      </c>
      <c r="F165" s="20">
        <v>0</v>
      </c>
    </row>
    <row r="166" spans="2:6" x14ac:dyDescent="0.25">
      <c r="C166" t="s">
        <v>107</v>
      </c>
      <c r="D166" s="19">
        <v>30</v>
      </c>
      <c r="E166" s="21">
        <v>4</v>
      </c>
      <c r="F166" s="20">
        <v>0.13333333333333333</v>
      </c>
    </row>
    <row r="167" spans="2:6" x14ac:dyDescent="0.25">
      <c r="C167" t="s">
        <v>106</v>
      </c>
      <c r="D167" s="19">
        <v>31</v>
      </c>
      <c r="E167" s="21">
        <v>2</v>
      </c>
      <c r="F167" s="20">
        <v>6.4516129032258063E-2</v>
      </c>
    </row>
    <row r="168" spans="2:6" x14ac:dyDescent="0.25">
      <c r="C168" t="s">
        <v>103</v>
      </c>
      <c r="D168" s="19">
        <v>31</v>
      </c>
      <c r="E168" s="21">
        <v>0</v>
      </c>
      <c r="F168" s="20">
        <v>0</v>
      </c>
    </row>
    <row r="169" spans="2:6" x14ac:dyDescent="0.25">
      <c r="C169" t="s">
        <v>112</v>
      </c>
      <c r="D169" s="19">
        <v>30</v>
      </c>
      <c r="E169" s="21">
        <v>0</v>
      </c>
      <c r="F169" s="20">
        <v>0</v>
      </c>
    </row>
    <row r="170" spans="2:6" x14ac:dyDescent="0.25">
      <c r="C170" t="s">
        <v>111</v>
      </c>
      <c r="D170" s="19">
        <v>31</v>
      </c>
      <c r="E170" s="21">
        <v>0</v>
      </c>
      <c r="F170" s="20">
        <v>0</v>
      </c>
    </row>
    <row r="171" spans="2:6" x14ac:dyDescent="0.25">
      <c r="C171" t="s">
        <v>110</v>
      </c>
      <c r="D171" s="19">
        <v>30</v>
      </c>
      <c r="E171" s="21">
        <v>0</v>
      </c>
      <c r="F171" s="20">
        <v>0</v>
      </c>
    </row>
    <row r="172" spans="2:6" x14ac:dyDescent="0.25">
      <c r="C172" t="s">
        <v>104</v>
      </c>
      <c r="D172" s="19">
        <v>31</v>
      </c>
      <c r="E172" s="21">
        <v>0</v>
      </c>
      <c r="F172" s="20">
        <v>0</v>
      </c>
    </row>
    <row r="173" spans="2:6" x14ac:dyDescent="0.25">
      <c r="B173" t="s">
        <v>33</v>
      </c>
      <c r="C173" t="s">
        <v>91</v>
      </c>
      <c r="D173" s="19">
        <v>31</v>
      </c>
      <c r="E173" s="21">
        <v>0</v>
      </c>
      <c r="F173" s="20">
        <v>0</v>
      </c>
    </row>
    <row r="174" spans="2:6" x14ac:dyDescent="0.25">
      <c r="C174" t="s">
        <v>105</v>
      </c>
      <c r="D174" s="19">
        <v>29</v>
      </c>
      <c r="E174" s="21">
        <v>0</v>
      </c>
      <c r="F174" s="20">
        <v>0</v>
      </c>
    </row>
    <row r="175" spans="2:6" x14ac:dyDescent="0.25">
      <c r="C175" t="s">
        <v>108</v>
      </c>
      <c r="D175" s="19">
        <v>31</v>
      </c>
      <c r="E175" s="21">
        <v>0</v>
      </c>
      <c r="F175" s="20">
        <v>0</v>
      </c>
    </row>
    <row r="176" spans="2:6" x14ac:dyDescent="0.25">
      <c r="C176" t="s">
        <v>102</v>
      </c>
      <c r="D176" s="19">
        <v>30</v>
      </c>
      <c r="E176" s="21">
        <v>0</v>
      </c>
      <c r="F176" s="20">
        <v>0</v>
      </c>
    </row>
    <row r="177" spans="2:6" x14ac:dyDescent="0.25">
      <c r="C177" t="s">
        <v>109</v>
      </c>
      <c r="D177" s="19">
        <v>31</v>
      </c>
      <c r="E177" s="21">
        <v>0</v>
      </c>
      <c r="F177" s="20">
        <v>0</v>
      </c>
    </row>
    <row r="178" spans="2:6" x14ac:dyDescent="0.25">
      <c r="C178" t="s">
        <v>107</v>
      </c>
      <c r="D178" s="19">
        <v>30</v>
      </c>
      <c r="E178" s="21">
        <v>6</v>
      </c>
      <c r="F178" s="20">
        <v>0.2</v>
      </c>
    </row>
    <row r="179" spans="2:6" x14ac:dyDescent="0.25">
      <c r="C179" t="s">
        <v>106</v>
      </c>
      <c r="D179" s="19">
        <v>31</v>
      </c>
      <c r="E179" s="21">
        <v>0</v>
      </c>
      <c r="F179" s="20">
        <v>0</v>
      </c>
    </row>
    <row r="180" spans="2:6" x14ac:dyDescent="0.25">
      <c r="C180" t="s">
        <v>103</v>
      </c>
      <c r="D180" s="19">
        <v>31</v>
      </c>
      <c r="E180" s="21">
        <v>0</v>
      </c>
      <c r="F180" s="20">
        <v>0</v>
      </c>
    </row>
    <row r="181" spans="2:6" x14ac:dyDescent="0.25">
      <c r="C181" t="s">
        <v>112</v>
      </c>
      <c r="D181" s="19">
        <v>30</v>
      </c>
      <c r="E181" s="21">
        <v>0</v>
      </c>
      <c r="F181" s="20">
        <v>0</v>
      </c>
    </row>
    <row r="182" spans="2:6" x14ac:dyDescent="0.25">
      <c r="C182" t="s">
        <v>111</v>
      </c>
      <c r="D182" s="19">
        <v>31</v>
      </c>
      <c r="E182" s="21">
        <v>0</v>
      </c>
      <c r="F182" s="20">
        <v>0</v>
      </c>
    </row>
    <row r="183" spans="2:6" x14ac:dyDescent="0.25">
      <c r="C183" t="s">
        <v>110</v>
      </c>
      <c r="D183" s="19">
        <v>30</v>
      </c>
      <c r="E183" s="21">
        <v>0</v>
      </c>
      <c r="F183" s="20">
        <v>0</v>
      </c>
    </row>
    <row r="184" spans="2:6" x14ac:dyDescent="0.25">
      <c r="C184" t="s">
        <v>104</v>
      </c>
      <c r="D184" s="19">
        <v>31</v>
      </c>
      <c r="E184" s="21">
        <v>0</v>
      </c>
      <c r="F184" s="20">
        <v>0</v>
      </c>
    </row>
    <row r="185" spans="2:6" x14ac:dyDescent="0.25">
      <c r="B185" t="s">
        <v>34</v>
      </c>
      <c r="C185" t="s">
        <v>91</v>
      </c>
      <c r="D185" s="19">
        <v>31</v>
      </c>
      <c r="E185" s="21">
        <v>0</v>
      </c>
      <c r="F185" s="20">
        <v>0</v>
      </c>
    </row>
    <row r="186" spans="2:6" x14ac:dyDescent="0.25">
      <c r="C186" t="s">
        <v>105</v>
      </c>
      <c r="D186" s="19">
        <v>29</v>
      </c>
      <c r="E186" s="21">
        <v>0</v>
      </c>
      <c r="F186" s="20">
        <v>0</v>
      </c>
    </row>
    <row r="187" spans="2:6" x14ac:dyDescent="0.25">
      <c r="C187" t="s">
        <v>108</v>
      </c>
      <c r="D187" s="19">
        <v>31</v>
      </c>
      <c r="E187" s="21">
        <v>0</v>
      </c>
      <c r="F187" s="20">
        <v>0</v>
      </c>
    </row>
    <row r="188" spans="2:6" x14ac:dyDescent="0.25">
      <c r="C188" t="s">
        <v>102</v>
      </c>
      <c r="D188" s="19">
        <v>30</v>
      </c>
      <c r="E188" s="21">
        <v>0</v>
      </c>
      <c r="F188" s="20">
        <v>0</v>
      </c>
    </row>
    <row r="189" spans="2:6" x14ac:dyDescent="0.25">
      <c r="C189" t="s">
        <v>109</v>
      </c>
      <c r="D189" s="19">
        <v>31</v>
      </c>
      <c r="E189" s="21">
        <v>0</v>
      </c>
      <c r="F189" s="20">
        <v>0</v>
      </c>
    </row>
    <row r="190" spans="2:6" x14ac:dyDescent="0.25">
      <c r="C190" t="s">
        <v>107</v>
      </c>
      <c r="D190" s="19">
        <v>30</v>
      </c>
      <c r="E190" s="21">
        <v>11</v>
      </c>
      <c r="F190" s="20">
        <v>0.36666666666666664</v>
      </c>
    </row>
    <row r="191" spans="2:6" x14ac:dyDescent="0.25">
      <c r="C191" t="s">
        <v>106</v>
      </c>
      <c r="D191" s="19">
        <v>31</v>
      </c>
      <c r="E191" s="21">
        <v>1</v>
      </c>
      <c r="F191" s="20">
        <v>3.2258064516129031E-2</v>
      </c>
    </row>
    <row r="192" spans="2:6" x14ac:dyDescent="0.25">
      <c r="C192" t="s">
        <v>103</v>
      </c>
      <c r="D192" s="19">
        <v>31</v>
      </c>
      <c r="E192" s="21">
        <v>0</v>
      </c>
      <c r="F192" s="20">
        <v>0</v>
      </c>
    </row>
    <row r="193" spans="2:6" x14ac:dyDescent="0.25">
      <c r="C193" t="s">
        <v>112</v>
      </c>
      <c r="D193" s="19">
        <v>30</v>
      </c>
      <c r="E193" s="21">
        <v>0</v>
      </c>
      <c r="F193" s="20">
        <v>0</v>
      </c>
    </row>
    <row r="194" spans="2:6" x14ac:dyDescent="0.25">
      <c r="C194" t="s">
        <v>111</v>
      </c>
      <c r="D194" s="19">
        <v>31</v>
      </c>
      <c r="E194" s="21">
        <v>0</v>
      </c>
      <c r="F194" s="20">
        <v>0</v>
      </c>
    </row>
    <row r="195" spans="2:6" x14ac:dyDescent="0.25">
      <c r="C195" t="s">
        <v>110</v>
      </c>
      <c r="D195" s="19">
        <v>30</v>
      </c>
      <c r="E195" s="21">
        <v>0</v>
      </c>
      <c r="F195" s="20">
        <v>0</v>
      </c>
    </row>
    <row r="196" spans="2:6" x14ac:dyDescent="0.25">
      <c r="C196" t="s">
        <v>104</v>
      </c>
      <c r="D196" s="19">
        <v>31</v>
      </c>
      <c r="E196" s="21">
        <v>0</v>
      </c>
      <c r="F196" s="20">
        <v>0</v>
      </c>
    </row>
    <row r="197" spans="2:6" x14ac:dyDescent="0.25">
      <c r="B197" t="s">
        <v>35</v>
      </c>
      <c r="C197" t="s">
        <v>91</v>
      </c>
      <c r="D197" s="19">
        <v>31</v>
      </c>
      <c r="E197" s="21">
        <v>0</v>
      </c>
      <c r="F197" s="20">
        <v>0</v>
      </c>
    </row>
    <row r="198" spans="2:6" x14ac:dyDescent="0.25">
      <c r="C198" t="s">
        <v>105</v>
      </c>
      <c r="D198" s="19">
        <v>29</v>
      </c>
      <c r="E198" s="21">
        <v>0</v>
      </c>
      <c r="F198" s="20">
        <v>0</v>
      </c>
    </row>
    <row r="199" spans="2:6" x14ac:dyDescent="0.25">
      <c r="C199" t="s">
        <v>108</v>
      </c>
      <c r="D199" s="19">
        <v>31</v>
      </c>
      <c r="E199" s="21">
        <v>0</v>
      </c>
      <c r="F199" s="20">
        <v>0</v>
      </c>
    </row>
    <row r="200" spans="2:6" x14ac:dyDescent="0.25">
      <c r="C200" t="s">
        <v>102</v>
      </c>
      <c r="D200" s="19">
        <v>30</v>
      </c>
      <c r="E200" s="21">
        <v>0</v>
      </c>
      <c r="F200" s="20">
        <v>0</v>
      </c>
    </row>
    <row r="201" spans="2:6" x14ac:dyDescent="0.25">
      <c r="C201" t="s">
        <v>109</v>
      </c>
      <c r="D201" s="19">
        <v>31</v>
      </c>
      <c r="E201" s="21">
        <v>0</v>
      </c>
      <c r="F201" s="20">
        <v>0</v>
      </c>
    </row>
    <row r="202" spans="2:6" x14ac:dyDescent="0.25">
      <c r="C202" t="s">
        <v>107</v>
      </c>
      <c r="D202" s="19">
        <v>30</v>
      </c>
      <c r="E202" s="21">
        <v>12</v>
      </c>
      <c r="F202" s="20">
        <v>0.4</v>
      </c>
    </row>
    <row r="203" spans="2:6" x14ac:dyDescent="0.25">
      <c r="C203" t="s">
        <v>106</v>
      </c>
      <c r="D203" s="19">
        <v>31</v>
      </c>
      <c r="E203" s="21">
        <v>4</v>
      </c>
      <c r="F203" s="20">
        <v>0.12903225806451613</v>
      </c>
    </row>
    <row r="204" spans="2:6" x14ac:dyDescent="0.25">
      <c r="C204" t="s">
        <v>103</v>
      </c>
      <c r="D204" s="19">
        <v>31</v>
      </c>
      <c r="E204" s="21">
        <v>0</v>
      </c>
      <c r="F204" s="20">
        <v>0</v>
      </c>
    </row>
    <row r="205" spans="2:6" x14ac:dyDescent="0.25">
      <c r="C205" t="s">
        <v>112</v>
      </c>
      <c r="D205" s="19">
        <v>30</v>
      </c>
      <c r="E205" s="21">
        <v>0</v>
      </c>
      <c r="F205" s="20">
        <v>0</v>
      </c>
    </row>
    <row r="206" spans="2:6" x14ac:dyDescent="0.25">
      <c r="C206" t="s">
        <v>111</v>
      </c>
      <c r="D206" s="19">
        <v>31</v>
      </c>
      <c r="E206" s="21">
        <v>0</v>
      </c>
      <c r="F206" s="20">
        <v>0</v>
      </c>
    </row>
    <row r="207" spans="2:6" x14ac:dyDescent="0.25">
      <c r="C207" t="s">
        <v>110</v>
      </c>
      <c r="D207" s="19">
        <v>30</v>
      </c>
      <c r="E207" s="21">
        <v>0</v>
      </c>
      <c r="F207" s="20">
        <v>0</v>
      </c>
    </row>
    <row r="208" spans="2:6" x14ac:dyDescent="0.25">
      <c r="C208" t="s">
        <v>104</v>
      </c>
      <c r="D208" s="19">
        <v>31</v>
      </c>
      <c r="E208" s="21">
        <v>0</v>
      </c>
      <c r="F208" s="20">
        <v>0</v>
      </c>
    </row>
    <row r="209" spans="2:6" x14ac:dyDescent="0.25">
      <c r="B209" t="s">
        <v>45</v>
      </c>
      <c r="C209" t="s">
        <v>91</v>
      </c>
      <c r="D209" s="19">
        <v>31</v>
      </c>
      <c r="E209" s="21">
        <v>0</v>
      </c>
      <c r="F209" s="20">
        <v>0</v>
      </c>
    </row>
    <row r="210" spans="2:6" x14ac:dyDescent="0.25">
      <c r="C210" t="s">
        <v>105</v>
      </c>
      <c r="D210" s="19">
        <v>29</v>
      </c>
      <c r="E210" s="21">
        <v>0</v>
      </c>
      <c r="F210" s="20">
        <v>0</v>
      </c>
    </row>
    <row r="211" spans="2:6" x14ac:dyDescent="0.25">
      <c r="C211" t="s">
        <v>108</v>
      </c>
      <c r="D211" s="19">
        <v>31</v>
      </c>
      <c r="E211" s="21">
        <v>0</v>
      </c>
      <c r="F211" s="20">
        <v>0</v>
      </c>
    </row>
    <row r="212" spans="2:6" x14ac:dyDescent="0.25">
      <c r="C212" t="s">
        <v>102</v>
      </c>
      <c r="D212" s="19">
        <v>30</v>
      </c>
      <c r="E212" s="21">
        <v>0</v>
      </c>
      <c r="F212" s="20">
        <v>0</v>
      </c>
    </row>
    <row r="213" spans="2:6" x14ac:dyDescent="0.25">
      <c r="C213" t="s">
        <v>109</v>
      </c>
      <c r="D213" s="19">
        <v>31</v>
      </c>
      <c r="E213" s="21">
        <v>0</v>
      </c>
      <c r="F213" s="20">
        <v>0</v>
      </c>
    </row>
    <row r="214" spans="2:6" x14ac:dyDescent="0.25">
      <c r="C214" t="s">
        <v>107</v>
      </c>
      <c r="D214" s="19">
        <v>30</v>
      </c>
      <c r="E214" s="21">
        <v>4</v>
      </c>
      <c r="F214" s="20">
        <v>0.13333333333333333</v>
      </c>
    </row>
    <row r="215" spans="2:6" x14ac:dyDescent="0.25">
      <c r="C215" t="s">
        <v>106</v>
      </c>
      <c r="D215" s="19">
        <v>31</v>
      </c>
      <c r="E215" s="21">
        <v>13</v>
      </c>
      <c r="F215" s="20">
        <v>0.41935483870967744</v>
      </c>
    </row>
    <row r="216" spans="2:6" x14ac:dyDescent="0.25">
      <c r="C216" t="s">
        <v>103</v>
      </c>
      <c r="D216" s="19">
        <v>31</v>
      </c>
      <c r="E216" s="21">
        <v>16</v>
      </c>
      <c r="F216" s="20">
        <v>0.5161290322580645</v>
      </c>
    </row>
    <row r="217" spans="2:6" x14ac:dyDescent="0.25">
      <c r="C217" t="s">
        <v>112</v>
      </c>
      <c r="D217" s="19">
        <v>30</v>
      </c>
      <c r="E217" s="21">
        <v>0</v>
      </c>
      <c r="F217" s="20">
        <v>0</v>
      </c>
    </row>
    <row r="218" spans="2:6" x14ac:dyDescent="0.25">
      <c r="C218" t="s">
        <v>111</v>
      </c>
      <c r="D218" s="19">
        <v>31</v>
      </c>
      <c r="E218" s="21">
        <v>0</v>
      </c>
      <c r="F218" s="20">
        <v>0</v>
      </c>
    </row>
    <row r="219" spans="2:6" x14ac:dyDescent="0.25">
      <c r="C219" t="s">
        <v>110</v>
      </c>
      <c r="D219" s="19">
        <v>30</v>
      </c>
      <c r="E219" s="21">
        <v>0</v>
      </c>
      <c r="F219" s="20">
        <v>0</v>
      </c>
    </row>
    <row r="220" spans="2:6" x14ac:dyDescent="0.25">
      <c r="C220" t="s">
        <v>104</v>
      </c>
      <c r="D220" s="19">
        <v>31</v>
      </c>
      <c r="E220" s="21">
        <v>0</v>
      </c>
      <c r="F220" s="20">
        <v>0</v>
      </c>
    </row>
    <row r="221" spans="2:6" x14ac:dyDescent="0.25">
      <c r="B221" t="s">
        <v>36</v>
      </c>
      <c r="C221" t="s">
        <v>91</v>
      </c>
      <c r="D221" s="19">
        <v>31</v>
      </c>
      <c r="E221" s="21">
        <v>0</v>
      </c>
      <c r="F221" s="20">
        <v>0</v>
      </c>
    </row>
    <row r="222" spans="2:6" x14ac:dyDescent="0.25">
      <c r="C222" t="s">
        <v>105</v>
      </c>
      <c r="D222" s="19">
        <v>29</v>
      </c>
      <c r="E222" s="21">
        <v>0</v>
      </c>
      <c r="F222" s="20">
        <v>0</v>
      </c>
    </row>
    <row r="223" spans="2:6" x14ac:dyDescent="0.25">
      <c r="C223" t="s">
        <v>108</v>
      </c>
      <c r="D223" s="19">
        <v>31</v>
      </c>
      <c r="E223" s="21">
        <v>0</v>
      </c>
      <c r="F223" s="20">
        <v>0</v>
      </c>
    </row>
    <row r="224" spans="2:6" x14ac:dyDescent="0.25">
      <c r="C224" t="s">
        <v>102</v>
      </c>
      <c r="D224" s="19">
        <v>30</v>
      </c>
      <c r="E224" s="21">
        <v>0</v>
      </c>
      <c r="F224" s="20">
        <v>0</v>
      </c>
    </row>
    <row r="225" spans="2:6" x14ac:dyDescent="0.25">
      <c r="C225" t="s">
        <v>109</v>
      </c>
      <c r="D225" s="19">
        <v>31</v>
      </c>
      <c r="E225" s="21">
        <v>0</v>
      </c>
      <c r="F225" s="20">
        <v>0</v>
      </c>
    </row>
    <row r="226" spans="2:6" x14ac:dyDescent="0.25">
      <c r="C226" t="s">
        <v>107</v>
      </c>
      <c r="D226" s="19">
        <v>30</v>
      </c>
      <c r="E226" s="21">
        <v>1</v>
      </c>
      <c r="F226" s="20">
        <v>3.3333333333333333E-2</v>
      </c>
    </row>
    <row r="227" spans="2:6" x14ac:dyDescent="0.25">
      <c r="C227" t="s">
        <v>106</v>
      </c>
      <c r="D227" s="19">
        <v>31</v>
      </c>
      <c r="E227" s="21">
        <v>0</v>
      </c>
      <c r="F227" s="20">
        <v>0</v>
      </c>
    </row>
    <row r="228" spans="2:6" x14ac:dyDescent="0.25">
      <c r="C228" t="s">
        <v>103</v>
      </c>
      <c r="D228" s="19">
        <v>31</v>
      </c>
      <c r="E228" s="21">
        <v>0</v>
      </c>
      <c r="F228" s="20">
        <v>0</v>
      </c>
    </row>
    <row r="229" spans="2:6" x14ac:dyDescent="0.25">
      <c r="C229" t="s">
        <v>112</v>
      </c>
      <c r="D229" s="19">
        <v>30</v>
      </c>
      <c r="E229" s="21">
        <v>0</v>
      </c>
      <c r="F229" s="20">
        <v>0</v>
      </c>
    </row>
    <row r="230" spans="2:6" x14ac:dyDescent="0.25">
      <c r="C230" t="s">
        <v>111</v>
      </c>
      <c r="D230" s="19">
        <v>31</v>
      </c>
      <c r="E230" s="21">
        <v>0</v>
      </c>
      <c r="F230" s="20">
        <v>0</v>
      </c>
    </row>
    <row r="231" spans="2:6" x14ac:dyDescent="0.25">
      <c r="C231" t="s">
        <v>110</v>
      </c>
      <c r="D231" s="19">
        <v>30</v>
      </c>
      <c r="E231" s="21">
        <v>0</v>
      </c>
      <c r="F231" s="20">
        <v>0</v>
      </c>
    </row>
    <row r="232" spans="2:6" x14ac:dyDescent="0.25">
      <c r="C232" t="s">
        <v>104</v>
      </c>
      <c r="D232" s="19">
        <v>31</v>
      </c>
      <c r="E232" s="21">
        <v>0</v>
      </c>
      <c r="F232" s="20">
        <v>0</v>
      </c>
    </row>
    <row r="233" spans="2:6" x14ac:dyDescent="0.25">
      <c r="B233" t="s">
        <v>37</v>
      </c>
      <c r="C233" t="s">
        <v>91</v>
      </c>
      <c r="D233" s="19">
        <v>31</v>
      </c>
      <c r="E233" s="21">
        <v>0</v>
      </c>
      <c r="F233" s="20">
        <v>0</v>
      </c>
    </row>
    <row r="234" spans="2:6" x14ac:dyDescent="0.25">
      <c r="C234" t="s">
        <v>105</v>
      </c>
      <c r="D234" s="19">
        <v>29</v>
      </c>
      <c r="E234" s="21">
        <v>0</v>
      </c>
      <c r="F234" s="20">
        <v>0</v>
      </c>
    </row>
    <row r="235" spans="2:6" x14ac:dyDescent="0.25">
      <c r="C235" t="s">
        <v>108</v>
      </c>
      <c r="D235" s="19">
        <v>31</v>
      </c>
      <c r="E235" s="21">
        <v>0</v>
      </c>
      <c r="F235" s="20">
        <v>0</v>
      </c>
    </row>
    <row r="236" spans="2:6" x14ac:dyDescent="0.25">
      <c r="C236" t="s">
        <v>102</v>
      </c>
      <c r="D236" s="19">
        <v>30</v>
      </c>
      <c r="E236" s="21">
        <v>0</v>
      </c>
      <c r="F236" s="20">
        <v>0</v>
      </c>
    </row>
    <row r="237" spans="2:6" x14ac:dyDescent="0.25">
      <c r="C237" t="s">
        <v>109</v>
      </c>
      <c r="D237" s="19">
        <v>31</v>
      </c>
      <c r="E237" s="21">
        <v>0</v>
      </c>
      <c r="F237" s="20">
        <v>0</v>
      </c>
    </row>
    <row r="238" spans="2:6" x14ac:dyDescent="0.25">
      <c r="C238" t="s">
        <v>107</v>
      </c>
      <c r="D238" s="19">
        <v>30</v>
      </c>
      <c r="E238" s="21">
        <v>0</v>
      </c>
      <c r="F238" s="20">
        <v>0</v>
      </c>
    </row>
    <row r="239" spans="2:6" x14ac:dyDescent="0.25">
      <c r="C239" t="s">
        <v>106</v>
      </c>
      <c r="D239" s="19">
        <v>31</v>
      </c>
      <c r="E239" s="21">
        <v>0</v>
      </c>
      <c r="F239" s="20">
        <v>0</v>
      </c>
    </row>
    <row r="240" spans="2:6" x14ac:dyDescent="0.25">
      <c r="C240" t="s">
        <v>103</v>
      </c>
      <c r="D240" s="19">
        <v>31</v>
      </c>
      <c r="E240" s="21">
        <v>0</v>
      </c>
      <c r="F240" s="20">
        <v>0</v>
      </c>
    </row>
    <row r="241" spans="2:6" x14ac:dyDescent="0.25">
      <c r="C241" t="s">
        <v>112</v>
      </c>
      <c r="D241" s="19">
        <v>30</v>
      </c>
      <c r="E241" s="21">
        <v>0</v>
      </c>
      <c r="F241" s="20">
        <v>0</v>
      </c>
    </row>
    <row r="242" spans="2:6" x14ac:dyDescent="0.25">
      <c r="C242" t="s">
        <v>111</v>
      </c>
      <c r="D242" s="19">
        <v>31</v>
      </c>
      <c r="E242" s="21">
        <v>0</v>
      </c>
      <c r="F242" s="20">
        <v>0</v>
      </c>
    </row>
    <row r="243" spans="2:6" x14ac:dyDescent="0.25">
      <c r="C243" t="s">
        <v>110</v>
      </c>
      <c r="D243" s="19">
        <v>30</v>
      </c>
      <c r="E243" s="21">
        <v>0</v>
      </c>
      <c r="F243" s="20">
        <v>0</v>
      </c>
    </row>
    <row r="244" spans="2:6" x14ac:dyDescent="0.25">
      <c r="C244" t="s">
        <v>104</v>
      </c>
      <c r="D244" s="19">
        <v>31</v>
      </c>
      <c r="E244" s="21">
        <v>0</v>
      </c>
      <c r="F244" s="20">
        <v>0</v>
      </c>
    </row>
    <row r="245" spans="2:6" x14ac:dyDescent="0.25">
      <c r="B245" t="s">
        <v>46</v>
      </c>
      <c r="C245" t="s">
        <v>91</v>
      </c>
      <c r="D245" s="19">
        <v>31</v>
      </c>
      <c r="E245" s="21">
        <v>0</v>
      </c>
      <c r="F245" s="20">
        <v>0</v>
      </c>
    </row>
    <row r="246" spans="2:6" x14ac:dyDescent="0.25">
      <c r="C246" t="s">
        <v>105</v>
      </c>
      <c r="D246" s="19">
        <v>29</v>
      </c>
      <c r="E246" s="21">
        <v>0</v>
      </c>
      <c r="F246" s="20">
        <v>0</v>
      </c>
    </row>
    <row r="247" spans="2:6" x14ac:dyDescent="0.25">
      <c r="C247" t="s">
        <v>108</v>
      </c>
      <c r="D247" s="19">
        <v>31</v>
      </c>
      <c r="E247" s="21">
        <v>0</v>
      </c>
      <c r="F247" s="20">
        <v>0</v>
      </c>
    </row>
    <row r="248" spans="2:6" x14ac:dyDescent="0.25">
      <c r="C248" t="s">
        <v>102</v>
      </c>
      <c r="D248" s="19">
        <v>30</v>
      </c>
      <c r="E248" s="21">
        <v>0</v>
      </c>
      <c r="F248" s="20">
        <v>0</v>
      </c>
    </row>
    <row r="249" spans="2:6" x14ac:dyDescent="0.25">
      <c r="C249" t="s">
        <v>109</v>
      </c>
      <c r="D249" s="19">
        <v>31</v>
      </c>
      <c r="E249" s="21">
        <v>0</v>
      </c>
      <c r="F249" s="20">
        <v>0</v>
      </c>
    </row>
    <row r="250" spans="2:6" x14ac:dyDescent="0.25">
      <c r="C250" t="s">
        <v>107</v>
      </c>
      <c r="D250" s="19">
        <v>30</v>
      </c>
      <c r="E250" s="21">
        <v>0</v>
      </c>
      <c r="F250" s="20">
        <v>0</v>
      </c>
    </row>
    <row r="251" spans="2:6" x14ac:dyDescent="0.25">
      <c r="C251" t="s">
        <v>106</v>
      </c>
      <c r="D251" s="19">
        <v>31</v>
      </c>
      <c r="E251" s="21">
        <v>0</v>
      </c>
      <c r="F251" s="20">
        <v>0</v>
      </c>
    </row>
    <row r="252" spans="2:6" x14ac:dyDescent="0.25">
      <c r="C252" t="s">
        <v>103</v>
      </c>
      <c r="D252" s="19">
        <v>31</v>
      </c>
      <c r="E252" s="21">
        <v>0</v>
      </c>
      <c r="F252" s="20">
        <v>0</v>
      </c>
    </row>
    <row r="253" spans="2:6" x14ac:dyDescent="0.25">
      <c r="C253" t="s">
        <v>112</v>
      </c>
      <c r="D253" s="19">
        <v>30</v>
      </c>
      <c r="E253" s="21">
        <v>0</v>
      </c>
      <c r="F253" s="20">
        <v>0</v>
      </c>
    </row>
    <row r="254" spans="2:6" x14ac:dyDescent="0.25">
      <c r="C254" t="s">
        <v>111</v>
      </c>
      <c r="D254" s="19">
        <v>31</v>
      </c>
      <c r="E254" s="21">
        <v>0</v>
      </c>
      <c r="F254" s="20">
        <v>0</v>
      </c>
    </row>
    <row r="255" spans="2:6" x14ac:dyDescent="0.25">
      <c r="C255" t="s">
        <v>110</v>
      </c>
      <c r="D255" s="19">
        <v>30</v>
      </c>
      <c r="E255" s="21">
        <v>0</v>
      </c>
      <c r="F255" s="20">
        <v>0</v>
      </c>
    </row>
    <row r="256" spans="2:6" x14ac:dyDescent="0.25">
      <c r="C256" t="s">
        <v>104</v>
      </c>
      <c r="D256" s="19">
        <v>31</v>
      </c>
      <c r="E256" s="21">
        <v>0</v>
      </c>
      <c r="F256" s="20">
        <v>0</v>
      </c>
    </row>
    <row r="257" spans="2:6" x14ac:dyDescent="0.25">
      <c r="B257" t="s">
        <v>47</v>
      </c>
      <c r="C257" t="s">
        <v>91</v>
      </c>
      <c r="D257" s="19">
        <v>31</v>
      </c>
      <c r="E257" s="21">
        <v>0</v>
      </c>
      <c r="F257" s="20">
        <v>0</v>
      </c>
    </row>
    <row r="258" spans="2:6" x14ac:dyDescent="0.25">
      <c r="C258" t="s">
        <v>105</v>
      </c>
      <c r="D258" s="19">
        <v>29</v>
      </c>
      <c r="E258" s="21">
        <v>0</v>
      </c>
      <c r="F258" s="20">
        <v>0</v>
      </c>
    </row>
    <row r="259" spans="2:6" x14ac:dyDescent="0.25">
      <c r="C259" t="s">
        <v>108</v>
      </c>
      <c r="D259" s="19">
        <v>31</v>
      </c>
      <c r="E259" s="21">
        <v>0</v>
      </c>
      <c r="F259" s="20">
        <v>0</v>
      </c>
    </row>
    <row r="260" spans="2:6" x14ac:dyDescent="0.25">
      <c r="C260" t="s">
        <v>102</v>
      </c>
      <c r="D260" s="19">
        <v>30</v>
      </c>
      <c r="E260" s="21">
        <v>0</v>
      </c>
      <c r="F260" s="20">
        <v>0</v>
      </c>
    </row>
    <row r="261" spans="2:6" x14ac:dyDescent="0.25">
      <c r="C261" t="s">
        <v>109</v>
      </c>
      <c r="D261" s="19">
        <v>31</v>
      </c>
      <c r="E261" s="21">
        <v>0</v>
      </c>
      <c r="F261" s="20">
        <v>0</v>
      </c>
    </row>
    <row r="262" spans="2:6" x14ac:dyDescent="0.25">
      <c r="C262" t="s">
        <v>107</v>
      </c>
      <c r="D262" s="19">
        <v>30</v>
      </c>
      <c r="E262" s="21">
        <v>0</v>
      </c>
      <c r="F262" s="20">
        <v>0</v>
      </c>
    </row>
    <row r="263" spans="2:6" x14ac:dyDescent="0.25">
      <c r="C263" t="s">
        <v>106</v>
      </c>
      <c r="D263" s="19">
        <v>31</v>
      </c>
      <c r="E263" s="21">
        <v>0</v>
      </c>
      <c r="F263" s="20">
        <v>0</v>
      </c>
    </row>
    <row r="264" spans="2:6" x14ac:dyDescent="0.25">
      <c r="C264" t="s">
        <v>103</v>
      </c>
      <c r="D264" s="19">
        <v>31</v>
      </c>
      <c r="E264" s="21">
        <v>0</v>
      </c>
      <c r="F264" s="20">
        <v>0</v>
      </c>
    </row>
    <row r="265" spans="2:6" x14ac:dyDescent="0.25">
      <c r="C265" t="s">
        <v>112</v>
      </c>
      <c r="D265" s="19">
        <v>30</v>
      </c>
      <c r="E265" s="21">
        <v>0</v>
      </c>
      <c r="F265" s="20">
        <v>0</v>
      </c>
    </row>
    <row r="266" spans="2:6" x14ac:dyDescent="0.25">
      <c r="C266" t="s">
        <v>111</v>
      </c>
      <c r="D266" s="19">
        <v>31</v>
      </c>
      <c r="E266" s="21">
        <v>0</v>
      </c>
      <c r="F266" s="20">
        <v>0</v>
      </c>
    </row>
    <row r="267" spans="2:6" x14ac:dyDescent="0.25">
      <c r="C267" t="s">
        <v>110</v>
      </c>
      <c r="D267" s="19">
        <v>30</v>
      </c>
      <c r="E267" s="21">
        <v>0</v>
      </c>
      <c r="F267" s="20">
        <v>0</v>
      </c>
    </row>
    <row r="268" spans="2:6" x14ac:dyDescent="0.25">
      <c r="C268" t="s">
        <v>104</v>
      </c>
      <c r="D268" s="19">
        <v>31</v>
      </c>
      <c r="E268" s="21">
        <v>0</v>
      </c>
      <c r="F268" s="20">
        <v>0</v>
      </c>
    </row>
    <row r="269" spans="2:6" x14ac:dyDescent="0.25">
      <c r="B269" t="s">
        <v>38</v>
      </c>
      <c r="C269" t="s">
        <v>91</v>
      </c>
      <c r="D269" s="19">
        <v>31</v>
      </c>
      <c r="E269" s="21">
        <v>0</v>
      </c>
      <c r="F269" s="20">
        <v>0</v>
      </c>
    </row>
    <row r="270" spans="2:6" x14ac:dyDescent="0.25">
      <c r="C270" t="s">
        <v>105</v>
      </c>
      <c r="D270" s="19">
        <v>29</v>
      </c>
      <c r="E270" s="21">
        <v>0</v>
      </c>
      <c r="F270" s="20">
        <v>0</v>
      </c>
    </row>
    <row r="271" spans="2:6" x14ac:dyDescent="0.25">
      <c r="C271" t="s">
        <v>108</v>
      </c>
      <c r="D271" s="19">
        <v>31</v>
      </c>
      <c r="E271" s="21">
        <v>0</v>
      </c>
      <c r="F271" s="20">
        <v>0</v>
      </c>
    </row>
    <row r="272" spans="2:6" x14ac:dyDescent="0.25">
      <c r="C272" t="s">
        <v>102</v>
      </c>
      <c r="D272" s="19">
        <v>30</v>
      </c>
      <c r="E272" s="21">
        <v>0</v>
      </c>
      <c r="F272" s="20">
        <v>0</v>
      </c>
    </row>
    <row r="273" spans="2:6" x14ac:dyDescent="0.25">
      <c r="C273" t="s">
        <v>109</v>
      </c>
      <c r="D273" s="19">
        <v>31</v>
      </c>
      <c r="E273" s="21">
        <v>0</v>
      </c>
      <c r="F273" s="20">
        <v>0</v>
      </c>
    </row>
    <row r="274" spans="2:6" x14ac:dyDescent="0.25">
      <c r="C274" t="s">
        <v>107</v>
      </c>
      <c r="D274" s="19">
        <v>30</v>
      </c>
      <c r="E274" s="21">
        <v>0</v>
      </c>
      <c r="F274" s="20">
        <v>0</v>
      </c>
    </row>
    <row r="275" spans="2:6" x14ac:dyDescent="0.25">
      <c r="C275" t="s">
        <v>106</v>
      </c>
      <c r="D275" s="19">
        <v>31</v>
      </c>
      <c r="E275" s="21">
        <v>0</v>
      </c>
      <c r="F275" s="20">
        <v>0</v>
      </c>
    </row>
    <row r="276" spans="2:6" x14ac:dyDescent="0.25">
      <c r="C276" t="s">
        <v>103</v>
      </c>
      <c r="D276" s="19">
        <v>31</v>
      </c>
      <c r="E276" s="21">
        <v>0</v>
      </c>
      <c r="F276" s="20">
        <v>0</v>
      </c>
    </row>
    <row r="277" spans="2:6" x14ac:dyDescent="0.25">
      <c r="C277" t="s">
        <v>112</v>
      </c>
      <c r="D277" s="19">
        <v>30</v>
      </c>
      <c r="E277" s="21">
        <v>0</v>
      </c>
      <c r="F277" s="20">
        <v>0</v>
      </c>
    </row>
    <row r="278" spans="2:6" x14ac:dyDescent="0.25">
      <c r="C278" t="s">
        <v>111</v>
      </c>
      <c r="D278" s="19">
        <v>31</v>
      </c>
      <c r="E278" s="21">
        <v>0</v>
      </c>
      <c r="F278" s="20">
        <v>0</v>
      </c>
    </row>
    <row r="279" spans="2:6" x14ac:dyDescent="0.25">
      <c r="C279" t="s">
        <v>110</v>
      </c>
      <c r="D279" s="19">
        <v>30</v>
      </c>
      <c r="E279" s="21">
        <v>0</v>
      </c>
      <c r="F279" s="20">
        <v>0</v>
      </c>
    </row>
    <row r="280" spans="2:6" x14ac:dyDescent="0.25">
      <c r="C280" t="s">
        <v>104</v>
      </c>
      <c r="D280" s="19">
        <v>31</v>
      </c>
      <c r="E280" s="21">
        <v>0</v>
      </c>
      <c r="F280" s="20">
        <v>0</v>
      </c>
    </row>
    <row r="281" spans="2:6" x14ac:dyDescent="0.25">
      <c r="B281" t="s">
        <v>39</v>
      </c>
      <c r="C281" t="s">
        <v>91</v>
      </c>
      <c r="D281" s="19">
        <v>31</v>
      </c>
      <c r="E281" s="21">
        <v>0</v>
      </c>
      <c r="F281" s="20">
        <v>0</v>
      </c>
    </row>
    <row r="282" spans="2:6" x14ac:dyDescent="0.25">
      <c r="C282" t="s">
        <v>105</v>
      </c>
      <c r="D282" s="19">
        <v>29</v>
      </c>
      <c r="E282" s="21">
        <v>0</v>
      </c>
      <c r="F282" s="20">
        <v>0</v>
      </c>
    </row>
    <row r="283" spans="2:6" x14ac:dyDescent="0.25">
      <c r="C283" t="s">
        <v>108</v>
      </c>
      <c r="D283" s="19">
        <v>31</v>
      </c>
      <c r="E283" s="21">
        <v>0</v>
      </c>
      <c r="F283" s="20">
        <v>0</v>
      </c>
    </row>
    <row r="284" spans="2:6" x14ac:dyDescent="0.25">
      <c r="C284" t="s">
        <v>102</v>
      </c>
      <c r="D284" s="19">
        <v>30</v>
      </c>
      <c r="E284" s="21">
        <v>0</v>
      </c>
      <c r="F284" s="20">
        <v>0</v>
      </c>
    </row>
    <row r="285" spans="2:6" x14ac:dyDescent="0.25">
      <c r="C285" t="s">
        <v>109</v>
      </c>
      <c r="D285" s="19">
        <v>31</v>
      </c>
      <c r="E285" s="21">
        <v>0</v>
      </c>
      <c r="F285" s="20">
        <v>0</v>
      </c>
    </row>
    <row r="286" spans="2:6" x14ac:dyDescent="0.25">
      <c r="C286" t="s">
        <v>107</v>
      </c>
      <c r="D286" s="19">
        <v>30</v>
      </c>
      <c r="E286" s="21">
        <v>0</v>
      </c>
      <c r="F286" s="20">
        <v>0</v>
      </c>
    </row>
    <row r="287" spans="2:6" x14ac:dyDescent="0.25">
      <c r="C287" t="s">
        <v>106</v>
      </c>
      <c r="D287" s="19">
        <v>31</v>
      </c>
      <c r="E287" s="21">
        <v>0</v>
      </c>
      <c r="F287" s="20">
        <v>0</v>
      </c>
    </row>
    <row r="288" spans="2:6" x14ac:dyDescent="0.25">
      <c r="C288" t="s">
        <v>103</v>
      </c>
      <c r="D288" s="19">
        <v>31</v>
      </c>
      <c r="E288" s="21">
        <v>0</v>
      </c>
      <c r="F288" s="20">
        <v>0</v>
      </c>
    </row>
    <row r="289" spans="2:6" x14ac:dyDescent="0.25">
      <c r="C289" t="s">
        <v>112</v>
      </c>
      <c r="D289" s="19">
        <v>30</v>
      </c>
      <c r="E289" s="21">
        <v>0</v>
      </c>
      <c r="F289" s="20">
        <v>0</v>
      </c>
    </row>
    <row r="290" spans="2:6" x14ac:dyDescent="0.25">
      <c r="C290" t="s">
        <v>111</v>
      </c>
      <c r="D290" s="19">
        <v>31</v>
      </c>
      <c r="E290" s="21">
        <v>0</v>
      </c>
      <c r="F290" s="20">
        <v>0</v>
      </c>
    </row>
    <row r="291" spans="2:6" x14ac:dyDescent="0.25">
      <c r="C291" t="s">
        <v>110</v>
      </c>
      <c r="D291" s="19">
        <v>30</v>
      </c>
      <c r="E291" s="21">
        <v>0</v>
      </c>
      <c r="F291" s="20">
        <v>0</v>
      </c>
    </row>
    <row r="292" spans="2:6" x14ac:dyDescent="0.25">
      <c r="C292" t="s">
        <v>104</v>
      </c>
      <c r="D292" s="19">
        <v>31</v>
      </c>
      <c r="E292" s="21">
        <v>0</v>
      </c>
      <c r="F292" s="20">
        <v>0</v>
      </c>
    </row>
    <row r="293" spans="2:6" x14ac:dyDescent="0.25">
      <c r="B293" t="s">
        <v>101</v>
      </c>
      <c r="D293" s="19">
        <v>8784</v>
      </c>
      <c r="E293" s="21">
        <v>184</v>
      </c>
      <c r="F293" s="20">
        <v>2.0947176684881604E-2</v>
      </c>
    </row>
  </sheetData>
  <sortState xmlns:xlrd2="http://schemas.microsoft.com/office/spreadsheetml/2017/richdata2" ref="B4:C317">
    <sortCondition ref="B6" customList="Jan,Feb,Mar,Apr,May,Jun,Jul,Aug,Sep,Oct,Nov,Dec"/>
  </sortState>
  <pageMargins left="0.7" right="0.7" top="0.75" bottom="0.75" header="0.3" footer="0.3"/>
  <pageSetup orientation="portrait" horizontalDpi="4294967295" verticalDpi="4294967295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0DC6-8F04-43CD-9EFF-95D5EA427ABA}">
  <sheetPr codeName="Sheet4"/>
  <dimension ref="B1:E38"/>
  <sheetViews>
    <sheetView zoomScale="120" zoomScaleNormal="120" workbookViewId="0"/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44" customWidth="1"/>
    <col min="5" max="5" width="68.85546875" customWidth="1"/>
  </cols>
  <sheetData>
    <row r="1" spans="2:4" ht="39" x14ac:dyDescent="0.6">
      <c r="B1" s="1" t="s">
        <v>0</v>
      </c>
    </row>
    <row r="2" spans="2:4" ht="18.75" x14ac:dyDescent="0.3">
      <c r="B2" s="2" t="s">
        <v>50</v>
      </c>
    </row>
    <row r="4" spans="2:4" x14ac:dyDescent="0.25">
      <c r="B4" s="7" t="s">
        <v>51</v>
      </c>
    </row>
    <row r="5" spans="2:4" x14ac:dyDescent="0.25">
      <c r="B5" s="8" t="s">
        <v>52</v>
      </c>
      <c r="C5" s="8" t="s">
        <v>53</v>
      </c>
      <c r="D5" s="8" t="s">
        <v>54</v>
      </c>
    </row>
    <row r="6" spans="2:4" x14ac:dyDescent="0.25">
      <c r="B6" s="6" t="s">
        <v>1</v>
      </c>
      <c r="C6" s="9" t="s">
        <v>57</v>
      </c>
      <c r="D6" s="10" t="s">
        <v>64</v>
      </c>
    </row>
    <row r="7" spans="2:4" x14ac:dyDescent="0.25">
      <c r="B7" s="6" t="s">
        <v>9</v>
      </c>
      <c r="C7" s="9" t="s">
        <v>57</v>
      </c>
      <c r="D7" s="10" t="s">
        <v>58</v>
      </c>
    </row>
    <row r="8" spans="2:4" x14ac:dyDescent="0.25">
      <c r="B8" s="6" t="s">
        <v>10</v>
      </c>
      <c r="C8" s="9" t="s">
        <v>57</v>
      </c>
      <c r="D8" s="10" t="s">
        <v>65</v>
      </c>
    </row>
    <row r="9" spans="2:4" x14ac:dyDescent="0.25">
      <c r="B9" s="6" t="s">
        <v>11</v>
      </c>
      <c r="C9" s="9" t="s">
        <v>57</v>
      </c>
      <c r="D9" s="10" t="s">
        <v>59</v>
      </c>
    </row>
    <row r="10" spans="2:4" x14ac:dyDescent="0.25">
      <c r="B10" s="6" t="s">
        <v>12</v>
      </c>
      <c r="C10" s="9" t="s">
        <v>57</v>
      </c>
      <c r="D10" s="10" t="s">
        <v>60</v>
      </c>
    </row>
    <row r="11" spans="2:4" x14ac:dyDescent="0.25">
      <c r="B11" s="6" t="s">
        <v>13</v>
      </c>
      <c r="C11" s="9" t="s">
        <v>57</v>
      </c>
      <c r="D11" s="10" t="s">
        <v>66</v>
      </c>
    </row>
    <row r="12" spans="2:4" x14ac:dyDescent="0.25">
      <c r="B12" s="6" t="s">
        <v>14</v>
      </c>
      <c r="C12" s="9" t="s">
        <v>57</v>
      </c>
      <c r="D12" s="10" t="s">
        <v>67</v>
      </c>
    </row>
    <row r="13" spans="2:4" x14ac:dyDescent="0.25">
      <c r="B13" s="6" t="s">
        <v>15</v>
      </c>
      <c r="C13" s="9" t="s">
        <v>57</v>
      </c>
      <c r="D13" s="10" t="s">
        <v>68</v>
      </c>
    </row>
    <row r="14" spans="2:4" x14ac:dyDescent="0.25">
      <c r="B14" s="6" t="s">
        <v>16</v>
      </c>
      <c r="C14" s="9" t="s">
        <v>57</v>
      </c>
      <c r="D14" s="10" t="s">
        <v>69</v>
      </c>
    </row>
    <row r="15" spans="2:4" x14ac:dyDescent="0.25">
      <c r="B15" s="6" t="s">
        <v>83</v>
      </c>
      <c r="C15" s="9" t="s">
        <v>63</v>
      </c>
      <c r="D15" s="10" t="s">
        <v>84</v>
      </c>
    </row>
    <row r="16" spans="2:4" x14ac:dyDescent="0.25">
      <c r="B16" s="6" t="s">
        <v>17</v>
      </c>
      <c r="C16" s="9" t="s">
        <v>56</v>
      </c>
      <c r="D16" s="10" t="s">
        <v>70</v>
      </c>
    </row>
    <row r="17" spans="2:4" x14ac:dyDescent="0.25">
      <c r="B17" s="6" t="s">
        <v>18</v>
      </c>
      <c r="C17" s="9" t="s">
        <v>56</v>
      </c>
      <c r="D17" s="10" t="s">
        <v>71</v>
      </c>
    </row>
    <row r="18" spans="2:4" x14ac:dyDescent="0.25">
      <c r="B18" s="6" t="s">
        <v>19</v>
      </c>
      <c r="C18" s="9" t="s">
        <v>56</v>
      </c>
      <c r="D18" s="10" t="s">
        <v>72</v>
      </c>
    </row>
    <row r="19" spans="2:4" x14ac:dyDescent="0.25">
      <c r="B19" s="6" t="s">
        <v>20</v>
      </c>
      <c r="C19" s="9" t="s">
        <v>56</v>
      </c>
      <c r="D19" s="10" t="s">
        <v>73</v>
      </c>
    </row>
    <row r="20" spans="2:4" x14ac:dyDescent="0.25">
      <c r="B20" s="6" t="s">
        <v>21</v>
      </c>
      <c r="C20" s="9" t="s">
        <v>63</v>
      </c>
      <c r="D20" s="10" t="s">
        <v>74</v>
      </c>
    </row>
    <row r="21" spans="2:4" ht="30" x14ac:dyDescent="0.25">
      <c r="B21" s="6" t="s">
        <v>22</v>
      </c>
      <c r="C21" s="9" t="s">
        <v>63</v>
      </c>
      <c r="D21" s="10" t="s">
        <v>75</v>
      </c>
    </row>
    <row r="22" spans="2:4" ht="30" x14ac:dyDescent="0.25">
      <c r="B22" s="6" t="s">
        <v>23</v>
      </c>
      <c r="C22" s="9" t="s">
        <v>57</v>
      </c>
      <c r="D22" s="10" t="s">
        <v>76</v>
      </c>
    </row>
    <row r="24" spans="2:4" x14ac:dyDescent="0.25">
      <c r="B24" s="7" t="s">
        <v>77</v>
      </c>
    </row>
    <row r="25" spans="2:4" x14ac:dyDescent="0.25">
      <c r="B25" s="8" t="s">
        <v>52</v>
      </c>
      <c r="C25" s="8" t="s">
        <v>53</v>
      </c>
      <c r="D25" s="8" t="s">
        <v>54</v>
      </c>
    </row>
    <row r="26" spans="2:4" x14ac:dyDescent="0.25">
      <c r="B26" s="6" t="s">
        <v>1</v>
      </c>
      <c r="C26" s="9" t="s">
        <v>57</v>
      </c>
      <c r="D26" s="10" t="s">
        <v>64</v>
      </c>
    </row>
    <row r="27" spans="2:4" x14ac:dyDescent="0.25">
      <c r="B27" s="6" t="s">
        <v>2</v>
      </c>
      <c r="C27" s="9" t="s">
        <v>55</v>
      </c>
      <c r="D27" s="10" t="s">
        <v>88</v>
      </c>
    </row>
    <row r="28" spans="2:4" x14ac:dyDescent="0.25">
      <c r="B28" s="6" t="s">
        <v>3</v>
      </c>
      <c r="C28" s="9" t="s">
        <v>63</v>
      </c>
      <c r="D28" s="10" t="s">
        <v>87</v>
      </c>
    </row>
    <row r="29" spans="2:4" x14ac:dyDescent="0.25">
      <c r="B29" s="6" t="s">
        <v>4</v>
      </c>
      <c r="C29" s="9" t="s">
        <v>57</v>
      </c>
      <c r="D29" s="10" t="s">
        <v>86</v>
      </c>
    </row>
    <row r="30" spans="2:4" x14ac:dyDescent="0.25">
      <c r="B30" s="6" t="s">
        <v>5</v>
      </c>
      <c r="C30" s="9" t="s">
        <v>57</v>
      </c>
      <c r="D30" s="10" t="s">
        <v>89</v>
      </c>
    </row>
    <row r="31" spans="2:4" x14ac:dyDescent="0.25">
      <c r="B31" s="6" t="s">
        <v>6</v>
      </c>
      <c r="C31" s="9" t="s">
        <v>63</v>
      </c>
      <c r="D31" s="10" t="s">
        <v>78</v>
      </c>
    </row>
    <row r="32" spans="2:4" x14ac:dyDescent="0.25">
      <c r="B32" s="6" t="s">
        <v>7</v>
      </c>
      <c r="C32" s="9" t="s">
        <v>63</v>
      </c>
      <c r="D32" s="10" t="s">
        <v>79</v>
      </c>
    </row>
    <row r="33" spans="2:5" x14ac:dyDescent="0.25">
      <c r="B33" s="6" t="s">
        <v>8</v>
      </c>
      <c r="C33" s="9" t="s">
        <v>62</v>
      </c>
      <c r="D33" s="10" t="s">
        <v>80</v>
      </c>
    </row>
    <row r="35" spans="2:5" x14ac:dyDescent="0.25">
      <c r="B35" s="7" t="s">
        <v>81</v>
      </c>
    </row>
    <row r="36" spans="2:5" x14ac:dyDescent="0.25">
      <c r="B36" s="8" t="s">
        <v>82</v>
      </c>
      <c r="C36" s="8" t="s">
        <v>53</v>
      </c>
      <c r="D36" s="8" t="s">
        <v>54</v>
      </c>
      <c r="E36" s="8" t="s">
        <v>85</v>
      </c>
    </row>
    <row r="37" spans="2:5" x14ac:dyDescent="0.25">
      <c r="B37" s="6" t="s">
        <v>92</v>
      </c>
      <c r="C37" s="9" t="s">
        <v>61</v>
      </c>
      <c r="D37" s="10" t="s">
        <v>94</v>
      </c>
      <c r="E37" s="11" t="s">
        <v>96</v>
      </c>
    </row>
    <row r="38" spans="2:5" x14ac:dyDescent="0.25">
      <c r="B38" s="6" t="s">
        <v>93</v>
      </c>
      <c r="C38" s="9" t="s">
        <v>61</v>
      </c>
      <c r="D38" s="10" t="s">
        <v>95</v>
      </c>
      <c r="E38" s="11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8A658393-9EB2-48CD-87EB-4CCC9C8337B3}">
  <ds:schemaRefs/>
</ds:datastoreItem>
</file>

<file path=customXml/itemProps2.xml><?xml version="1.0" encoding="utf-8"?>
<ds:datastoreItem xmlns:ds="http://schemas.openxmlformats.org/officeDocument/2006/customXml" ds:itemID="{B8F2741E-E769-4277-BAC0-86A6767EBE53}">
  <ds:schemaRefs/>
</ds:datastoreItem>
</file>

<file path=customXml/itemProps3.xml><?xml version="1.0" encoding="utf-8"?>
<ds:datastoreItem xmlns:ds="http://schemas.openxmlformats.org/officeDocument/2006/customXml" ds:itemID="{30423D9E-BC7B-4FCE-88FB-0803D941FDE0}">
  <ds:schemaRefs/>
</ds:datastoreItem>
</file>

<file path=customXml/itemProps4.xml><?xml version="1.0" encoding="utf-8"?>
<ds:datastoreItem xmlns:ds="http://schemas.openxmlformats.org/officeDocument/2006/customXml" ds:itemID="{D4E28108-28E1-4D64-93D3-804576C05BC6}">
  <ds:schemaRefs/>
</ds:datastoreItem>
</file>

<file path=customXml/itemProps5.xml><?xml version="1.0" encoding="utf-8"?>
<ds:datastoreItem xmlns:ds="http://schemas.openxmlformats.org/officeDocument/2006/customXml" ds:itemID="{834C99A0-9F3B-48FF-80C8-7C53AEF93A86}">
  <ds:schemaRefs/>
</ds:datastoreItem>
</file>

<file path=customXml/itemProps6.xml><?xml version="1.0" encoding="utf-8"?>
<ds:datastoreItem xmlns:ds="http://schemas.openxmlformats.org/officeDocument/2006/customXml" ds:itemID="{FE86D6D8-E90E-4892-9B2E-BD652132BB1D}">
  <ds:schemaRefs/>
</ds:datastoreItem>
</file>

<file path=customXml/itemProps7.xml><?xml version="1.0" encoding="utf-8"?>
<ds:datastoreItem xmlns:ds="http://schemas.openxmlformats.org/officeDocument/2006/customXml" ds:itemID="{B294A3EE-FAF0-40AC-9CD0-30C657E16179}">
  <ds:schemaRefs/>
</ds:datastoreItem>
</file>

<file path=customXml/itemProps8.xml><?xml version="1.0" encoding="utf-8"?>
<ds:datastoreItem xmlns:ds="http://schemas.openxmlformats.org/officeDocument/2006/customXml" ds:itemID="{B9188199-4F10-403E-85E3-31215EF838EC}">
  <ds:schemaRefs/>
</ds:datastoreItem>
</file>

<file path=customXml/itemProps9.xml><?xml version="1.0" encoding="utf-8"?>
<ds:datastoreItem xmlns:ds="http://schemas.openxmlformats.org/officeDocument/2006/customXml" ds:itemID="{B573395C-F369-4FC6-8EF0-E4788C9099E3}">
  <ds:schemaRefs/>
</ds:datastoreItem>
</file>

<file path=customXml/itemProps10.xml><?xml version="1.0" encoding="utf-8"?>
<ds:datastoreItem xmlns:ds="http://schemas.openxmlformats.org/officeDocument/2006/customXml" ds:itemID="{52F681F8-D352-4969-85EA-2D8D39CF7A2D}">
  <ds:schemaRefs/>
</ds:datastoreItem>
</file>

<file path=customXml/itemProps11.xml><?xml version="1.0" encoding="utf-8"?>
<ds:datastoreItem xmlns:ds="http://schemas.openxmlformats.org/officeDocument/2006/customXml" ds:itemID="{86BC1FAB-3B8A-496E-A77B-D2FE9F355719}">
  <ds:schemaRefs/>
</ds:datastoreItem>
</file>

<file path=customXml/itemProps12.xml><?xml version="1.0" encoding="utf-8"?>
<ds:datastoreItem xmlns:ds="http://schemas.openxmlformats.org/officeDocument/2006/customXml" ds:itemID="{AECA06D6-80E2-4EAD-824F-5321A1DCD1B6}">
  <ds:schemaRefs/>
</ds:datastoreItem>
</file>

<file path=customXml/itemProps13.xml><?xml version="1.0" encoding="utf-8"?>
<ds:datastoreItem xmlns:ds="http://schemas.openxmlformats.org/officeDocument/2006/customXml" ds:itemID="{3F8858F9-25CA-42E7-9EC1-D99FC5547664}">
  <ds:schemaRefs/>
</ds:datastoreItem>
</file>

<file path=customXml/itemProps14.xml><?xml version="1.0" encoding="utf-8"?>
<ds:datastoreItem xmlns:ds="http://schemas.openxmlformats.org/officeDocument/2006/customXml" ds:itemID="{7E087BD9-78C5-4E69-8A66-F924DB598A7A}">
  <ds:schemaRefs/>
</ds:datastoreItem>
</file>

<file path=customXml/itemProps15.xml><?xml version="1.0" encoding="utf-8"?>
<ds:datastoreItem xmlns:ds="http://schemas.openxmlformats.org/officeDocument/2006/customXml" ds:itemID="{B9C1F91E-D8E9-42DD-A5C9-B7B4D5068E57}">
  <ds:schemaRefs/>
</ds:datastoreItem>
</file>

<file path=customXml/itemProps16.xml><?xml version="1.0" encoding="utf-8"?>
<ds:datastoreItem xmlns:ds="http://schemas.openxmlformats.org/officeDocument/2006/customXml" ds:itemID="{2DF07D28-AB5B-4E38-9574-455AB02965DB}">
  <ds:schemaRefs/>
</ds:datastoreItem>
</file>

<file path=customXml/itemProps17.xml><?xml version="1.0" encoding="utf-8"?>
<ds:datastoreItem xmlns:ds="http://schemas.openxmlformats.org/officeDocument/2006/customXml" ds:itemID="{E6FE58D9-58A7-4B8A-A160-45F14FD0E32B}">
  <ds:schemaRefs/>
</ds:datastoreItem>
</file>

<file path=customXml/itemProps18.xml><?xml version="1.0" encoding="utf-8"?>
<ds:datastoreItem xmlns:ds="http://schemas.openxmlformats.org/officeDocument/2006/customXml" ds:itemID="{EAC2D971-4271-4C39-ACF5-12B947079F3C}">
  <ds:schemaRefs/>
</ds:datastoreItem>
</file>

<file path=customXml/itemProps19.xml><?xml version="1.0" encoding="utf-8"?>
<ds:datastoreItem xmlns:ds="http://schemas.openxmlformats.org/officeDocument/2006/customXml" ds:itemID="{EBDDFE62-C0AF-4AF1-AE5D-BDC1B40ABE72}">
  <ds:schemaRefs/>
</ds:datastoreItem>
</file>

<file path=customXml/itemProps20.xml><?xml version="1.0" encoding="utf-8"?>
<ds:datastoreItem xmlns:ds="http://schemas.openxmlformats.org/officeDocument/2006/customXml" ds:itemID="{54148C12-724E-488C-9465-CFA6335D9CF4}">
  <ds:schemaRefs/>
</ds:datastoreItem>
</file>

<file path=customXml/itemProps21.xml><?xml version="1.0" encoding="utf-8"?>
<ds:datastoreItem xmlns:ds="http://schemas.openxmlformats.org/officeDocument/2006/customXml" ds:itemID="{6AEAFE28-2123-40E9-8282-75DEE275D291}">
  <ds:schemaRefs/>
</ds:datastoreItem>
</file>

<file path=customXml/itemProps22.xml><?xml version="1.0" encoding="utf-8"?>
<ds:datastoreItem xmlns:ds="http://schemas.openxmlformats.org/officeDocument/2006/customXml" ds:itemID="{4F18320B-D273-4FEA-8795-46B537B76BC9}">
  <ds:schemaRefs/>
</ds:datastoreItem>
</file>

<file path=customXml/itemProps23.xml><?xml version="1.0" encoding="utf-8"?>
<ds:datastoreItem xmlns:ds="http://schemas.openxmlformats.org/officeDocument/2006/customXml" ds:itemID="{AC0932C3-103D-4E56-8587-C1A1603FBA6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Documentation</vt:lpstr>
      <vt:lpstr>Vacancy Lookup</vt:lpstr>
      <vt:lpstr>Vacancy Table</vt:lpstr>
      <vt:lpstr>Terms and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11, Review Assignment</dc:title>
  <dc:creator>Your Name</dc:creator>
  <cp:lastModifiedBy>Patrick Carey</cp:lastModifiedBy>
  <dcterms:created xsi:type="dcterms:W3CDTF">2019-02-19T18:48:23Z</dcterms:created>
  <dcterms:modified xsi:type="dcterms:W3CDTF">2021-12-01T08:32:34Z</dcterms:modified>
</cp:coreProperties>
</file>
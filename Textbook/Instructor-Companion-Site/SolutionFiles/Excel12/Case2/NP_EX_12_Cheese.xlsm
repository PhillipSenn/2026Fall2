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s\Projects\Active\Excel2022\Files_Solutions\Excel12\Case2\"/>
    </mc:Choice>
  </mc:AlternateContent>
  <xr:revisionPtr revIDLastSave="0" documentId="13_ncr:1_{7210574B-89AF-4D4A-917B-4C208F725D6D}" xr6:coauthVersionLast="46" xr6:coauthVersionMax="46" xr10:uidLastSave="{00000000-0000-0000-0000-000000000000}"/>
  <workbookProtection lockStructure="1"/>
  <bookViews>
    <workbookView xWindow="-120" yWindow="-120" windowWidth="29040" windowHeight="15840" xr2:uid="{178AB391-91AE-4E9A-AD60-1AFB74168068}"/>
  </bookViews>
  <sheets>
    <sheet name="Documentation" sheetId="4" r:id="rId1"/>
    <sheet name="Driving Form" sheetId="1" r:id="rId2"/>
    <sheet name="Driving Itinerary" sheetId="2" r:id="rId3"/>
    <sheet name="Distance Table" sheetId="3" state="hidden" r:id="rId4"/>
  </sheets>
  <definedNames>
    <definedName name="cities">'Distance Table'!$B$5:$B$31</definedName>
    <definedName name="dist">'Driving Itinerary'!$C$4</definedName>
    <definedName name="distance_table">'Distance Table'!$B$4:$AC$31</definedName>
    <definedName name="travel_end">'Driving Itinerary'!$B$11:$B$11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C6" i="1"/>
  <c r="F6" i="1" l="1"/>
</calcChain>
</file>

<file path=xl/sharedStrings.xml><?xml version="1.0" encoding="utf-8"?>
<sst xmlns="http://schemas.openxmlformats.org/spreadsheetml/2006/main" count="155" uniqueCount="58">
  <si>
    <t>Milwaukee Cheese</t>
  </si>
  <si>
    <t>Leg</t>
  </si>
  <si>
    <t>Starting City</t>
  </si>
  <si>
    <t>Ending City</t>
  </si>
  <si>
    <t>Appleton</t>
  </si>
  <si>
    <t>Beloit</t>
  </si>
  <si>
    <t>Brookfield</t>
  </si>
  <si>
    <t>Delafield</t>
  </si>
  <si>
    <t>Eau Claire</t>
  </si>
  <si>
    <t>Fond du Lac</t>
  </si>
  <si>
    <t>Fort Atkinson</t>
  </si>
  <si>
    <t>Green Bay</t>
  </si>
  <si>
    <t>Kenosha</t>
  </si>
  <si>
    <t>La Crosse</t>
  </si>
  <si>
    <t>Lake Geneva</t>
  </si>
  <si>
    <t>Madison</t>
  </si>
  <si>
    <t>Marshfield</t>
  </si>
  <si>
    <t>Merrill</t>
  </si>
  <si>
    <t>Milwaukee</t>
  </si>
  <si>
    <t>Mineral Point</t>
  </si>
  <si>
    <t>Monroe</t>
  </si>
  <si>
    <t>Neenah</t>
  </si>
  <si>
    <t>Oconomowoc</t>
  </si>
  <si>
    <t>Oshkosh</t>
  </si>
  <si>
    <t>Platteville</t>
  </si>
  <si>
    <t>Portage</t>
  </si>
  <si>
    <t>Racine</t>
  </si>
  <si>
    <t>Sheboygan</t>
  </si>
  <si>
    <t>Sturgeon Bay</t>
  </si>
  <si>
    <t>West Allis</t>
  </si>
  <si>
    <t>Whitewater</t>
  </si>
  <si>
    <t>Distance</t>
  </si>
  <si>
    <t>Total Distance</t>
  </si>
  <si>
    <t>miles</t>
  </si>
  <si>
    <t>Enter Proposed Leg</t>
  </si>
  <si>
    <t>Driving Entry Form</t>
  </si>
  <si>
    <t>Driving Itinerary</t>
  </si>
  <si>
    <t>Travel End</t>
  </si>
  <si>
    <t>Distances between Warehouses</t>
  </si>
  <si>
    <t xml:space="preserve"> </t>
  </si>
  <si>
    <t>Author</t>
  </si>
  <si>
    <t>Date</t>
  </si>
  <si>
    <t>Purpose</t>
  </si>
  <si>
    <t>To enter legs of a driving itinerary for drivers of Milwaukee Cheese products</t>
  </si>
  <si>
    <t>Range Names used in this Application</t>
  </si>
  <si>
    <t>cities</t>
  </si>
  <si>
    <t>dist</t>
  </si>
  <si>
    <t>distance_table</t>
  </si>
  <si>
    <t>travel_end</t>
  </si>
  <si>
    <t>Total distance traveled by all legs in the itinerary</t>
  </si>
  <si>
    <t>Last cell marking the bottom of the itinerary table</t>
  </si>
  <si>
    <t>Distance Table'!$B$4:$AC$31</t>
  </si>
  <si>
    <t>Driving Itinerary'!$C$4</t>
  </si>
  <si>
    <t>Distance Table'!$B$5:$B$31</t>
  </si>
  <si>
    <t>Driving Itinerary'!$B$7:$B$7</t>
  </si>
  <si>
    <t>Table of distances between all 27 cities</t>
  </si>
  <si>
    <t>List of cities with Milwaukee Cheese distribution centers</t>
  </si>
  <si>
    <t>Roberta Olson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</si>
</sst>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/>
      <name val="Calibri"/>
      <family val="2"/>
      <scheme val="minor"/>
    </font>
    <font>
      <sz val="18"/>
      <color theme="9"/>
      <name val="Georgia Pro Black"/>
      <family val="1"/>
    </font>
    <font>
      <sz val="14"/>
      <color theme="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9"/>
      <name val="Georgia Pro Black"/>
      <family val="1"/>
    </font>
    <font>
      <b/>
      <sz val="11"/>
      <color theme="9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double">
        <color theme="9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</cellStyleXfs>
  <cellXfs count="38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5" borderId="0" xfId="0" applyFill="1"/>
    <xf numFmtId="0" fontId="4" fillId="5" borderId="0" xfId="0" applyFont="1" applyFill="1"/>
    <xf numFmtId="0" fontId="5" fillId="5" borderId="0" xfId="0" applyFont="1" applyFill="1"/>
    <xf numFmtId="0" fontId="0" fillId="5" borderId="1" xfId="0" applyFill="1" applyBorder="1"/>
    <xf numFmtId="0" fontId="0" fillId="6" borderId="2" xfId="0" applyFill="1" applyBorder="1"/>
    <xf numFmtId="0" fontId="5" fillId="6" borderId="3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10" xfId="0" applyBorder="1"/>
    <xf numFmtId="0" fontId="1" fillId="4" borderId="10" xfId="3" applyBorder="1"/>
    <xf numFmtId="0" fontId="1" fillId="4" borderId="10" xfId="3" applyBorder="1" applyAlignment="1">
      <alignment horizontal="center"/>
    </xf>
    <xf numFmtId="0" fontId="3" fillId="6" borderId="1" xfId="0" applyFont="1" applyFill="1" applyBorder="1" applyAlignment="1">
      <alignment horizontal="left"/>
    </xf>
    <xf numFmtId="0" fontId="7" fillId="7" borderId="1" xfId="2" applyFont="1" applyFill="1" applyBorder="1"/>
    <xf numFmtId="0" fontId="2" fillId="2" borderId="1" xfId="1" applyBorder="1" applyAlignment="1">
      <alignment horizontal="center"/>
    </xf>
    <xf numFmtId="0" fontId="8" fillId="0" borderId="0" xfId="0" applyFont="1"/>
    <xf numFmtId="0" fontId="1" fillId="4" borderId="1" xfId="3" applyBorder="1" applyAlignment="1">
      <alignment vertical="top"/>
    </xf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6" borderId="1" xfId="0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9" fillId="0" borderId="11" xfId="0" applyFont="1" applyBorder="1" applyAlignment="1">
      <alignment horizontal="center"/>
    </xf>
    <xf numFmtId="0" fontId="10" fillId="0" borderId="12" xfId="0" applyFont="1" applyBorder="1"/>
    <xf numFmtId="0" fontId="6" fillId="0" borderId="12" xfId="0" applyFont="1" applyBorder="1"/>
    <xf numFmtId="0" fontId="0" fillId="0" borderId="1" xfId="0" quotePrefix="1" applyBorder="1" applyAlignment="1">
      <alignment vertical="top" wrapText="1"/>
    </xf>
    <xf numFmtId="14" fontId="6" fillId="0" borderId="1" xfId="0" applyNumberFormat="1" applyFont="1" applyBorder="1" applyAlignment="1">
      <alignment horizontal="left" vertical="top"/>
    </xf>
    <xf numFmtId="0" fontId="0" fillId="5" borderId="1" xfId="0" applyFill="1" applyBorder="1" applyProtection="1">
      <protection locked="0"/>
    </xf>
    <xf numFmtId="0" fontId="9" fillId="0" borderId="0" xfId="0" applyFont="1" applyBorder="1" applyAlignment="1">
      <alignment horizontal="center"/>
    </xf>
    <xf numFmtId="0" fontId="1" fillId="8" borderId="1" xfId="4" applyBorder="1" applyAlignment="1">
      <alignment horizontal="center"/>
    </xf>
  </cellXfs>
  <cellStyles count="5">
    <cellStyle name="20% - Accent6" xfId="2" builtinId="50"/>
    <cellStyle name="40% - Accent6" xfId="3" builtinId="51"/>
    <cellStyle name="60% - Accent1" xfId="4" builtinId="32"/>
    <cellStyle name="Accent4" xfId="1" builtinId="4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34</xdr:row>
          <xdr:rowOff>23813</xdr:rowOff>
        </xdr:from>
        <xdr:to>
          <xdr:col>5</xdr:col>
          <xdr:colOff>28575</xdr:colOff>
          <xdr:row>36</xdr:row>
          <xdr:rowOff>111125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Leg to the Itinerary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EF8D9-3930-4291-923B-C4A8FDB3131D}">
  <sheetPr codeName="Sheet4"/>
  <dimension ref="A1:C11"/>
  <sheetViews>
    <sheetView tabSelected="1" zoomScale="120" zoomScaleNormal="120" workbookViewId="0">
      <selection activeCell="B3" sqref="B3"/>
    </sheetView>
  </sheetViews>
  <sheetFormatPr defaultRowHeight="15" x14ac:dyDescent="0.25"/>
  <cols>
    <col min="1" max="1" width="15.28515625" customWidth="1"/>
    <col min="2" max="2" width="29.85546875" customWidth="1"/>
    <col min="3" max="3" width="29.28515625" customWidth="1"/>
  </cols>
  <sheetData>
    <row r="1" spans="1:3" ht="25.5" x14ac:dyDescent="0.35">
      <c r="A1" s="24" t="s">
        <v>0</v>
      </c>
    </row>
    <row r="3" spans="1:3" x14ac:dyDescent="0.25">
      <c r="A3" s="25" t="s">
        <v>40</v>
      </c>
      <c r="B3" s="26" t="s">
        <v>57</v>
      </c>
    </row>
    <row r="4" spans="1:3" x14ac:dyDescent="0.25">
      <c r="A4" s="25" t="s">
        <v>41</v>
      </c>
      <c r="B4" s="34">
        <v>45717</v>
      </c>
    </row>
    <row r="5" spans="1:3" ht="30" x14ac:dyDescent="0.25">
      <c r="A5" s="25" t="s">
        <v>42</v>
      </c>
      <c r="B5" s="27" t="s">
        <v>43</v>
      </c>
    </row>
    <row r="7" spans="1:3" x14ac:dyDescent="0.25">
      <c r="A7" s="37" t="s">
        <v>44</v>
      </c>
      <c r="B7" s="37"/>
      <c r="C7" s="37"/>
    </row>
    <row r="8" spans="1:3" ht="30" x14ac:dyDescent="0.25">
      <c r="A8" s="28" t="s">
        <v>45</v>
      </c>
      <c r="B8" s="33" t="s">
        <v>53</v>
      </c>
      <c r="C8" s="29" t="s">
        <v>56</v>
      </c>
    </row>
    <row r="9" spans="1:3" ht="30" x14ac:dyDescent="0.25">
      <c r="A9" s="28" t="s">
        <v>46</v>
      </c>
      <c r="B9" s="33" t="s">
        <v>52</v>
      </c>
      <c r="C9" s="29" t="s">
        <v>49</v>
      </c>
    </row>
    <row r="10" spans="1:3" ht="30" x14ac:dyDescent="0.25">
      <c r="A10" s="28" t="s">
        <v>47</v>
      </c>
      <c r="B10" s="33" t="s">
        <v>51</v>
      </c>
      <c r="C10" s="29" t="s">
        <v>55</v>
      </c>
    </row>
    <row r="11" spans="1:3" ht="30" x14ac:dyDescent="0.25">
      <c r="A11" s="28" t="s">
        <v>48</v>
      </c>
      <c r="B11" s="33" t="s">
        <v>54</v>
      </c>
      <c r="C11" s="29" t="s">
        <v>50</v>
      </c>
    </row>
  </sheetData>
  <mergeCells count="1">
    <mergeCell ref="A7:C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C899-7939-436F-B60E-EB909FD586D3}">
  <sheetPr codeName="Sheet1"/>
  <dimension ref="B1:G37"/>
  <sheetViews>
    <sheetView zoomScale="120" zoomScaleNormal="120" workbookViewId="0"/>
  </sheetViews>
  <sheetFormatPr defaultRowHeight="15" x14ac:dyDescent="0.25"/>
  <cols>
    <col min="1" max="1" width="3" style="4" customWidth="1"/>
    <col min="2" max="2" width="3.140625" style="4" customWidth="1"/>
    <col min="3" max="3" width="9.140625" style="4"/>
    <col min="4" max="5" width="16.7109375" style="4" customWidth="1"/>
    <col min="6" max="6" width="11" style="4" customWidth="1"/>
    <col min="7" max="7" width="3.5703125" style="4" customWidth="1"/>
    <col min="8" max="16384" width="9.140625" style="4"/>
  </cols>
  <sheetData>
    <row r="1" spans="2:7" ht="23.25" x14ac:dyDescent="0.35">
      <c r="B1" s="5" t="s">
        <v>0</v>
      </c>
    </row>
    <row r="2" spans="2:7" ht="18.75" x14ac:dyDescent="0.3">
      <c r="B2" s="6" t="s">
        <v>35</v>
      </c>
    </row>
    <row r="3" spans="2:7" ht="19.5" thickBot="1" x14ac:dyDescent="0.35">
      <c r="C3" s="6"/>
    </row>
    <row r="4" spans="2:7" ht="18.75" x14ac:dyDescent="0.3">
      <c r="B4" s="8"/>
      <c r="C4" s="9" t="s">
        <v>34</v>
      </c>
      <c r="D4" s="10"/>
      <c r="E4" s="10"/>
      <c r="F4" s="10"/>
      <c r="G4" s="11"/>
    </row>
    <row r="5" spans="2:7" x14ac:dyDescent="0.25">
      <c r="B5" s="12"/>
      <c r="C5" s="23" t="s">
        <v>1</v>
      </c>
      <c r="D5" s="23" t="s">
        <v>2</v>
      </c>
      <c r="E5" s="23" t="s">
        <v>3</v>
      </c>
      <c r="F5" s="23" t="s">
        <v>31</v>
      </c>
      <c r="G5" s="13"/>
    </row>
    <row r="6" spans="2:7" x14ac:dyDescent="0.25">
      <c r="B6" s="12"/>
      <c r="C6" s="7">
        <f>MAX('Driving Itinerary'!B:B)+1</f>
        <v>5</v>
      </c>
      <c r="D6" s="35" t="s">
        <v>8</v>
      </c>
      <c r="E6" s="35"/>
      <c r="F6" s="7" t="str">
        <f>IFERROR(INDEX(distance_table,MATCH(D6,cities,0)+1,MATCH(E6,cities,0)+1),"")</f>
        <v/>
      </c>
      <c r="G6" s="13"/>
    </row>
    <row r="7" spans="2:7" hidden="1" x14ac:dyDescent="0.25">
      <c r="B7" s="12"/>
      <c r="C7" s="14"/>
      <c r="D7" s="14" t="s">
        <v>4</v>
      </c>
      <c r="E7" s="14" t="s">
        <v>4</v>
      </c>
      <c r="F7" s="14"/>
      <c r="G7" s="13"/>
    </row>
    <row r="8" spans="2:7" hidden="1" x14ac:dyDescent="0.25">
      <c r="B8" s="12"/>
      <c r="C8" s="14"/>
      <c r="D8" s="14" t="s">
        <v>5</v>
      </c>
      <c r="E8" s="14" t="s">
        <v>5</v>
      </c>
      <c r="F8" s="14"/>
      <c r="G8" s="13"/>
    </row>
    <row r="9" spans="2:7" hidden="1" x14ac:dyDescent="0.25">
      <c r="B9" s="12"/>
      <c r="C9" s="14"/>
      <c r="D9" s="14" t="s">
        <v>6</v>
      </c>
      <c r="E9" s="14" t="s">
        <v>6</v>
      </c>
      <c r="F9" s="14"/>
      <c r="G9" s="13"/>
    </row>
    <row r="10" spans="2:7" hidden="1" x14ac:dyDescent="0.25">
      <c r="B10" s="12"/>
      <c r="C10" s="14"/>
      <c r="D10" s="14" t="s">
        <v>7</v>
      </c>
      <c r="E10" s="14" t="s">
        <v>7</v>
      </c>
      <c r="F10" s="14"/>
      <c r="G10" s="13"/>
    </row>
    <row r="11" spans="2:7" hidden="1" x14ac:dyDescent="0.25">
      <c r="B11" s="12"/>
      <c r="C11" s="14"/>
      <c r="D11" s="14" t="s">
        <v>8</v>
      </c>
      <c r="E11" s="14" t="s">
        <v>8</v>
      </c>
      <c r="F11" s="14"/>
      <c r="G11" s="13"/>
    </row>
    <row r="12" spans="2:7" hidden="1" x14ac:dyDescent="0.25">
      <c r="B12" s="12"/>
      <c r="C12" s="14"/>
      <c r="D12" s="14" t="s">
        <v>9</v>
      </c>
      <c r="E12" s="14" t="s">
        <v>9</v>
      </c>
      <c r="F12" s="14"/>
      <c r="G12" s="13"/>
    </row>
    <row r="13" spans="2:7" hidden="1" x14ac:dyDescent="0.25">
      <c r="B13" s="12"/>
      <c r="C13" s="14"/>
      <c r="D13" s="14" t="s">
        <v>10</v>
      </c>
      <c r="E13" s="14" t="s">
        <v>10</v>
      </c>
      <c r="F13" s="14"/>
      <c r="G13" s="13"/>
    </row>
    <row r="14" spans="2:7" hidden="1" x14ac:dyDescent="0.25">
      <c r="B14" s="12"/>
      <c r="C14" s="14"/>
      <c r="D14" s="14" t="s">
        <v>11</v>
      </c>
      <c r="E14" s="14" t="s">
        <v>11</v>
      </c>
      <c r="F14" s="14"/>
      <c r="G14" s="13"/>
    </row>
    <row r="15" spans="2:7" hidden="1" x14ac:dyDescent="0.25">
      <c r="B15" s="12"/>
      <c r="C15" s="14"/>
      <c r="D15" s="14" t="s">
        <v>12</v>
      </c>
      <c r="E15" s="14" t="s">
        <v>12</v>
      </c>
      <c r="F15" s="14"/>
      <c r="G15" s="13"/>
    </row>
    <row r="16" spans="2:7" hidden="1" x14ac:dyDescent="0.25">
      <c r="B16" s="12"/>
      <c r="C16" s="14"/>
      <c r="D16" s="14" t="s">
        <v>13</v>
      </c>
      <c r="E16" s="14" t="s">
        <v>13</v>
      </c>
      <c r="F16" s="14"/>
      <c r="G16" s="13"/>
    </row>
    <row r="17" spans="2:7" hidden="1" x14ac:dyDescent="0.25">
      <c r="B17" s="12"/>
      <c r="C17" s="14"/>
      <c r="D17" s="14" t="s">
        <v>14</v>
      </c>
      <c r="E17" s="14" t="s">
        <v>14</v>
      </c>
      <c r="F17" s="14"/>
      <c r="G17" s="13"/>
    </row>
    <row r="18" spans="2:7" hidden="1" x14ac:dyDescent="0.25">
      <c r="B18" s="12"/>
      <c r="C18" s="14"/>
      <c r="D18" s="14" t="s">
        <v>15</v>
      </c>
      <c r="E18" s="14" t="s">
        <v>15</v>
      </c>
      <c r="F18" s="14"/>
      <c r="G18" s="13"/>
    </row>
    <row r="19" spans="2:7" hidden="1" x14ac:dyDescent="0.25">
      <c r="B19" s="12"/>
      <c r="C19" s="14"/>
      <c r="D19" s="14" t="s">
        <v>16</v>
      </c>
      <c r="E19" s="14" t="s">
        <v>16</v>
      </c>
      <c r="F19" s="14"/>
      <c r="G19" s="13"/>
    </row>
    <row r="20" spans="2:7" hidden="1" x14ac:dyDescent="0.25">
      <c r="B20" s="12"/>
      <c r="C20" s="14"/>
      <c r="D20" s="14" t="s">
        <v>17</v>
      </c>
      <c r="E20" s="14" t="s">
        <v>17</v>
      </c>
      <c r="F20" s="14"/>
      <c r="G20" s="13"/>
    </row>
    <row r="21" spans="2:7" hidden="1" x14ac:dyDescent="0.25">
      <c r="B21" s="12"/>
      <c r="C21" s="14"/>
      <c r="D21" s="14" t="s">
        <v>18</v>
      </c>
      <c r="E21" s="14" t="s">
        <v>18</v>
      </c>
      <c r="F21" s="14"/>
      <c r="G21" s="13"/>
    </row>
    <row r="22" spans="2:7" hidden="1" x14ac:dyDescent="0.25">
      <c r="B22" s="12"/>
      <c r="C22" s="14"/>
      <c r="D22" s="14" t="s">
        <v>19</v>
      </c>
      <c r="E22" s="14" t="s">
        <v>19</v>
      </c>
      <c r="F22" s="14"/>
      <c r="G22" s="13"/>
    </row>
    <row r="23" spans="2:7" hidden="1" x14ac:dyDescent="0.25">
      <c r="B23" s="12"/>
      <c r="C23" s="14"/>
      <c r="D23" s="14" t="s">
        <v>20</v>
      </c>
      <c r="E23" s="14" t="s">
        <v>20</v>
      </c>
      <c r="F23" s="14"/>
      <c r="G23" s="13"/>
    </row>
    <row r="24" spans="2:7" hidden="1" x14ac:dyDescent="0.25">
      <c r="B24" s="12"/>
      <c r="C24" s="14"/>
      <c r="D24" s="14" t="s">
        <v>21</v>
      </c>
      <c r="E24" s="14" t="s">
        <v>21</v>
      </c>
      <c r="F24" s="14"/>
      <c r="G24" s="13"/>
    </row>
    <row r="25" spans="2:7" hidden="1" x14ac:dyDescent="0.25">
      <c r="B25" s="12"/>
      <c r="C25" s="14"/>
      <c r="D25" s="14" t="s">
        <v>22</v>
      </c>
      <c r="E25" s="14" t="s">
        <v>22</v>
      </c>
      <c r="F25" s="14"/>
      <c r="G25" s="13"/>
    </row>
    <row r="26" spans="2:7" hidden="1" x14ac:dyDescent="0.25">
      <c r="B26" s="12"/>
      <c r="C26" s="14"/>
      <c r="D26" s="14" t="s">
        <v>23</v>
      </c>
      <c r="E26" s="14" t="s">
        <v>23</v>
      </c>
      <c r="F26" s="14"/>
      <c r="G26" s="13"/>
    </row>
    <row r="27" spans="2:7" hidden="1" x14ac:dyDescent="0.25">
      <c r="B27" s="12"/>
      <c r="C27" s="14"/>
      <c r="D27" s="14" t="s">
        <v>24</v>
      </c>
      <c r="E27" s="14" t="s">
        <v>24</v>
      </c>
      <c r="F27" s="14"/>
      <c r="G27" s="13"/>
    </row>
    <row r="28" spans="2:7" hidden="1" x14ac:dyDescent="0.25">
      <c r="B28" s="12"/>
      <c r="C28" s="14"/>
      <c r="D28" s="14" t="s">
        <v>25</v>
      </c>
      <c r="E28" s="14" t="s">
        <v>25</v>
      </c>
      <c r="F28" s="14"/>
      <c r="G28" s="13"/>
    </row>
    <row r="29" spans="2:7" hidden="1" x14ac:dyDescent="0.25">
      <c r="B29" s="12"/>
      <c r="C29" s="14"/>
      <c r="D29" s="14" t="s">
        <v>26</v>
      </c>
      <c r="E29" s="14" t="s">
        <v>26</v>
      </c>
      <c r="F29" s="14"/>
      <c r="G29" s="13"/>
    </row>
    <row r="30" spans="2:7" hidden="1" x14ac:dyDescent="0.25">
      <c r="B30" s="12"/>
      <c r="C30" s="14"/>
      <c r="D30" s="14" t="s">
        <v>27</v>
      </c>
      <c r="E30" s="14" t="s">
        <v>27</v>
      </c>
      <c r="F30" s="14"/>
      <c r="G30" s="13"/>
    </row>
    <row r="31" spans="2:7" hidden="1" x14ac:dyDescent="0.25">
      <c r="B31" s="12"/>
      <c r="C31" s="14"/>
      <c r="D31" s="14" t="s">
        <v>28</v>
      </c>
      <c r="E31" s="14" t="s">
        <v>28</v>
      </c>
      <c r="F31" s="14"/>
      <c r="G31" s="13"/>
    </row>
    <row r="32" spans="2:7" hidden="1" x14ac:dyDescent="0.25">
      <c r="B32" s="12"/>
      <c r="C32" s="14"/>
      <c r="D32" s="14" t="s">
        <v>29</v>
      </c>
      <c r="E32" s="14" t="s">
        <v>29</v>
      </c>
      <c r="F32" s="14"/>
      <c r="G32" s="13"/>
    </row>
    <row r="33" spans="2:7" hidden="1" x14ac:dyDescent="0.25">
      <c r="B33" s="12"/>
      <c r="C33" s="14"/>
      <c r="D33" s="14" t="s">
        <v>30</v>
      </c>
      <c r="E33" s="14" t="s">
        <v>30</v>
      </c>
      <c r="F33" s="14"/>
      <c r="G33" s="13"/>
    </row>
    <row r="34" spans="2:7" x14ac:dyDescent="0.25">
      <c r="B34" s="12"/>
      <c r="C34" s="14"/>
      <c r="D34" s="14"/>
      <c r="E34" s="14"/>
      <c r="F34" s="14"/>
      <c r="G34" s="13"/>
    </row>
    <row r="35" spans="2:7" x14ac:dyDescent="0.25">
      <c r="B35" s="12"/>
      <c r="C35" s="14"/>
      <c r="D35" s="14"/>
      <c r="E35" s="14"/>
      <c r="F35" s="14"/>
      <c r="G35" s="13"/>
    </row>
    <row r="36" spans="2:7" x14ac:dyDescent="0.25">
      <c r="B36" s="12"/>
      <c r="C36" s="14"/>
      <c r="D36" s="14"/>
      <c r="E36" s="14"/>
      <c r="F36" s="14"/>
      <c r="G36" s="13"/>
    </row>
    <row r="37" spans="2:7" ht="15.75" thickBot="1" x14ac:dyDescent="0.3">
      <c r="B37" s="15"/>
      <c r="C37" s="16"/>
      <c r="D37" s="16"/>
      <c r="E37" s="16"/>
      <c r="F37" s="16"/>
      <c r="G37" s="17"/>
    </row>
  </sheetData>
  <sheetProtection sheet="1" objects="1" scenarios="1"/>
  <dataValidations count="1">
    <dataValidation type="custom" errorStyle="warning" allowBlank="1" showInputMessage="1" showErrorMessage="1" errorTitle="Invalid Data" error="You either mistyped the city name or adding this leg will result in a total driving distance exceeding 350 miles." sqref="D6:E6" xr:uid="{7D3B1684-B02B-4E2D-8783-29C7F887E780}">
      <formula1>AND(COUNTIF(cities,D6)=1,SUM($F$6,dist)&lt;=350)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Leg">
                <anchor moveWithCells="1" sizeWithCells="1">
                  <from>
                    <xdr:col>3</xdr:col>
                    <xdr:colOff>19050</xdr:colOff>
                    <xdr:row>34</xdr:row>
                    <xdr:rowOff>28575</xdr:rowOff>
                  </from>
                  <to>
                    <xdr:col>5</xdr:col>
                    <xdr:colOff>28575</xdr:colOff>
                    <xdr:row>36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11D27-C071-401E-8377-C31373E3F334}">
  <sheetPr codeName="Sheet2"/>
  <dimension ref="B1:E12"/>
  <sheetViews>
    <sheetView zoomScale="120" zoomScaleNormal="120" workbookViewId="0"/>
  </sheetViews>
  <sheetFormatPr defaultRowHeight="15" x14ac:dyDescent="0.25"/>
  <cols>
    <col min="1" max="1" width="4.140625" customWidth="1"/>
    <col min="2" max="2" width="15.140625" customWidth="1"/>
    <col min="3" max="4" width="16.7109375" customWidth="1"/>
    <col min="5" max="5" width="11.42578125" customWidth="1"/>
  </cols>
  <sheetData>
    <row r="1" spans="2:5" ht="23.25" x14ac:dyDescent="0.35">
      <c r="B1" s="2" t="s">
        <v>0</v>
      </c>
    </row>
    <row r="2" spans="2:5" ht="18.75" x14ac:dyDescent="0.3">
      <c r="B2" s="3" t="s">
        <v>36</v>
      </c>
    </row>
    <row r="4" spans="2:5" x14ac:dyDescent="0.25">
      <c r="B4" s="22" t="s">
        <v>32</v>
      </c>
      <c r="C4" s="21">
        <f>SUM(E:E)</f>
        <v>336</v>
      </c>
      <c r="D4" s="1" t="s">
        <v>33</v>
      </c>
    </row>
    <row r="6" spans="2:5" x14ac:dyDescent="0.25">
      <c r="B6" s="30" t="s">
        <v>1</v>
      </c>
      <c r="C6" s="30" t="s">
        <v>2</v>
      </c>
      <c r="D6" s="30" t="s">
        <v>3</v>
      </c>
      <c r="E6" s="30" t="s">
        <v>31</v>
      </c>
    </row>
    <row r="7" spans="2:5" x14ac:dyDescent="0.25">
      <c r="B7" s="36">
        <v>1</v>
      </c>
      <c r="C7" s="36" t="s">
        <v>18</v>
      </c>
      <c r="D7" s="36" t="s">
        <v>29</v>
      </c>
      <c r="E7" s="36">
        <v>7</v>
      </c>
    </row>
    <row r="8" spans="2:5" x14ac:dyDescent="0.25">
      <c r="B8" s="36">
        <v>2</v>
      </c>
      <c r="C8" s="36" t="s">
        <v>29</v>
      </c>
      <c r="D8" s="36" t="s">
        <v>15</v>
      </c>
      <c r="E8" s="36">
        <v>108</v>
      </c>
    </row>
    <row r="9" spans="2:5" x14ac:dyDescent="0.25">
      <c r="B9" s="36">
        <v>3</v>
      </c>
      <c r="C9" s="36" t="s">
        <v>15</v>
      </c>
      <c r="D9" s="36" t="s">
        <v>13</v>
      </c>
      <c r="E9" s="36">
        <v>134</v>
      </c>
    </row>
    <row r="10" spans="2:5" x14ac:dyDescent="0.25">
      <c r="B10" s="36">
        <v>4</v>
      </c>
      <c r="C10" s="36" t="s">
        <v>13</v>
      </c>
      <c r="D10" s="36" t="s">
        <v>8</v>
      </c>
      <c r="E10" s="36">
        <v>87</v>
      </c>
    </row>
    <row r="11" spans="2:5" ht="15.75" thickBot="1" x14ac:dyDescent="0.3">
      <c r="B11" s="31" t="s">
        <v>37</v>
      </c>
      <c r="C11" s="32"/>
      <c r="D11" s="32"/>
      <c r="E11" s="32"/>
    </row>
    <row r="12" spans="2:5" ht="15.75" thickTop="1" x14ac:dyDescent="0.25"/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90E7A-9641-4565-803B-FC31E948EB53}">
  <sheetPr codeName="Sheet3"/>
  <dimension ref="B1:AC31"/>
  <sheetViews>
    <sheetView topLeftCell="B1" zoomScale="120" zoomScaleNormal="120" workbookViewId="0">
      <selection activeCell="B1" sqref="B1"/>
    </sheetView>
  </sheetViews>
  <sheetFormatPr defaultRowHeight="15" x14ac:dyDescent="0.25"/>
  <cols>
    <col min="1" max="1" width="4.28515625" customWidth="1"/>
    <col min="2" max="2" width="17" customWidth="1"/>
    <col min="3" max="29" width="12.85546875" customWidth="1"/>
  </cols>
  <sheetData>
    <row r="1" spans="2:29" ht="23.25" x14ac:dyDescent="0.35">
      <c r="B1" s="2" t="s">
        <v>0</v>
      </c>
    </row>
    <row r="2" spans="2:29" ht="18.75" x14ac:dyDescent="0.3">
      <c r="B2" s="3" t="s">
        <v>38</v>
      </c>
    </row>
    <row r="4" spans="2:29" x14ac:dyDescent="0.25">
      <c r="B4" s="18" t="s">
        <v>39</v>
      </c>
      <c r="C4" s="20" t="s">
        <v>4</v>
      </c>
      <c r="D4" s="20" t="s">
        <v>5</v>
      </c>
      <c r="E4" s="20" t="s">
        <v>6</v>
      </c>
      <c r="F4" s="20" t="s">
        <v>7</v>
      </c>
      <c r="G4" s="20" t="s">
        <v>8</v>
      </c>
      <c r="H4" s="20" t="s">
        <v>9</v>
      </c>
      <c r="I4" s="20" t="s">
        <v>10</v>
      </c>
      <c r="J4" s="20" t="s">
        <v>11</v>
      </c>
      <c r="K4" s="20" t="s">
        <v>12</v>
      </c>
      <c r="L4" s="20" t="s">
        <v>13</v>
      </c>
      <c r="M4" s="20" t="s">
        <v>14</v>
      </c>
      <c r="N4" s="20" t="s">
        <v>15</v>
      </c>
      <c r="O4" s="20" t="s">
        <v>16</v>
      </c>
      <c r="P4" s="20" t="s">
        <v>17</v>
      </c>
      <c r="Q4" s="20" t="s">
        <v>18</v>
      </c>
      <c r="R4" s="20" t="s">
        <v>19</v>
      </c>
      <c r="S4" s="20" t="s">
        <v>20</v>
      </c>
      <c r="T4" s="20" t="s">
        <v>21</v>
      </c>
      <c r="U4" s="20" t="s">
        <v>22</v>
      </c>
      <c r="V4" s="20" t="s">
        <v>23</v>
      </c>
      <c r="W4" s="20" t="s">
        <v>24</v>
      </c>
      <c r="X4" s="20" t="s">
        <v>25</v>
      </c>
      <c r="Y4" s="20" t="s">
        <v>26</v>
      </c>
      <c r="Z4" s="20" t="s">
        <v>27</v>
      </c>
      <c r="AA4" s="20" t="s">
        <v>28</v>
      </c>
      <c r="AB4" s="20" t="s">
        <v>29</v>
      </c>
      <c r="AC4" s="20" t="s">
        <v>30</v>
      </c>
    </row>
    <row r="5" spans="2:29" x14ac:dyDescent="0.25">
      <c r="B5" s="19" t="s">
        <v>4</v>
      </c>
      <c r="C5" s="18">
        <v>0</v>
      </c>
      <c r="D5" s="18">
        <v>207</v>
      </c>
      <c r="E5" s="18">
        <v>141</v>
      </c>
      <c r="F5" s="18">
        <v>159</v>
      </c>
      <c r="G5" s="18">
        <v>187</v>
      </c>
      <c r="H5" s="18">
        <v>40</v>
      </c>
      <c r="I5" s="18">
        <v>214</v>
      </c>
      <c r="J5" s="18">
        <v>35</v>
      </c>
      <c r="K5" s="18">
        <v>169</v>
      </c>
      <c r="L5" s="18">
        <v>167</v>
      </c>
      <c r="M5" s="18">
        <v>190</v>
      </c>
      <c r="N5" s="18">
        <v>118</v>
      </c>
      <c r="O5" s="18">
        <v>112</v>
      </c>
      <c r="P5" s="18">
        <v>119</v>
      </c>
      <c r="Q5" s="18">
        <v>134</v>
      </c>
      <c r="R5" s="18">
        <v>166</v>
      </c>
      <c r="S5" s="18">
        <v>240</v>
      </c>
      <c r="T5" s="18">
        <v>7</v>
      </c>
      <c r="U5" s="18">
        <v>91</v>
      </c>
      <c r="V5" s="18">
        <v>20</v>
      </c>
      <c r="W5" s="18">
        <v>194</v>
      </c>
      <c r="X5" s="18">
        <v>90</v>
      </c>
      <c r="Y5" s="18">
        <v>159</v>
      </c>
      <c r="Z5" s="18">
        <v>81</v>
      </c>
      <c r="AA5" s="18">
        <v>77</v>
      </c>
      <c r="AB5" s="18">
        <v>141</v>
      </c>
      <c r="AC5" s="18">
        <v>185</v>
      </c>
    </row>
    <row r="6" spans="2:29" x14ac:dyDescent="0.25">
      <c r="B6" s="19" t="s">
        <v>5</v>
      </c>
      <c r="C6" s="18">
        <v>213</v>
      </c>
      <c r="D6" s="18">
        <v>0</v>
      </c>
      <c r="E6" s="18">
        <v>70</v>
      </c>
      <c r="F6" s="18">
        <v>63</v>
      </c>
      <c r="G6" s="18">
        <v>229</v>
      </c>
      <c r="H6" s="18">
        <v>117</v>
      </c>
      <c r="I6" s="18">
        <v>45</v>
      </c>
      <c r="J6" s="18">
        <v>195</v>
      </c>
      <c r="K6" s="18">
        <v>73</v>
      </c>
      <c r="L6" s="18">
        <v>193</v>
      </c>
      <c r="M6" s="18">
        <v>39</v>
      </c>
      <c r="N6" s="18">
        <v>49</v>
      </c>
      <c r="O6" s="18">
        <v>191</v>
      </c>
      <c r="P6" s="18">
        <v>310</v>
      </c>
      <c r="Q6" s="18">
        <v>75</v>
      </c>
      <c r="R6" s="18">
        <v>77</v>
      </c>
      <c r="S6" s="18">
        <v>33</v>
      </c>
      <c r="T6" s="18">
        <v>218</v>
      </c>
      <c r="U6" s="18">
        <v>70</v>
      </c>
      <c r="V6" s="18">
        <v>136</v>
      </c>
      <c r="W6" s="18">
        <v>85</v>
      </c>
      <c r="X6" s="18">
        <v>85</v>
      </c>
      <c r="Y6" s="18">
        <v>80</v>
      </c>
      <c r="Z6" s="18">
        <v>135</v>
      </c>
      <c r="AA6" s="18">
        <v>233</v>
      </c>
      <c r="AB6" s="18">
        <v>68</v>
      </c>
      <c r="AC6" s="18">
        <v>36</v>
      </c>
    </row>
    <row r="7" spans="2:29" x14ac:dyDescent="0.25">
      <c r="B7" s="19" t="s">
        <v>6</v>
      </c>
      <c r="C7" s="18">
        <v>141</v>
      </c>
      <c r="D7" s="18">
        <v>67</v>
      </c>
      <c r="E7" s="18">
        <v>0</v>
      </c>
      <c r="F7" s="18">
        <v>18</v>
      </c>
      <c r="G7" s="18">
        <v>315</v>
      </c>
      <c r="H7" s="18">
        <v>57</v>
      </c>
      <c r="I7" s="18">
        <v>74</v>
      </c>
      <c r="J7" s="18">
        <v>123</v>
      </c>
      <c r="K7" s="18">
        <v>46</v>
      </c>
      <c r="L7" s="18">
        <v>197</v>
      </c>
      <c r="M7" s="18">
        <v>51</v>
      </c>
      <c r="N7" s="18">
        <v>70</v>
      </c>
      <c r="O7" s="18">
        <v>241</v>
      </c>
      <c r="P7" s="18">
        <v>238</v>
      </c>
      <c r="Q7" s="18">
        <v>14</v>
      </c>
      <c r="R7" s="18">
        <v>145</v>
      </c>
      <c r="S7" s="18">
        <v>101</v>
      </c>
      <c r="T7" s="18">
        <v>146</v>
      </c>
      <c r="U7" s="18">
        <v>24</v>
      </c>
      <c r="V7" s="18">
        <v>76</v>
      </c>
      <c r="W7" s="18">
        <v>153</v>
      </c>
      <c r="X7" s="18">
        <v>89</v>
      </c>
      <c r="Y7" s="18">
        <v>36</v>
      </c>
      <c r="Z7" s="18">
        <v>63</v>
      </c>
      <c r="AA7" s="18">
        <v>161</v>
      </c>
      <c r="AB7" s="18">
        <v>10</v>
      </c>
      <c r="AC7" s="18">
        <v>45</v>
      </c>
    </row>
    <row r="8" spans="2:29" x14ac:dyDescent="0.25">
      <c r="B8" s="19" t="s">
        <v>7</v>
      </c>
      <c r="C8" s="18">
        <v>162</v>
      </c>
      <c r="D8" s="18">
        <v>64</v>
      </c>
      <c r="E8" s="18">
        <v>19</v>
      </c>
      <c r="F8" s="18">
        <v>0</v>
      </c>
      <c r="G8" s="18">
        <v>220</v>
      </c>
      <c r="H8" s="18">
        <v>57</v>
      </c>
      <c r="I8" s="18">
        <v>32</v>
      </c>
      <c r="J8" s="18">
        <v>144</v>
      </c>
      <c r="K8" s="18">
        <v>58</v>
      </c>
      <c r="L8" s="18">
        <v>184</v>
      </c>
      <c r="M8" s="18">
        <v>47</v>
      </c>
      <c r="N8" s="18">
        <v>53</v>
      </c>
      <c r="O8" s="18">
        <v>261</v>
      </c>
      <c r="P8" s="18">
        <v>258</v>
      </c>
      <c r="Q8" s="18">
        <v>27</v>
      </c>
      <c r="R8" s="18">
        <v>141</v>
      </c>
      <c r="S8" s="18">
        <v>97</v>
      </c>
      <c r="T8" s="18">
        <v>89</v>
      </c>
      <c r="U8" s="18">
        <v>7</v>
      </c>
      <c r="V8" s="18">
        <v>76</v>
      </c>
      <c r="W8" s="18">
        <v>149</v>
      </c>
      <c r="X8" s="18">
        <v>76</v>
      </c>
      <c r="Y8" s="18">
        <v>51</v>
      </c>
      <c r="Z8" s="18">
        <v>83</v>
      </c>
      <c r="AA8" s="18">
        <v>182</v>
      </c>
      <c r="AB8" s="18">
        <v>23</v>
      </c>
      <c r="AC8" s="18">
        <v>34</v>
      </c>
    </row>
    <row r="9" spans="2:29" x14ac:dyDescent="0.25">
      <c r="B9" s="19" t="s">
        <v>8</v>
      </c>
      <c r="C9" s="18">
        <v>187</v>
      </c>
      <c r="D9" s="18">
        <v>229</v>
      </c>
      <c r="E9" s="18">
        <v>315</v>
      </c>
      <c r="F9" s="18">
        <v>221</v>
      </c>
      <c r="G9" s="18">
        <v>0</v>
      </c>
      <c r="H9" s="18">
        <v>196</v>
      </c>
      <c r="I9" s="18">
        <v>209</v>
      </c>
      <c r="J9" s="18">
        <v>197</v>
      </c>
      <c r="K9" s="18">
        <v>344</v>
      </c>
      <c r="L9" s="18">
        <v>87</v>
      </c>
      <c r="M9" s="18">
        <v>262</v>
      </c>
      <c r="N9" s="18">
        <v>182</v>
      </c>
      <c r="O9" s="18">
        <v>82</v>
      </c>
      <c r="P9" s="18">
        <v>115</v>
      </c>
      <c r="Q9" s="18">
        <v>308</v>
      </c>
      <c r="R9" s="18">
        <v>180</v>
      </c>
      <c r="S9" s="18">
        <v>216</v>
      </c>
      <c r="T9" s="18">
        <v>180</v>
      </c>
      <c r="U9" s="18">
        <v>214</v>
      </c>
      <c r="V9" s="18">
        <v>179</v>
      </c>
      <c r="W9" s="18">
        <v>195</v>
      </c>
      <c r="X9" s="18">
        <v>144</v>
      </c>
      <c r="Y9" s="18">
        <v>333</v>
      </c>
      <c r="Z9" s="18">
        <v>255</v>
      </c>
      <c r="AA9" s="18">
        <v>256</v>
      </c>
      <c r="AB9" s="18">
        <v>315</v>
      </c>
      <c r="AC9" s="18">
        <v>219</v>
      </c>
    </row>
    <row r="10" spans="2:29" x14ac:dyDescent="0.25">
      <c r="B10" s="19" t="s">
        <v>9</v>
      </c>
      <c r="C10" s="18">
        <v>40</v>
      </c>
      <c r="D10" s="18">
        <v>116</v>
      </c>
      <c r="E10" s="18">
        <v>57</v>
      </c>
      <c r="F10" s="18">
        <v>57</v>
      </c>
      <c r="G10" s="18">
        <v>196</v>
      </c>
      <c r="H10" s="18">
        <v>0</v>
      </c>
      <c r="I10" s="18">
        <v>73</v>
      </c>
      <c r="J10" s="18">
        <v>63</v>
      </c>
      <c r="K10" s="18">
        <v>100</v>
      </c>
      <c r="L10" s="18">
        <v>158</v>
      </c>
      <c r="M10" s="18">
        <v>100</v>
      </c>
      <c r="N10" s="18">
        <v>83</v>
      </c>
      <c r="O10" s="18">
        <v>129</v>
      </c>
      <c r="P10" s="18">
        <v>161</v>
      </c>
      <c r="Q10" s="18">
        <v>65</v>
      </c>
      <c r="R10" s="18">
        <v>131</v>
      </c>
      <c r="S10" s="18">
        <v>150</v>
      </c>
      <c r="T10" s="18">
        <v>33</v>
      </c>
      <c r="U10" s="18">
        <v>52</v>
      </c>
      <c r="V10" s="18">
        <v>20</v>
      </c>
      <c r="W10" s="18">
        <v>159</v>
      </c>
      <c r="X10" s="18">
        <v>60</v>
      </c>
      <c r="Y10" s="18">
        <v>90</v>
      </c>
      <c r="Z10" s="18">
        <v>38</v>
      </c>
      <c r="AA10" s="18">
        <v>127</v>
      </c>
      <c r="AB10" s="18">
        <v>64</v>
      </c>
      <c r="AC10" s="18">
        <v>86</v>
      </c>
    </row>
    <row r="11" spans="2:29" x14ac:dyDescent="0.25">
      <c r="B11" s="19" t="s">
        <v>10</v>
      </c>
      <c r="C11" s="18">
        <v>104</v>
      </c>
      <c r="D11" s="18">
        <v>43</v>
      </c>
      <c r="E11" s="18">
        <v>50</v>
      </c>
      <c r="F11" s="18">
        <v>32</v>
      </c>
      <c r="G11" s="18">
        <v>207</v>
      </c>
      <c r="H11" s="18">
        <v>74</v>
      </c>
      <c r="I11" s="18">
        <v>0</v>
      </c>
      <c r="J11" s="18">
        <v>175</v>
      </c>
      <c r="K11" s="18">
        <v>80</v>
      </c>
      <c r="L11" s="18">
        <v>171</v>
      </c>
      <c r="M11" s="18">
        <v>47</v>
      </c>
      <c r="N11" s="18">
        <v>33</v>
      </c>
      <c r="O11" s="18">
        <v>169</v>
      </c>
      <c r="P11" s="18">
        <v>185</v>
      </c>
      <c r="Q11" s="18">
        <v>58</v>
      </c>
      <c r="R11" s="18">
        <v>82</v>
      </c>
      <c r="S11" s="18">
        <v>76</v>
      </c>
      <c r="T11" s="18">
        <v>98</v>
      </c>
      <c r="U11" s="18">
        <v>29</v>
      </c>
      <c r="V11" s="18">
        <v>93</v>
      </c>
      <c r="W11" s="18">
        <v>107</v>
      </c>
      <c r="X11" s="18">
        <v>63</v>
      </c>
      <c r="Y11" s="18">
        <v>87</v>
      </c>
      <c r="Z11" s="18">
        <v>114</v>
      </c>
      <c r="AA11" s="18">
        <v>213</v>
      </c>
      <c r="AB11" s="18">
        <v>54</v>
      </c>
      <c r="AC11" s="18">
        <v>10</v>
      </c>
    </row>
    <row r="12" spans="2:29" x14ac:dyDescent="0.25">
      <c r="B12" s="19" t="s">
        <v>11</v>
      </c>
      <c r="C12" s="18">
        <v>35</v>
      </c>
      <c r="D12" s="18">
        <v>189</v>
      </c>
      <c r="E12" s="18">
        <v>123</v>
      </c>
      <c r="F12" s="18">
        <v>141</v>
      </c>
      <c r="G12" s="18">
        <v>197</v>
      </c>
      <c r="H12" s="18">
        <v>89</v>
      </c>
      <c r="I12" s="18">
        <v>196</v>
      </c>
      <c r="J12" s="18">
        <v>0</v>
      </c>
      <c r="K12" s="18">
        <v>151</v>
      </c>
      <c r="L12" s="18">
        <v>195</v>
      </c>
      <c r="M12" s="18">
        <v>172</v>
      </c>
      <c r="N12" s="18">
        <v>229</v>
      </c>
      <c r="O12" s="18">
        <v>122</v>
      </c>
      <c r="P12" s="18">
        <v>112</v>
      </c>
      <c r="Q12" s="18">
        <v>116</v>
      </c>
      <c r="R12" s="18">
        <v>266</v>
      </c>
      <c r="S12" s="18">
        <v>222</v>
      </c>
      <c r="T12" s="18">
        <v>40</v>
      </c>
      <c r="U12" s="18">
        <v>147</v>
      </c>
      <c r="V12" s="18">
        <v>54</v>
      </c>
      <c r="W12" s="18">
        <v>274</v>
      </c>
      <c r="X12" s="18">
        <v>180</v>
      </c>
      <c r="Y12" s="18">
        <v>141</v>
      </c>
      <c r="Z12" s="18">
        <v>63</v>
      </c>
      <c r="AA12" s="18">
        <v>44</v>
      </c>
      <c r="AB12" s="18">
        <v>123</v>
      </c>
      <c r="AC12" s="18">
        <v>166</v>
      </c>
    </row>
    <row r="13" spans="2:29" x14ac:dyDescent="0.25">
      <c r="B13" s="19" t="s">
        <v>12</v>
      </c>
      <c r="C13" s="18">
        <v>169</v>
      </c>
      <c r="D13" s="18">
        <v>72</v>
      </c>
      <c r="E13" s="18">
        <v>47</v>
      </c>
      <c r="F13" s="18">
        <v>58</v>
      </c>
      <c r="G13" s="18">
        <v>343</v>
      </c>
      <c r="H13" s="18">
        <v>100</v>
      </c>
      <c r="I13" s="18">
        <v>79</v>
      </c>
      <c r="J13" s="18">
        <v>151</v>
      </c>
      <c r="K13" s="18">
        <v>0</v>
      </c>
      <c r="L13" s="18">
        <v>258</v>
      </c>
      <c r="M13" s="18">
        <v>33</v>
      </c>
      <c r="N13" s="18">
        <v>113</v>
      </c>
      <c r="O13" s="18">
        <v>269</v>
      </c>
      <c r="P13" s="18">
        <v>266</v>
      </c>
      <c r="Q13" s="18">
        <v>37</v>
      </c>
      <c r="R13" s="18">
        <v>150</v>
      </c>
      <c r="S13" s="18">
        <v>106</v>
      </c>
      <c r="T13" s="18">
        <v>175</v>
      </c>
      <c r="U13" s="18">
        <v>65</v>
      </c>
      <c r="V13" s="18">
        <v>119</v>
      </c>
      <c r="W13" s="18">
        <v>158</v>
      </c>
      <c r="X13" s="18">
        <v>150</v>
      </c>
      <c r="Y13" s="18">
        <v>11</v>
      </c>
      <c r="Z13" s="18">
        <v>91</v>
      </c>
      <c r="AA13" s="18">
        <v>189</v>
      </c>
      <c r="AB13" s="18">
        <v>39</v>
      </c>
      <c r="AC13" s="18">
        <v>71</v>
      </c>
    </row>
    <row r="14" spans="2:29" x14ac:dyDescent="0.25">
      <c r="B14" s="19" t="s">
        <v>13</v>
      </c>
      <c r="C14" s="18">
        <v>166</v>
      </c>
      <c r="D14" s="18">
        <v>192</v>
      </c>
      <c r="E14" s="18">
        <v>202</v>
      </c>
      <c r="F14" s="18">
        <v>184</v>
      </c>
      <c r="G14" s="18">
        <v>87</v>
      </c>
      <c r="H14" s="18">
        <v>158</v>
      </c>
      <c r="I14" s="18">
        <v>173</v>
      </c>
      <c r="J14" s="18">
        <v>194</v>
      </c>
      <c r="K14" s="18">
        <v>259</v>
      </c>
      <c r="L14" s="18">
        <v>0</v>
      </c>
      <c r="M14" s="18">
        <v>226</v>
      </c>
      <c r="N14" s="18">
        <v>134</v>
      </c>
      <c r="O14" s="18">
        <v>105</v>
      </c>
      <c r="P14" s="18">
        <v>164</v>
      </c>
      <c r="Q14" s="18">
        <v>210</v>
      </c>
      <c r="R14" s="18">
        <v>127</v>
      </c>
      <c r="S14" s="18">
        <v>163</v>
      </c>
      <c r="T14" s="18">
        <v>160</v>
      </c>
      <c r="U14" s="18">
        <v>177</v>
      </c>
      <c r="V14" s="18">
        <v>150</v>
      </c>
      <c r="W14" s="18">
        <v>136</v>
      </c>
      <c r="X14" s="18">
        <v>108</v>
      </c>
      <c r="Y14" s="18">
        <v>266</v>
      </c>
      <c r="Z14" s="18">
        <v>195</v>
      </c>
      <c r="AA14" s="18">
        <v>237</v>
      </c>
      <c r="AB14" s="18">
        <v>206</v>
      </c>
      <c r="AC14" s="18">
        <v>182</v>
      </c>
    </row>
    <row r="15" spans="2:29" x14ac:dyDescent="0.25">
      <c r="B15" s="19" t="s">
        <v>14</v>
      </c>
      <c r="C15" s="18">
        <v>192</v>
      </c>
      <c r="D15" s="18">
        <v>40</v>
      </c>
      <c r="E15" s="18">
        <v>49</v>
      </c>
      <c r="F15" s="18">
        <v>42</v>
      </c>
      <c r="G15" s="18">
        <v>261</v>
      </c>
      <c r="H15" s="18">
        <v>96</v>
      </c>
      <c r="I15" s="18">
        <v>47</v>
      </c>
      <c r="J15" s="18">
        <v>174</v>
      </c>
      <c r="K15" s="18">
        <v>41</v>
      </c>
      <c r="L15" s="18">
        <v>226</v>
      </c>
      <c r="M15" s="18">
        <v>0</v>
      </c>
      <c r="N15" s="18">
        <v>80</v>
      </c>
      <c r="O15" s="18">
        <v>291</v>
      </c>
      <c r="P15" s="18">
        <v>289</v>
      </c>
      <c r="Q15" s="18">
        <v>54</v>
      </c>
      <c r="R15" s="18">
        <v>117</v>
      </c>
      <c r="S15" s="18">
        <v>73</v>
      </c>
      <c r="T15" s="18">
        <v>197</v>
      </c>
      <c r="U15" s="18">
        <v>49</v>
      </c>
      <c r="V15" s="18">
        <v>115</v>
      </c>
      <c r="W15" s="18">
        <v>125</v>
      </c>
      <c r="X15" s="18">
        <v>118</v>
      </c>
      <c r="Y15" s="18">
        <v>40</v>
      </c>
      <c r="Z15" s="18">
        <v>114</v>
      </c>
      <c r="AA15" s="18">
        <v>212</v>
      </c>
      <c r="AB15" s="18">
        <v>47</v>
      </c>
      <c r="AC15" s="18">
        <v>39</v>
      </c>
    </row>
    <row r="16" spans="2:29" x14ac:dyDescent="0.25">
      <c r="B16" s="19" t="s">
        <v>15</v>
      </c>
      <c r="C16" s="18">
        <v>119</v>
      </c>
      <c r="D16" s="18">
        <v>49</v>
      </c>
      <c r="E16" s="18">
        <v>72</v>
      </c>
      <c r="F16" s="18">
        <v>54</v>
      </c>
      <c r="G16" s="18">
        <v>183</v>
      </c>
      <c r="H16" s="18">
        <v>75</v>
      </c>
      <c r="I16" s="18">
        <v>33</v>
      </c>
      <c r="J16" s="18">
        <v>196</v>
      </c>
      <c r="K16" s="18">
        <v>113</v>
      </c>
      <c r="L16" s="18">
        <v>134</v>
      </c>
      <c r="M16" s="18">
        <v>80</v>
      </c>
      <c r="N16" s="18">
        <v>0</v>
      </c>
      <c r="O16" s="18">
        <v>145</v>
      </c>
      <c r="P16" s="18">
        <v>160</v>
      </c>
      <c r="Q16" s="18">
        <v>80</v>
      </c>
      <c r="R16" s="18">
        <v>51</v>
      </c>
      <c r="S16" s="18">
        <v>39</v>
      </c>
      <c r="T16" s="18">
        <v>112</v>
      </c>
      <c r="U16" s="18">
        <v>53</v>
      </c>
      <c r="V16" s="18">
        <v>100</v>
      </c>
      <c r="W16" s="18">
        <v>76</v>
      </c>
      <c r="X16" s="18">
        <v>39</v>
      </c>
      <c r="Y16" s="18">
        <v>120</v>
      </c>
      <c r="Z16" s="18">
        <v>136</v>
      </c>
      <c r="AA16" s="18">
        <v>234</v>
      </c>
      <c r="AB16" s="18">
        <v>76</v>
      </c>
      <c r="AC16" s="18">
        <v>43</v>
      </c>
    </row>
    <row r="17" spans="2:29" x14ac:dyDescent="0.25">
      <c r="B17" s="19" t="s">
        <v>16</v>
      </c>
      <c r="C17" s="18">
        <v>116</v>
      </c>
      <c r="D17" s="18">
        <v>311</v>
      </c>
      <c r="E17" s="18">
        <v>245</v>
      </c>
      <c r="F17" s="18">
        <v>188</v>
      </c>
      <c r="G17" s="18">
        <v>82</v>
      </c>
      <c r="H17" s="18">
        <v>133</v>
      </c>
      <c r="I17" s="18">
        <v>175</v>
      </c>
      <c r="J17" s="18">
        <v>126</v>
      </c>
      <c r="K17" s="18">
        <v>273</v>
      </c>
      <c r="L17" s="18">
        <v>106</v>
      </c>
      <c r="M17" s="18">
        <v>294</v>
      </c>
      <c r="N17" s="18">
        <v>144</v>
      </c>
      <c r="O17" s="18">
        <v>0</v>
      </c>
      <c r="P17" s="18">
        <v>59</v>
      </c>
      <c r="Q17" s="18">
        <v>238</v>
      </c>
      <c r="R17" s="18">
        <v>144</v>
      </c>
      <c r="S17" s="18">
        <v>170</v>
      </c>
      <c r="T17" s="18">
        <v>110</v>
      </c>
      <c r="U17" s="18">
        <v>182</v>
      </c>
      <c r="V17" s="18">
        <v>112</v>
      </c>
      <c r="W17" s="18">
        <v>168</v>
      </c>
      <c r="X17" s="18">
        <v>106</v>
      </c>
      <c r="Y17" s="18">
        <v>263</v>
      </c>
      <c r="Z17" s="18">
        <v>185</v>
      </c>
      <c r="AA17" s="18">
        <v>185</v>
      </c>
      <c r="AB17" s="18">
        <v>245</v>
      </c>
      <c r="AC17" s="18">
        <v>184</v>
      </c>
    </row>
    <row r="18" spans="2:29" x14ac:dyDescent="0.25">
      <c r="B18" s="19" t="s">
        <v>17</v>
      </c>
      <c r="C18" s="18">
        <v>119</v>
      </c>
      <c r="D18" s="18">
        <v>304</v>
      </c>
      <c r="E18" s="18">
        <v>238</v>
      </c>
      <c r="F18" s="18">
        <v>256</v>
      </c>
      <c r="G18" s="18">
        <v>110</v>
      </c>
      <c r="H18" s="18">
        <v>161</v>
      </c>
      <c r="I18" s="18">
        <v>311</v>
      </c>
      <c r="J18" s="18">
        <v>113</v>
      </c>
      <c r="K18" s="18">
        <v>266</v>
      </c>
      <c r="L18" s="18">
        <v>164</v>
      </c>
      <c r="M18" s="18">
        <v>287</v>
      </c>
      <c r="N18" s="18">
        <v>159</v>
      </c>
      <c r="O18" s="18">
        <v>59</v>
      </c>
      <c r="P18" s="18">
        <v>0</v>
      </c>
      <c r="Q18" s="18">
        <v>231</v>
      </c>
      <c r="R18" s="18">
        <v>203</v>
      </c>
      <c r="S18" s="18">
        <v>337</v>
      </c>
      <c r="T18" s="18">
        <v>125</v>
      </c>
      <c r="U18" s="18">
        <v>262</v>
      </c>
      <c r="V18" s="18">
        <v>141</v>
      </c>
      <c r="W18" s="18">
        <v>226</v>
      </c>
      <c r="X18" s="18">
        <v>121</v>
      </c>
      <c r="Y18" s="18">
        <v>256</v>
      </c>
      <c r="Z18" s="18">
        <v>178</v>
      </c>
      <c r="AA18" s="18">
        <v>157</v>
      </c>
      <c r="AB18" s="18">
        <v>238</v>
      </c>
      <c r="AC18" s="18">
        <v>282</v>
      </c>
    </row>
    <row r="19" spans="2:29" x14ac:dyDescent="0.25">
      <c r="B19" s="19" t="s">
        <v>18</v>
      </c>
      <c r="C19" s="18">
        <v>134</v>
      </c>
      <c r="D19" s="18">
        <v>75</v>
      </c>
      <c r="E19" s="18">
        <v>13</v>
      </c>
      <c r="F19" s="18">
        <v>27</v>
      </c>
      <c r="G19" s="18">
        <v>308</v>
      </c>
      <c r="H19" s="18">
        <v>65</v>
      </c>
      <c r="I19" s="18">
        <v>82</v>
      </c>
      <c r="J19" s="18">
        <v>116</v>
      </c>
      <c r="K19" s="18">
        <v>36</v>
      </c>
      <c r="L19" s="18">
        <v>205</v>
      </c>
      <c r="M19" s="18">
        <v>58</v>
      </c>
      <c r="N19" s="18">
        <v>116</v>
      </c>
      <c r="O19" s="18">
        <v>233</v>
      </c>
      <c r="P19" s="18">
        <v>231</v>
      </c>
      <c r="Q19" s="18">
        <v>0</v>
      </c>
      <c r="R19" s="18">
        <v>152</v>
      </c>
      <c r="S19" s="18">
        <v>108</v>
      </c>
      <c r="T19" s="18">
        <v>139</v>
      </c>
      <c r="U19" s="18">
        <v>33</v>
      </c>
      <c r="V19" s="18">
        <v>85</v>
      </c>
      <c r="W19" s="18">
        <v>160</v>
      </c>
      <c r="X19" s="18">
        <v>97</v>
      </c>
      <c r="Y19" s="18">
        <v>26</v>
      </c>
      <c r="Z19" s="18">
        <v>56</v>
      </c>
      <c r="AA19" s="18">
        <v>154</v>
      </c>
      <c r="AB19" s="18">
        <v>7</v>
      </c>
      <c r="AC19" s="18">
        <v>53</v>
      </c>
    </row>
    <row r="20" spans="2:29" x14ac:dyDescent="0.25">
      <c r="B20" s="19" t="s">
        <v>19</v>
      </c>
      <c r="C20" s="18">
        <v>166</v>
      </c>
      <c r="D20" s="18">
        <v>77</v>
      </c>
      <c r="E20" s="18">
        <v>148</v>
      </c>
      <c r="F20" s="18">
        <v>141</v>
      </c>
      <c r="G20" s="18">
        <v>179</v>
      </c>
      <c r="H20" s="18">
        <v>131</v>
      </c>
      <c r="I20" s="18">
        <v>81</v>
      </c>
      <c r="J20" s="18">
        <v>272</v>
      </c>
      <c r="K20" s="18">
        <v>150</v>
      </c>
      <c r="L20" s="18">
        <v>127</v>
      </c>
      <c r="M20" s="18">
        <v>117</v>
      </c>
      <c r="N20" s="18">
        <v>51</v>
      </c>
      <c r="O20" s="18">
        <v>144</v>
      </c>
      <c r="P20" s="18">
        <v>202</v>
      </c>
      <c r="Q20" s="18">
        <v>153</v>
      </c>
      <c r="R20" s="18">
        <v>0</v>
      </c>
      <c r="S20" s="18">
        <v>45</v>
      </c>
      <c r="T20" s="18">
        <v>159</v>
      </c>
      <c r="U20" s="18">
        <v>105</v>
      </c>
      <c r="V20" s="18">
        <v>147</v>
      </c>
      <c r="W20" s="18">
        <v>21</v>
      </c>
      <c r="X20" s="18">
        <v>76</v>
      </c>
      <c r="Y20" s="18">
        <v>157</v>
      </c>
      <c r="Z20" s="18">
        <v>212</v>
      </c>
      <c r="AA20" s="18">
        <v>310</v>
      </c>
      <c r="AB20" s="18">
        <v>145</v>
      </c>
      <c r="AC20" s="18">
        <v>87</v>
      </c>
    </row>
    <row r="21" spans="2:29" x14ac:dyDescent="0.25">
      <c r="B21" s="19" t="s">
        <v>20</v>
      </c>
      <c r="C21" s="18">
        <v>246</v>
      </c>
      <c r="D21" s="18">
        <v>33</v>
      </c>
      <c r="E21" s="18">
        <v>103</v>
      </c>
      <c r="F21" s="18">
        <v>96</v>
      </c>
      <c r="G21" s="18">
        <v>209</v>
      </c>
      <c r="H21" s="18">
        <v>150</v>
      </c>
      <c r="I21" s="18">
        <v>78</v>
      </c>
      <c r="J21" s="18">
        <v>228</v>
      </c>
      <c r="K21" s="18">
        <v>106</v>
      </c>
      <c r="L21" s="18">
        <v>163</v>
      </c>
      <c r="M21" s="18">
        <v>73</v>
      </c>
      <c r="N21" s="18">
        <v>41</v>
      </c>
      <c r="O21" s="18">
        <v>171</v>
      </c>
      <c r="P21" s="18">
        <v>343</v>
      </c>
      <c r="Q21" s="18">
        <v>108</v>
      </c>
      <c r="R21" s="18">
        <v>45</v>
      </c>
      <c r="S21" s="18">
        <v>0</v>
      </c>
      <c r="T21" s="18">
        <v>251</v>
      </c>
      <c r="U21" s="18">
        <v>103</v>
      </c>
      <c r="V21" s="18">
        <v>169</v>
      </c>
      <c r="W21" s="18">
        <v>53</v>
      </c>
      <c r="X21" s="18">
        <v>84</v>
      </c>
      <c r="Y21" s="18">
        <v>113</v>
      </c>
      <c r="Z21" s="18">
        <v>168</v>
      </c>
      <c r="AA21" s="18">
        <v>266</v>
      </c>
      <c r="AB21" s="18">
        <v>101</v>
      </c>
      <c r="AC21" s="18">
        <v>69</v>
      </c>
    </row>
    <row r="22" spans="2:29" x14ac:dyDescent="0.25">
      <c r="B22" s="19" t="s">
        <v>21</v>
      </c>
      <c r="C22" s="18">
        <v>7</v>
      </c>
      <c r="D22" s="18">
        <v>212</v>
      </c>
      <c r="E22" s="18">
        <v>146</v>
      </c>
      <c r="F22" s="18">
        <v>89</v>
      </c>
      <c r="G22" s="18">
        <v>181</v>
      </c>
      <c r="H22" s="18">
        <v>34</v>
      </c>
      <c r="I22" s="18">
        <v>97</v>
      </c>
      <c r="J22" s="18">
        <v>40</v>
      </c>
      <c r="K22" s="18">
        <v>175</v>
      </c>
      <c r="L22" s="18">
        <v>160</v>
      </c>
      <c r="M22" s="18">
        <v>195</v>
      </c>
      <c r="N22" s="18">
        <v>111</v>
      </c>
      <c r="O22" s="18">
        <v>106</v>
      </c>
      <c r="P22" s="18">
        <v>125</v>
      </c>
      <c r="Q22" s="18">
        <v>139</v>
      </c>
      <c r="R22" s="18">
        <v>160</v>
      </c>
      <c r="S22" s="18">
        <v>245</v>
      </c>
      <c r="T22" s="18">
        <v>0</v>
      </c>
      <c r="U22" s="18">
        <v>84</v>
      </c>
      <c r="V22" s="18">
        <v>13</v>
      </c>
      <c r="W22" s="18">
        <v>188</v>
      </c>
      <c r="X22" s="18">
        <v>84</v>
      </c>
      <c r="Y22" s="18">
        <v>164</v>
      </c>
      <c r="Z22" s="18">
        <v>86</v>
      </c>
      <c r="AA22" s="18">
        <v>83</v>
      </c>
      <c r="AB22" s="18">
        <v>146</v>
      </c>
      <c r="AC22" s="18">
        <v>190</v>
      </c>
    </row>
    <row r="23" spans="2:29" x14ac:dyDescent="0.25">
      <c r="B23" s="19" t="s">
        <v>22</v>
      </c>
      <c r="C23" s="18">
        <v>91</v>
      </c>
      <c r="D23" s="18">
        <v>70</v>
      </c>
      <c r="E23" s="18">
        <v>26</v>
      </c>
      <c r="F23" s="18">
        <v>8</v>
      </c>
      <c r="G23" s="18">
        <v>213</v>
      </c>
      <c r="H23" s="18">
        <v>52</v>
      </c>
      <c r="I23" s="18">
        <v>29</v>
      </c>
      <c r="J23" s="18">
        <v>151</v>
      </c>
      <c r="K23" s="18">
        <v>64</v>
      </c>
      <c r="L23" s="18">
        <v>178</v>
      </c>
      <c r="M23" s="18">
        <v>53</v>
      </c>
      <c r="N23" s="18">
        <v>53</v>
      </c>
      <c r="O23" s="18">
        <v>178</v>
      </c>
      <c r="P23" s="18">
        <v>265</v>
      </c>
      <c r="Q23" s="18">
        <v>34</v>
      </c>
      <c r="R23" s="18">
        <v>105</v>
      </c>
      <c r="S23" s="18">
        <v>103</v>
      </c>
      <c r="T23" s="18">
        <v>84</v>
      </c>
      <c r="U23" s="18">
        <v>0</v>
      </c>
      <c r="V23" s="18">
        <v>71</v>
      </c>
      <c r="W23" s="18">
        <v>155</v>
      </c>
      <c r="X23" s="18">
        <v>70</v>
      </c>
      <c r="Y23" s="18">
        <v>58</v>
      </c>
      <c r="Z23" s="18">
        <v>90</v>
      </c>
      <c r="AA23" s="18">
        <v>188</v>
      </c>
      <c r="AB23" s="18">
        <v>30</v>
      </c>
      <c r="AC23" s="18">
        <v>33</v>
      </c>
    </row>
    <row r="24" spans="2:29" x14ac:dyDescent="0.25">
      <c r="B24" s="19" t="s">
        <v>23</v>
      </c>
      <c r="C24" s="18">
        <v>20</v>
      </c>
      <c r="D24" s="18">
        <v>136</v>
      </c>
      <c r="E24" s="18">
        <v>76</v>
      </c>
      <c r="F24" s="18">
        <v>76</v>
      </c>
      <c r="G24" s="18">
        <v>179</v>
      </c>
      <c r="H24" s="18">
        <v>20</v>
      </c>
      <c r="I24" s="18">
        <v>93</v>
      </c>
      <c r="J24" s="18">
        <v>53</v>
      </c>
      <c r="K24" s="18">
        <v>119</v>
      </c>
      <c r="L24" s="18">
        <v>151</v>
      </c>
      <c r="M24" s="18">
        <v>119</v>
      </c>
      <c r="N24" s="18">
        <v>99</v>
      </c>
      <c r="O24" s="18">
        <v>109</v>
      </c>
      <c r="P24" s="18">
        <v>141</v>
      </c>
      <c r="Q24" s="18">
        <v>85</v>
      </c>
      <c r="R24" s="18">
        <v>148</v>
      </c>
      <c r="S24" s="18">
        <v>169</v>
      </c>
      <c r="T24" s="18">
        <v>13</v>
      </c>
      <c r="U24" s="18">
        <v>71</v>
      </c>
      <c r="V24" s="18">
        <v>0</v>
      </c>
      <c r="W24" s="18">
        <v>176</v>
      </c>
      <c r="X24" s="18">
        <v>72</v>
      </c>
      <c r="Y24" s="18">
        <v>109</v>
      </c>
      <c r="Z24" s="18">
        <v>57</v>
      </c>
      <c r="AA24" s="18">
        <v>96</v>
      </c>
      <c r="AB24" s="18">
        <v>83</v>
      </c>
      <c r="AC24" s="18">
        <v>106</v>
      </c>
    </row>
    <row r="25" spans="2:29" x14ac:dyDescent="0.25">
      <c r="B25" s="19" t="s">
        <v>24</v>
      </c>
      <c r="C25" s="18">
        <v>194</v>
      </c>
      <c r="D25" s="18">
        <v>85</v>
      </c>
      <c r="E25" s="18">
        <v>156</v>
      </c>
      <c r="F25" s="18">
        <v>149</v>
      </c>
      <c r="G25" s="18">
        <v>194</v>
      </c>
      <c r="H25" s="18">
        <v>160</v>
      </c>
      <c r="I25" s="18">
        <v>107</v>
      </c>
      <c r="J25" s="18">
        <v>280</v>
      </c>
      <c r="K25" s="18">
        <v>158</v>
      </c>
      <c r="L25" s="18">
        <v>136</v>
      </c>
      <c r="M25" s="18">
        <v>125</v>
      </c>
      <c r="N25" s="18">
        <v>77</v>
      </c>
      <c r="O25" s="18">
        <v>168</v>
      </c>
      <c r="P25" s="18">
        <v>226</v>
      </c>
      <c r="Q25" s="18">
        <v>161</v>
      </c>
      <c r="R25" s="18">
        <v>21</v>
      </c>
      <c r="S25" s="18">
        <v>53</v>
      </c>
      <c r="T25" s="18">
        <v>188</v>
      </c>
      <c r="U25" s="18">
        <v>155</v>
      </c>
      <c r="V25" s="18">
        <v>176</v>
      </c>
      <c r="W25" s="18">
        <v>0</v>
      </c>
      <c r="X25" s="18">
        <v>100</v>
      </c>
      <c r="Y25" s="18">
        <v>165</v>
      </c>
      <c r="Z25" s="18">
        <v>220</v>
      </c>
      <c r="AA25" s="18">
        <v>318</v>
      </c>
      <c r="AB25" s="18">
        <v>153</v>
      </c>
      <c r="AC25" s="18">
        <v>122</v>
      </c>
    </row>
    <row r="26" spans="2:29" x14ac:dyDescent="0.25">
      <c r="B26" s="19" t="s">
        <v>25</v>
      </c>
      <c r="C26" s="18">
        <v>90</v>
      </c>
      <c r="D26" s="18">
        <v>85</v>
      </c>
      <c r="E26" s="18">
        <v>94</v>
      </c>
      <c r="F26" s="18">
        <v>77</v>
      </c>
      <c r="G26" s="18">
        <v>144</v>
      </c>
      <c r="H26" s="18">
        <v>60</v>
      </c>
      <c r="I26" s="18">
        <v>65</v>
      </c>
      <c r="J26" s="18">
        <v>180</v>
      </c>
      <c r="K26" s="18">
        <v>151</v>
      </c>
      <c r="L26" s="18">
        <v>108</v>
      </c>
      <c r="M26" s="18">
        <v>118</v>
      </c>
      <c r="N26" s="18">
        <v>38</v>
      </c>
      <c r="O26" s="18">
        <v>106</v>
      </c>
      <c r="P26" s="18">
        <v>121</v>
      </c>
      <c r="Q26" s="18">
        <v>102</v>
      </c>
      <c r="R26" s="18">
        <v>77</v>
      </c>
      <c r="S26" s="18">
        <v>81</v>
      </c>
      <c r="T26" s="18">
        <v>84</v>
      </c>
      <c r="U26" s="18">
        <v>70</v>
      </c>
      <c r="V26" s="18">
        <v>72</v>
      </c>
      <c r="W26" s="18">
        <v>101</v>
      </c>
      <c r="X26" s="18">
        <v>0</v>
      </c>
      <c r="Y26" s="18">
        <v>158</v>
      </c>
      <c r="Z26" s="18">
        <v>120</v>
      </c>
      <c r="AA26" s="18">
        <v>218</v>
      </c>
      <c r="AB26" s="18">
        <v>98</v>
      </c>
      <c r="AC26" s="18">
        <v>75</v>
      </c>
    </row>
    <row r="27" spans="2:29" x14ac:dyDescent="0.25">
      <c r="B27" s="19" t="s">
        <v>26</v>
      </c>
      <c r="C27" s="18">
        <v>159</v>
      </c>
      <c r="D27" s="18">
        <v>75</v>
      </c>
      <c r="E27" s="18">
        <v>36</v>
      </c>
      <c r="F27" s="18">
        <v>49</v>
      </c>
      <c r="G27" s="18">
        <v>333</v>
      </c>
      <c r="H27" s="18">
        <v>89</v>
      </c>
      <c r="I27" s="18">
        <v>82</v>
      </c>
      <c r="J27" s="18">
        <v>141</v>
      </c>
      <c r="K27" s="18">
        <v>11</v>
      </c>
      <c r="L27" s="18">
        <v>260</v>
      </c>
      <c r="M27" s="18">
        <v>41</v>
      </c>
      <c r="N27" s="18">
        <v>115</v>
      </c>
      <c r="O27" s="18">
        <v>258</v>
      </c>
      <c r="P27" s="18">
        <v>255</v>
      </c>
      <c r="Q27" s="18">
        <v>26</v>
      </c>
      <c r="R27" s="18">
        <v>152</v>
      </c>
      <c r="S27" s="18">
        <v>108</v>
      </c>
      <c r="T27" s="18">
        <v>164</v>
      </c>
      <c r="U27" s="18">
        <v>56</v>
      </c>
      <c r="V27" s="18">
        <v>109</v>
      </c>
      <c r="W27" s="18">
        <v>160</v>
      </c>
      <c r="X27" s="18">
        <v>153</v>
      </c>
      <c r="Y27" s="18">
        <v>0</v>
      </c>
      <c r="Z27" s="18">
        <v>80</v>
      </c>
      <c r="AA27" s="18">
        <v>179</v>
      </c>
      <c r="AB27" s="18">
        <v>29</v>
      </c>
      <c r="AC27" s="18">
        <v>52</v>
      </c>
    </row>
    <row r="28" spans="2:29" x14ac:dyDescent="0.25">
      <c r="B28" s="19" t="s">
        <v>27</v>
      </c>
      <c r="C28" s="18">
        <v>83</v>
      </c>
      <c r="D28" s="18">
        <v>129</v>
      </c>
      <c r="E28" s="18">
        <v>63</v>
      </c>
      <c r="F28" s="18">
        <v>81</v>
      </c>
      <c r="G28" s="18">
        <v>257</v>
      </c>
      <c r="H28" s="18">
        <v>38</v>
      </c>
      <c r="I28" s="18">
        <v>136</v>
      </c>
      <c r="J28" s="18">
        <v>64</v>
      </c>
      <c r="K28" s="18">
        <v>91</v>
      </c>
      <c r="L28" s="18">
        <v>195</v>
      </c>
      <c r="M28" s="18">
        <v>112</v>
      </c>
      <c r="N28" s="18">
        <v>169</v>
      </c>
      <c r="O28" s="18">
        <v>182</v>
      </c>
      <c r="P28" s="18">
        <v>179</v>
      </c>
      <c r="Q28" s="18">
        <v>56</v>
      </c>
      <c r="R28" s="18">
        <v>206</v>
      </c>
      <c r="S28" s="18">
        <v>162</v>
      </c>
      <c r="T28" s="18">
        <v>88</v>
      </c>
      <c r="U28" s="18">
        <v>87</v>
      </c>
      <c r="V28" s="18">
        <v>57</v>
      </c>
      <c r="W28" s="18">
        <v>214</v>
      </c>
      <c r="X28" s="18">
        <v>120</v>
      </c>
      <c r="Y28" s="18">
        <v>81</v>
      </c>
      <c r="Z28" s="18">
        <v>0</v>
      </c>
      <c r="AA28" s="18">
        <v>102</v>
      </c>
      <c r="AB28" s="18">
        <v>63</v>
      </c>
      <c r="AC28" s="18">
        <v>107</v>
      </c>
    </row>
    <row r="29" spans="2:29" x14ac:dyDescent="0.25">
      <c r="B29" s="19" t="s">
        <v>28</v>
      </c>
      <c r="C29" s="18">
        <v>78</v>
      </c>
      <c r="D29" s="18">
        <v>228</v>
      </c>
      <c r="E29" s="18">
        <v>162</v>
      </c>
      <c r="F29" s="18">
        <v>180</v>
      </c>
      <c r="G29" s="18">
        <v>240</v>
      </c>
      <c r="H29" s="18">
        <v>128</v>
      </c>
      <c r="I29" s="18">
        <v>235</v>
      </c>
      <c r="J29" s="18">
        <v>43</v>
      </c>
      <c r="K29" s="18">
        <v>190</v>
      </c>
      <c r="L29" s="18">
        <v>239</v>
      </c>
      <c r="M29" s="18">
        <v>211</v>
      </c>
      <c r="N29" s="18">
        <v>268</v>
      </c>
      <c r="O29" s="18">
        <v>166</v>
      </c>
      <c r="P29" s="18">
        <v>156</v>
      </c>
      <c r="Q29" s="18">
        <v>155</v>
      </c>
      <c r="R29" s="18">
        <v>305</v>
      </c>
      <c r="S29" s="18">
        <v>261</v>
      </c>
      <c r="T29" s="18">
        <v>83</v>
      </c>
      <c r="U29" s="18">
        <v>186</v>
      </c>
      <c r="V29" s="18">
        <v>96</v>
      </c>
      <c r="W29" s="18">
        <v>313</v>
      </c>
      <c r="X29" s="18">
        <v>219</v>
      </c>
      <c r="Y29" s="18">
        <v>180</v>
      </c>
      <c r="Z29" s="18">
        <v>102</v>
      </c>
      <c r="AA29" s="18">
        <v>0</v>
      </c>
      <c r="AB29" s="18">
        <v>162</v>
      </c>
      <c r="AC29" s="18">
        <v>205</v>
      </c>
    </row>
    <row r="30" spans="2:29" x14ac:dyDescent="0.25">
      <c r="B30" s="19" t="s">
        <v>29</v>
      </c>
      <c r="C30" s="18">
        <v>141</v>
      </c>
      <c r="D30" s="18">
        <v>68</v>
      </c>
      <c r="E30" s="18">
        <v>8</v>
      </c>
      <c r="F30" s="18">
        <v>22</v>
      </c>
      <c r="G30" s="18">
        <v>315</v>
      </c>
      <c r="H30" s="18">
        <v>64</v>
      </c>
      <c r="I30" s="18">
        <v>75</v>
      </c>
      <c r="J30" s="18">
        <v>123</v>
      </c>
      <c r="K30" s="18">
        <v>39</v>
      </c>
      <c r="L30" s="18">
        <v>204</v>
      </c>
      <c r="M30" s="18">
        <v>51</v>
      </c>
      <c r="N30" s="18">
        <v>108</v>
      </c>
      <c r="O30" s="18">
        <v>241</v>
      </c>
      <c r="P30" s="18">
        <v>238</v>
      </c>
      <c r="Q30" s="18">
        <v>7</v>
      </c>
      <c r="R30" s="18">
        <v>145</v>
      </c>
      <c r="S30" s="18">
        <v>101</v>
      </c>
      <c r="T30" s="18">
        <v>147</v>
      </c>
      <c r="U30" s="18">
        <v>28</v>
      </c>
      <c r="V30" s="18">
        <v>84</v>
      </c>
      <c r="W30" s="18">
        <v>153</v>
      </c>
      <c r="X30" s="18">
        <v>97</v>
      </c>
      <c r="Y30" s="18">
        <v>29</v>
      </c>
      <c r="Z30" s="18">
        <v>63</v>
      </c>
      <c r="AA30" s="18">
        <v>161</v>
      </c>
      <c r="AB30" s="18">
        <v>0</v>
      </c>
      <c r="AC30" s="18">
        <v>46</v>
      </c>
    </row>
    <row r="31" spans="2:29" x14ac:dyDescent="0.25">
      <c r="B31" s="19" t="s">
        <v>30</v>
      </c>
      <c r="C31" s="18">
        <v>191</v>
      </c>
      <c r="D31" s="18">
        <v>35</v>
      </c>
      <c r="E31" s="18">
        <v>48</v>
      </c>
      <c r="F31" s="18">
        <v>33</v>
      </c>
      <c r="G31" s="18">
        <v>216</v>
      </c>
      <c r="H31" s="18">
        <v>86</v>
      </c>
      <c r="I31" s="18">
        <v>10</v>
      </c>
      <c r="J31" s="18">
        <v>173</v>
      </c>
      <c r="K31" s="18">
        <v>61</v>
      </c>
      <c r="L31" s="18">
        <v>181</v>
      </c>
      <c r="M31" s="18">
        <v>38</v>
      </c>
      <c r="N31" s="18">
        <v>43</v>
      </c>
      <c r="O31" s="18">
        <v>178</v>
      </c>
      <c r="P31" s="18">
        <v>287</v>
      </c>
      <c r="Q31" s="18">
        <v>53</v>
      </c>
      <c r="R31" s="18">
        <v>91</v>
      </c>
      <c r="S31" s="18">
        <v>68</v>
      </c>
      <c r="T31" s="18">
        <v>119</v>
      </c>
      <c r="U31" s="18">
        <v>33</v>
      </c>
      <c r="V31" s="18">
        <v>106</v>
      </c>
      <c r="W31" s="18">
        <v>120</v>
      </c>
      <c r="X31" s="18">
        <v>73</v>
      </c>
      <c r="Y31" s="18">
        <v>53</v>
      </c>
      <c r="Z31" s="18">
        <v>112</v>
      </c>
      <c r="AA31" s="18">
        <v>211</v>
      </c>
      <c r="AB31" s="18">
        <v>46</v>
      </c>
      <c r="AC31" s="1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Documentation</vt:lpstr>
      <vt:lpstr>Driving Form</vt:lpstr>
      <vt:lpstr>Driving Itinerary</vt:lpstr>
      <vt:lpstr>Distance Table</vt:lpstr>
      <vt:lpstr>cities</vt:lpstr>
      <vt:lpstr>dist</vt:lpstr>
      <vt:lpstr>distance_table</vt:lpstr>
      <vt:lpstr>travel_end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12: Case Problem 2</dc:title>
  <dc:creator>Your Name</dc:creator>
  <cp:lastModifiedBy>Patrick Carey</cp:lastModifiedBy>
  <dcterms:created xsi:type="dcterms:W3CDTF">2019-03-11T03:55:58Z</dcterms:created>
  <dcterms:modified xsi:type="dcterms:W3CDTF">2021-12-01T08:40:55Z</dcterms:modified>
</cp:coreProperties>
</file>
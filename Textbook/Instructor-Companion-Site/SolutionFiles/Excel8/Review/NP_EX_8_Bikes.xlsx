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8\Review\"/>
    </mc:Choice>
  </mc:AlternateContent>
  <xr:revisionPtr revIDLastSave="0" documentId="13_ncr:1_{344FB7DC-2E48-4433-AC6A-F9C1929CE2EC}" xr6:coauthVersionLast="46" xr6:coauthVersionMax="46" xr10:uidLastSave="{00000000-0000-0000-0000-000000000000}"/>
  <bookViews>
    <workbookView xWindow="-120" yWindow="-120" windowWidth="29040" windowHeight="15840" xr2:uid="{769889F2-D9F7-4CFD-975F-EC4FAE00A2A0}"/>
  </bookViews>
  <sheets>
    <sheet name="Documentation" sheetId="1" r:id="rId1"/>
    <sheet name="Income Statement" sheetId="2" r:id="rId2"/>
    <sheet name="Scenario Summary" sheetId="5" r:id="rId3"/>
    <sheet name="Scenario PivotTable" sheetId="6" r:id="rId4"/>
    <sheet name="Product Line" sheetId="3" r:id="rId5"/>
    <sheet name="Answer Report 1" sheetId="7" r:id="rId6"/>
    <sheet name="Terms and Definitions" sheetId="4" r:id="rId7"/>
  </sheets>
  <definedNames>
    <definedName name="Miscellaneous">'Income Statement'!$B$21</definedName>
    <definedName name="Net_Income">'Income Statement'!$B$27</definedName>
    <definedName name="Salaries_and_Benefits">'Income Statement'!$B$18</definedName>
    <definedName name="Sales_Price_per_Unit">'Income Statement'!$B$6</definedName>
    <definedName name="Shipping_and_Distribution">'Income Statement'!$B$19</definedName>
    <definedName name="solver_adj" localSheetId="5" hidden="1">'Answer Report 1'!$B$11:$E$11</definedName>
    <definedName name="solver_adj" localSheetId="4" hidden="1">'Product Line'!$B$11:$E$11</definedName>
    <definedName name="solver_cvg" localSheetId="4" hidden="1">0.0001</definedName>
    <definedName name="solver_drv" localSheetId="4" hidden="1">1</definedName>
    <definedName name="solver_eng" localSheetId="5" hidden="1">1</definedName>
    <definedName name="solver_eng" localSheetId="0" hidden="1">1</definedName>
    <definedName name="solver_eng" localSheetId="1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0" localSheetId="4" hidden="1">'Product Line'!$J$28:$J$45</definedName>
    <definedName name="solver_lhs1" localSheetId="5" hidden="1">'Answer Report 1'!$B$11:$E$11</definedName>
    <definedName name="solver_lhs1" localSheetId="4" hidden="1">'Product Line'!$B$11:$E$11</definedName>
    <definedName name="solver_lhs2" localSheetId="5" hidden="1">'Answer Report 1'!$C$19</definedName>
    <definedName name="solver_lhs2" localSheetId="4" hidden="1">'Product Line'!$C$19</definedName>
    <definedName name="solver_lhs3" localSheetId="5" hidden="1">'Answer Report 1'!$J$28:$J$46</definedName>
    <definedName name="solver_lhs3" localSheetId="4" hidden="1">'Product Line'!$J$28:$J$46</definedName>
    <definedName name="solver_lhs4" localSheetId="5" hidden="1">'Answer Report 1'!$B$11:$E$11</definedName>
    <definedName name="solver_lhs4" localSheetId="4" hidden="1">'Product Line'!$B$11:$E$11</definedName>
    <definedName name="solver_lhs5" localSheetId="4" hidden="1">'Product Line'!$J$28:$J$35</definedName>
    <definedName name="solver_lhs6" localSheetId="4" hidden="1">'Product Line'!$J$28:$J$35</definedName>
    <definedName name="solver_lin" localSheetId="4" hidden="1">2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5" hidden="1">1</definedName>
    <definedName name="solver_neg" localSheetId="0" hidden="1">1</definedName>
    <definedName name="solver_neg" localSheetId="1" hidden="1">1</definedName>
    <definedName name="solver_neg" localSheetId="4" hidden="1">1</definedName>
    <definedName name="solver_nod" localSheetId="4" hidden="1">2147483647</definedName>
    <definedName name="solver_num" localSheetId="5" hidden="1">4</definedName>
    <definedName name="solver_num" localSheetId="0" hidden="1">0</definedName>
    <definedName name="solver_num" localSheetId="1" hidden="1">0</definedName>
    <definedName name="solver_num" localSheetId="4" hidden="1">4</definedName>
    <definedName name="solver_nwt" localSheetId="4" hidden="1">1</definedName>
    <definedName name="solver_opt" localSheetId="5" hidden="1">'Answer Report 1'!$E$24</definedName>
    <definedName name="solver_opt" localSheetId="0" hidden="1">Documentation!$B$3</definedName>
    <definedName name="solver_opt" localSheetId="1" hidden="1">'Income Statement'!$A$1</definedName>
    <definedName name="solver_opt" localSheetId="4" hidden="1">'Product Line'!$E$24</definedName>
    <definedName name="solver_pre" localSheetId="4" hidden="1">0.000001</definedName>
    <definedName name="solver_rbv" localSheetId="4" hidden="1">1</definedName>
    <definedName name="solver_rel0" localSheetId="4" hidden="1">3</definedName>
    <definedName name="solver_rel1" localSheetId="5" hidden="1">4</definedName>
    <definedName name="solver_rel1" localSheetId="4" hidden="1">4</definedName>
    <definedName name="solver_rel2" localSheetId="5" hidden="1">2</definedName>
    <definedName name="solver_rel2" localSheetId="4" hidden="1">2</definedName>
    <definedName name="solver_rel3" localSheetId="5" hidden="1">3</definedName>
    <definedName name="solver_rel3" localSheetId="4" hidden="1">3</definedName>
    <definedName name="solver_rel4" localSheetId="5" hidden="1">3</definedName>
    <definedName name="solver_rel4" localSheetId="4" hidden="1">3</definedName>
    <definedName name="solver_rel5" localSheetId="4" hidden="1">3</definedName>
    <definedName name="solver_rel6" localSheetId="4" hidden="1">3</definedName>
    <definedName name="solver_rhs0" localSheetId="4" hidden="1">0</definedName>
    <definedName name="solver_rhs1" localSheetId="5" hidden="1">integer</definedName>
    <definedName name="solver_rhs1" localSheetId="4" hidden="1">integer</definedName>
    <definedName name="solver_rhs2" localSheetId="5" hidden="1">5000</definedName>
    <definedName name="solver_rhs2" localSheetId="4" hidden="1">5000</definedName>
    <definedName name="solver_rhs3" localSheetId="5" hidden="1">0</definedName>
    <definedName name="solver_rhs3" localSheetId="4" hidden="1">0</definedName>
    <definedName name="solver_rhs4" localSheetId="5" hidden="1">1000</definedName>
    <definedName name="solver_rhs4" localSheetId="4" hidden="1">1000</definedName>
    <definedName name="solver_rhs5" localSheetId="4" hidden="1">0</definedName>
    <definedName name="solver_rhs6" localSheetId="4" hidden="1">0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5" hidden="1">1</definedName>
    <definedName name="solver_typ" localSheetId="0" hidden="1">1</definedName>
    <definedName name="solver_typ" localSheetId="1" hidden="1">1</definedName>
    <definedName name="solver_typ" localSheetId="4" hidden="1">1</definedName>
    <definedName name="solver_val" localSheetId="5" hidden="1">0</definedName>
    <definedName name="solver_val" localSheetId="0" hidden="1">0</definedName>
    <definedName name="solver_val" localSheetId="1" hidden="1">0</definedName>
    <definedName name="solver_val" localSheetId="4" hidden="1">0</definedName>
    <definedName name="solver_ver" localSheetId="5" hidden="1">3</definedName>
    <definedName name="solver_ver" localSheetId="0" hidden="1">3</definedName>
    <definedName name="solver_ver" localSheetId="1" hidden="1">3</definedName>
    <definedName name="solver_ver" localSheetId="4" hidden="1">3</definedName>
    <definedName name="Stocking_and_Storage">'Income Statement'!$B$20</definedName>
    <definedName name="Total_Expenses">'Income Statement'!$B$26</definedName>
    <definedName name="Total_Revenue">'Income Statement'!$B$25</definedName>
    <definedName name="Units_Sold">'Income Statement'!$B$5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3" l="1"/>
  <c r="A43" i="3"/>
  <c r="A40" i="3" a="1"/>
  <c r="A40" i="3" s="1"/>
  <c r="A39" i="3" a="1"/>
  <c r="A39" i="3" s="1"/>
  <c r="A38" i="3"/>
  <c r="A34" i="3"/>
  <c r="A33" i="3"/>
  <c r="A30" i="3" a="1"/>
  <c r="A30" i="3" s="1"/>
  <c r="A29" i="3" a="1"/>
  <c r="A29" i="3" s="1"/>
  <c r="A28" i="3"/>
  <c r="D5" i="2"/>
  <c r="I29" i="3" l="1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28" i="3"/>
  <c r="E15" i="3"/>
  <c r="D15" i="3"/>
  <c r="E14" i="3"/>
  <c r="D14" i="3"/>
  <c r="C15" i="3"/>
  <c r="C14" i="3"/>
  <c r="B14" i="3"/>
  <c r="B15" i="3"/>
  <c r="B7" i="2" l="1"/>
  <c r="B25" i="2" s="1"/>
  <c r="E5" i="2" s="1"/>
  <c r="B22" i="2"/>
  <c r="B10" i="2"/>
  <c r="B14" i="2" s="1"/>
  <c r="B12" i="2" l="1"/>
  <c r="B15" i="2" s="1"/>
  <c r="B26" i="2" s="1"/>
  <c r="F5" i="2" s="1"/>
  <c r="B27" i="2" l="1"/>
  <c r="G5" i="2" l="1"/>
  <c r="I5" i="2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D23" i="3"/>
  <c r="E23" i="3" s="1"/>
  <c r="C22" i="3"/>
  <c r="B22" i="3"/>
  <c r="C21" i="3"/>
  <c r="A37" i="3" s="1"/>
  <c r="B21" i="3"/>
  <c r="C19" i="3"/>
  <c r="B19" i="3"/>
  <c r="C16" i="3"/>
  <c r="B16" i="3"/>
  <c r="D12" i="3"/>
  <c r="C12" i="3"/>
  <c r="B12" i="3"/>
  <c r="E12" i="3"/>
  <c r="A42" i="3" l="1" a="1"/>
  <c r="A42" i="3" s="1"/>
  <c r="A32" i="3" a="1"/>
  <c r="A32" i="3" s="1"/>
  <c r="A31" i="3"/>
  <c r="A41" i="3"/>
  <c r="D21" i="3"/>
  <c r="E21" i="3" s="1"/>
  <c r="D16" i="3"/>
  <c r="D22" i="3"/>
  <c r="E22" i="3" s="1"/>
  <c r="B20" i="3"/>
  <c r="B24" i="3" s="1"/>
  <c r="E16" i="3"/>
  <c r="C20" i="3"/>
  <c r="D19" i="3"/>
  <c r="E19" i="3" s="1"/>
  <c r="D20" i="3" l="1"/>
  <c r="E20" i="3" s="1"/>
  <c r="C24" i="3"/>
  <c r="D24" i="3" l="1"/>
  <c r="E24" i="3" s="1"/>
  <c r="A27" i="3" s="1"/>
</calcChain>
</file>

<file path=xl/sharedStrings.xml><?xml version="1.0" encoding="utf-8"?>
<sst xmlns="http://schemas.openxmlformats.org/spreadsheetml/2006/main" count="306" uniqueCount="213">
  <si>
    <t>Athena Cycles</t>
  </si>
  <si>
    <t>Author</t>
  </si>
  <si>
    <t>Date</t>
  </si>
  <si>
    <t>Purpose</t>
  </si>
  <si>
    <t>Break-Even Analysis</t>
  </si>
  <si>
    <t>Net Income Analysis</t>
  </si>
  <si>
    <t>Revenue</t>
  </si>
  <si>
    <t>Units Sold</t>
  </si>
  <si>
    <t>Expenses</t>
  </si>
  <si>
    <t>Net Income</t>
  </si>
  <si>
    <t>Units Produced and Sold</t>
  </si>
  <si>
    <t>Total Revenue</t>
  </si>
  <si>
    <t>Variable Expenses</t>
  </si>
  <si>
    <t>Units Produced</t>
  </si>
  <si>
    <t>Total Material Cost</t>
  </si>
  <si>
    <t>Total Manufacturing Cost</t>
  </si>
  <si>
    <t>Total Variable Expenses</t>
  </si>
  <si>
    <t>Fixed Expenses</t>
  </si>
  <si>
    <t>Salaries and Benefits</t>
  </si>
  <si>
    <t>Shipping and Distribution</t>
  </si>
  <si>
    <t>Stocking and Storage</t>
  </si>
  <si>
    <t>Miscellaneous</t>
  </si>
  <si>
    <t>Total Fixed Expenses</t>
  </si>
  <si>
    <t>Summary</t>
  </si>
  <si>
    <t>Total Expenses</t>
  </si>
  <si>
    <t>Product Mix Analysis</t>
  </si>
  <si>
    <t>Parts Required for Each Unit</t>
  </si>
  <si>
    <t>Part</t>
  </si>
  <si>
    <t>Sales Price per Unit</t>
  </si>
  <si>
    <t>Material Cost per Unit</t>
  </si>
  <si>
    <t>Manufacturing Cost per Unit</t>
  </si>
  <si>
    <t>Even Product Mix (Units)</t>
  </si>
  <si>
    <t>Optimal Product (Units)</t>
  </si>
  <si>
    <t>Change</t>
  </si>
  <si>
    <t>Revenue (Even Mix)</t>
  </si>
  <si>
    <t>Revenue (Optimal Mix)</t>
  </si>
  <si>
    <t>Drivetrain Kit</t>
  </si>
  <si>
    <t>Parts Available</t>
  </si>
  <si>
    <t>Available</t>
  </si>
  <si>
    <t>Used</t>
  </si>
  <si>
    <t>Remaining</t>
  </si>
  <si>
    <t>Terms and Definitions</t>
  </si>
  <si>
    <t>Term</t>
  </si>
  <si>
    <t>Definition</t>
  </si>
  <si>
    <t>Cost-Volume-Profit Analysis</t>
  </si>
  <si>
    <t>A branch of financial analysis that studies the relationship between expenses, sales volume, and profitability</t>
  </si>
  <si>
    <t>The total income generated from sales of a product or service</t>
  </si>
  <si>
    <t>Expenses that change in proportion to the volume of production</t>
  </si>
  <si>
    <t>Expenses that must be paid regardless of sales volume</t>
  </si>
  <si>
    <t>Break-Even Point</t>
  </si>
  <si>
    <t>The point where total revenue equals total expenses</t>
  </si>
  <si>
    <t>Product Mix</t>
  </si>
  <si>
    <t>The combination of different products offered by the company to the consumer</t>
  </si>
  <si>
    <t>Optimal Product Mix</t>
  </si>
  <si>
    <t>The product mix that maximizes profits subject to constraints on production and consumer choice</t>
  </si>
  <si>
    <t>Even Mix</t>
  </si>
  <si>
    <t>Optimal Mix</t>
  </si>
  <si>
    <t>Difference</t>
  </si>
  <si>
    <t>% Difference</t>
  </si>
  <si>
    <t>Sales Price</t>
  </si>
  <si>
    <t>Maximum Net Income</t>
  </si>
  <si>
    <t>Minimum Material Cost</t>
  </si>
  <si>
    <t>Trail I</t>
  </si>
  <si>
    <t>Trail II</t>
  </si>
  <si>
    <t>Trail Pro</t>
  </si>
  <si>
    <t>Trail Pro II</t>
  </si>
  <si>
    <t>Silver Au Frame</t>
  </si>
  <si>
    <t>Magna Drivetrain Kit</t>
  </si>
  <si>
    <t>HighPro Drivetrain Kit</t>
  </si>
  <si>
    <t>Mountain Carbon Frame</t>
  </si>
  <si>
    <t>Reinforced Shifters</t>
  </si>
  <si>
    <t>Standard Shifters</t>
  </si>
  <si>
    <t>Mountain Shifters</t>
  </si>
  <si>
    <t>Mountain Derailleurs</t>
  </si>
  <si>
    <t>Standard Derailleurs</t>
  </si>
  <si>
    <t>Standard Pedals</t>
  </si>
  <si>
    <t>HighPro Pedals</t>
  </si>
  <si>
    <t>Disc Brakes Std</t>
  </si>
  <si>
    <t>Disc Brakes Ext</t>
  </si>
  <si>
    <t>Disk Brakes HighPro</t>
  </si>
  <si>
    <t>Standard Seat</t>
  </si>
  <si>
    <t>HighProd Seat</t>
  </si>
  <si>
    <t>HighPro Hubs</t>
  </si>
  <si>
    <t>Alloy Hubs</t>
  </si>
  <si>
    <t>Mountain Bike Product Mix Analysis</t>
  </si>
  <si>
    <t>Income Analysis for the Trail I Mountain Bike</t>
  </si>
  <si>
    <t>To perform a break-even analysis of Trail I mountain bike sales and to determine the product mix that optimizes company profits among four Athena Cycles mountain bikes</t>
  </si>
  <si>
    <t>Roy Lockley</t>
  </si>
  <si>
    <t>Units_Sold</t>
  </si>
  <si>
    <t>Sales_Price_per_Unit</t>
  </si>
  <si>
    <t>Salaries_and_Benefits</t>
  </si>
  <si>
    <t>Shipping_and_Distribution</t>
  </si>
  <si>
    <t>Stocking_and_Storage</t>
  </si>
  <si>
    <t>Total_Revenue</t>
  </si>
  <si>
    <t>Total_Expenses</t>
  </si>
  <si>
    <t>Net_Income</t>
  </si>
  <si>
    <t>Status Quo</t>
  </si>
  <si>
    <t>Created by Your Name on 1/14/2019</t>
  </si>
  <si>
    <t>Increased Production</t>
  </si>
  <si>
    <t>Decreased Production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</si>
  <si>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</si>
  <si>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</si>
  <si>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</si>
  <si>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</si>
  <si>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</si>
  <si>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</si>
  <si>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</si>
  <si>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Row Labels</t>
  </si>
  <si>
    <t>Scenario Report</t>
  </si>
  <si>
    <t>Microsoft Excel 16.0 Answer Report</t>
  </si>
  <si>
    <t>Worksheet: [NP_EX_8_Bikes.xlsx]Product Line</t>
  </si>
  <si>
    <t>Result: Solver found a solution.  All Constraints and optimality conditions are satisfied.</t>
  </si>
  <si>
    <t>Solver Engine</t>
  </si>
  <si>
    <t>Engine: GRG Nonlinear</t>
  </si>
  <si>
    <t>Solution Time: 0.61 Seconds.</t>
  </si>
  <si>
    <t>Iterations: 0 Subproblems: 2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</si>
  <si>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</si>
  <si>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</si>
  <si>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</si>
  <si>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</si>
  <si>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</si>
  <si>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</si>
  <si>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</si>
  <si>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</si>
  <si>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</si>
  <si>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</si>
  <si>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</si>
  <si>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</si>
  <si>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</si>
  <si>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</si>
  <si>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</si>
  <si>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</si>
  <si>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$E$24</t>
  </si>
  <si>
    <t>Net Income % Difference</t>
  </si>
  <si>
    <t>$B$11</t>
  </si>
  <si>
    <t>Optimal Product (Units) Trail I</t>
  </si>
  <si>
    <t>$C$11</t>
  </si>
  <si>
    <t>Optimal Product (Units) Trail II</t>
  </si>
  <si>
    <t>$D$11</t>
  </si>
  <si>
    <t>Optimal Product (Units) Trail Pro</t>
  </si>
  <si>
    <t>$E$11</t>
  </si>
  <si>
    <t>Optimal Product (Units) Trail Pro II</t>
  </si>
  <si>
    <t>$C$19</t>
  </si>
  <si>
    <t>Units Produced and Sold Optimal Mix</t>
  </si>
  <si>
    <t>$C$19=5000</t>
  </si>
  <si>
    <t>Binding</t>
  </si>
  <si>
    <t>$J$28</t>
  </si>
  <si>
    <t>Silver Au Frame Remaining</t>
  </si>
  <si>
    <t>$J$28&gt;=0</t>
  </si>
  <si>
    <t>Not Binding</t>
  </si>
  <si>
    <t>$J$29</t>
  </si>
  <si>
    <t>Mountain Carbon Frame Remaining</t>
  </si>
  <si>
    <t>$J$29&gt;=0</t>
  </si>
  <si>
    <t>$J$30</t>
  </si>
  <si>
    <t>Standard Shifters Remaining</t>
  </si>
  <si>
    <t>$J$30&gt;=0</t>
  </si>
  <si>
    <t>$J$31</t>
  </si>
  <si>
    <t>Reinforced Shifters Remaining</t>
  </si>
  <si>
    <t>$J$31&gt;=0</t>
  </si>
  <si>
    <t>$J$32</t>
  </si>
  <si>
    <t>Mountain Shifters Remaining</t>
  </si>
  <si>
    <t>$J$32&gt;=0</t>
  </si>
  <si>
    <t>$J$33</t>
  </si>
  <si>
    <t>Standard Derailleurs Remaining</t>
  </si>
  <si>
    <t>$J$33&gt;=0</t>
  </si>
  <si>
    <t>$J$34</t>
  </si>
  <si>
    <t>Mountain Derailleurs Remaining</t>
  </si>
  <si>
    <t>$J$34&gt;=0</t>
  </si>
  <si>
    <t>$J$35</t>
  </si>
  <si>
    <t>Standard Pedals Remaining</t>
  </si>
  <si>
    <t>$J$35&gt;=0</t>
  </si>
  <si>
    <t>$J$36</t>
  </si>
  <si>
    <t>HighPro Pedals Remaining</t>
  </si>
  <si>
    <t>$J$36&gt;=0</t>
  </si>
  <si>
    <t>$J$37</t>
  </si>
  <si>
    <t>Disc Brakes Std Remaining</t>
  </si>
  <si>
    <t>$J$37&gt;=0</t>
  </si>
  <si>
    <t>$J$38</t>
  </si>
  <si>
    <t>Disc Brakes Ext Remaining</t>
  </si>
  <si>
    <t>$J$38&gt;=0</t>
  </si>
  <si>
    <t>$J$39</t>
  </si>
  <si>
    <t>Disk Brakes HighPro Remaining</t>
  </si>
  <si>
    <t>$J$39&gt;=0</t>
  </si>
  <si>
    <t>$J$40</t>
  </si>
  <si>
    <t>Standard Seat Remaining</t>
  </si>
  <si>
    <t>$J$40&gt;=0</t>
  </si>
  <si>
    <t>$J$41</t>
  </si>
  <si>
    <t>HighProd Seat Remaining</t>
  </si>
  <si>
    <t>$J$41&gt;=0</t>
  </si>
  <si>
    <t>$J$42</t>
  </si>
  <si>
    <t>Alloy Hubs Remaining</t>
  </si>
  <si>
    <t>$J$42&gt;=0</t>
  </si>
  <si>
    <t>$J$43</t>
  </si>
  <si>
    <t>HighPro Hubs Remaining</t>
  </si>
  <si>
    <t>$J$43&gt;=0</t>
  </si>
  <si>
    <t>$J$44</t>
  </si>
  <si>
    <t>Drivetrain Kit Remaining</t>
  </si>
  <si>
    <t>$J$44&gt;=0</t>
  </si>
  <si>
    <t>$J$45</t>
  </si>
  <si>
    <t>Magna Drivetrain Kit Remaining</t>
  </si>
  <si>
    <t>$J$45&gt;=0</t>
  </si>
  <si>
    <t>$J$46</t>
  </si>
  <si>
    <t>HighPro Drivetrain Kit Remaining</t>
  </si>
  <si>
    <t>$J$46&gt;=0</t>
  </si>
  <si>
    <t>$B$11&gt;=1000</t>
  </si>
  <si>
    <t>$C$11&gt;=1000</t>
  </si>
  <si>
    <t>$D$11&gt;=1000</t>
  </si>
  <si>
    <t>$E$11&gt;=1000</t>
  </si>
  <si>
    <t>$B$11:$E$11=Integer</t>
  </si>
  <si>
    <t>$B$11:$E$11</t>
  </si>
  <si>
    <t>$J$28:$J$46 &gt;= 0</t>
  </si>
  <si>
    <t>$B$11:$E$11 &gt;= 1000</t>
  </si>
  <si>
    <t>Report Created: 1/14/2024 12:27:03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</si>
</sst>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"/>
    <numFmt numFmtId="167" formatCode="_(&quot;$&quot;* #,##0_);[Red]_(&quot;$&quot;* \(#,##0\);_(&quot;$&quot;* &quot;-&quot;??_);_(@_)"/>
    <numFmt numFmtId="168" formatCode="0_);[Red]\(0\)"/>
    <numFmt numFmtId="169" formatCode="&quot;$&quot;#,##0.00"/>
    <numFmt numFmtId="170" formatCode="0.00%;[Red]\(0.00%\)"/>
    <numFmt numFmtId="171" formatCode="&quot;Units Sold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9" tint="-0.249977111117893"/>
      <name val="Copperplate Gothic Light"/>
      <family val="2"/>
    </font>
    <font>
      <sz val="12"/>
      <color theme="0" tint="-4.9989318521683403E-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9" tint="-0.249977111117893"/>
      <name val="Copperplate Gothic Light"/>
      <family val="2"/>
    </font>
    <font>
      <sz val="12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/>
      <top style="thin">
        <color theme="9"/>
      </top>
      <bottom style="double">
        <color theme="9"/>
      </bottom>
      <diagonal/>
    </border>
    <border>
      <left/>
      <right/>
      <top style="thin">
        <color theme="9"/>
      </top>
      <bottom style="double">
        <color theme="9"/>
      </bottom>
      <diagonal/>
    </border>
    <border>
      <left style="medium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medium">
        <color theme="9"/>
      </left>
      <right/>
      <top style="double">
        <color theme="9"/>
      </top>
      <bottom style="medium">
        <color theme="9"/>
      </bottom>
      <diagonal/>
    </border>
    <border>
      <left/>
      <right/>
      <top style="double">
        <color theme="9"/>
      </top>
      <bottom style="medium">
        <color theme="9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9"/>
      </left>
      <right/>
      <top/>
      <bottom style="double">
        <color theme="9"/>
      </bottom>
      <diagonal/>
    </border>
    <border>
      <left/>
      <right/>
      <top/>
      <bottom style="double">
        <color theme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</cellStyleXfs>
  <cellXfs count="122">
    <xf numFmtId="0" fontId="0" fillId="0" borderId="0" xfId="0"/>
    <xf numFmtId="0" fontId="7" fillId="0" borderId="0" xfId="4" applyFont="1" applyAlignment="1">
      <alignment horizontal="left" vertical="center"/>
    </xf>
    <xf numFmtId="0" fontId="8" fillId="6" borderId="4" xfId="8" applyFont="1" applyFill="1" applyBorder="1" applyAlignment="1">
      <alignment vertical="top"/>
    </xf>
    <xf numFmtId="0" fontId="9" fillId="0" borderId="4" xfId="0" applyFont="1" applyBorder="1" applyAlignment="1">
      <alignment vertical="top"/>
    </xf>
    <xf numFmtId="14" fontId="9" fillId="0" borderId="4" xfId="0" applyNumberFormat="1" applyFont="1" applyBorder="1" applyAlignment="1">
      <alignment vertical="top"/>
    </xf>
    <xf numFmtId="0" fontId="9" fillId="0" borderId="4" xfId="0" applyFont="1" applyBorder="1" applyAlignment="1">
      <alignment vertical="top" wrapText="1"/>
    </xf>
    <xf numFmtId="0" fontId="10" fillId="0" borderId="0" xfId="4" applyFont="1" applyAlignment="1">
      <alignment horizontal="left" vertical="center"/>
    </xf>
    <xf numFmtId="0" fontId="3" fillId="0" borderId="0" xfId="5" applyBorder="1"/>
    <xf numFmtId="0" fontId="6" fillId="6" borderId="0" xfId="0" applyFont="1" applyFill="1"/>
    <xf numFmtId="164" fontId="0" fillId="0" borderId="0" xfId="1" applyNumberFormat="1" applyFont="1"/>
    <xf numFmtId="166" fontId="0" fillId="0" borderId="0" xfId="2" applyNumberFormat="1" applyFont="1"/>
    <xf numFmtId="38" fontId="0" fillId="0" borderId="0" xfId="1" applyNumberFormat="1" applyFont="1"/>
    <xf numFmtId="0" fontId="1" fillId="8" borderId="7" xfId="7" applyFont="1" applyFill="1" applyBorder="1"/>
    <xf numFmtId="165" fontId="1" fillId="8" borderId="8" xfId="2" applyNumberFormat="1" applyFont="1" applyFill="1" applyBorder="1"/>
    <xf numFmtId="164" fontId="0" fillId="0" borderId="0" xfId="0" applyNumberFormat="1"/>
    <xf numFmtId="0" fontId="0" fillId="8" borderId="0" xfId="0" applyFill="1"/>
    <xf numFmtId="164" fontId="0" fillId="8" borderId="0" xfId="0" applyNumberFormat="1" applyFill="1"/>
    <xf numFmtId="0" fontId="1" fillId="8" borderId="8" xfId="7" applyFont="1" applyFill="1" applyBorder="1"/>
    <xf numFmtId="165" fontId="0" fillId="0" borderId="0" xfId="2" applyNumberFormat="1" applyFont="1"/>
    <xf numFmtId="167" fontId="1" fillId="8" borderId="8" xfId="2" applyNumberFormat="1" applyFont="1" applyFill="1" applyBorder="1"/>
    <xf numFmtId="0" fontId="11" fillId="0" borderId="0" xfId="0" applyFont="1"/>
    <xf numFmtId="0" fontId="6" fillId="6" borderId="6" xfId="0" applyFont="1" applyFill="1" applyBorder="1"/>
    <xf numFmtId="0" fontId="6" fillId="6" borderId="6" xfId="0" applyFont="1" applyFill="1" applyBorder="1" applyAlignment="1">
      <alignment horizontal="center"/>
    </xf>
    <xf numFmtId="0" fontId="6" fillId="6" borderId="0" xfId="0" applyFont="1" applyFill="1" applyBorder="1"/>
    <xf numFmtId="0" fontId="6" fillId="6" borderId="0" xfId="0" applyFont="1" applyFill="1" applyBorder="1" applyAlignment="1">
      <alignment horizontal="center"/>
    </xf>
    <xf numFmtId="0" fontId="0" fillId="8" borderId="0" xfId="0" applyFill="1" applyBorder="1"/>
    <xf numFmtId="168" fontId="0" fillId="0" borderId="0" xfId="0" applyNumberFormat="1" applyBorder="1"/>
    <xf numFmtId="166" fontId="0" fillId="0" borderId="0" xfId="1" applyNumberFormat="1" applyFont="1"/>
    <xf numFmtId="0" fontId="0" fillId="8" borderId="6" xfId="0" applyFill="1" applyBorder="1"/>
    <xf numFmtId="168" fontId="0" fillId="0" borderId="6" xfId="0" applyNumberFormat="1" applyBorder="1"/>
    <xf numFmtId="0" fontId="0" fillId="7" borderId="9" xfId="0" applyFill="1" applyBorder="1"/>
    <xf numFmtId="164" fontId="0" fillId="7" borderId="10" xfId="1" applyNumberFormat="1" applyFont="1" applyFill="1" applyBorder="1"/>
    <xf numFmtId="0" fontId="0" fillId="9" borderId="11" xfId="0" applyFill="1" applyBorder="1"/>
    <xf numFmtId="164" fontId="0" fillId="9" borderId="0" xfId="1" applyNumberFormat="1" applyFont="1" applyFill="1" applyBorder="1"/>
    <xf numFmtId="0" fontId="0" fillId="0" borderId="12" xfId="0" applyFill="1" applyBorder="1"/>
    <xf numFmtId="38" fontId="0" fillId="0" borderId="13" xfId="1" applyNumberFormat="1" applyFont="1" applyFill="1" applyBorder="1"/>
    <xf numFmtId="0" fontId="0" fillId="7" borderId="3" xfId="7" applyFont="1" applyFill="1"/>
    <xf numFmtId="165" fontId="1" fillId="7" borderId="3" xfId="2" applyNumberFormat="1" applyFont="1" applyFill="1" applyBorder="1"/>
    <xf numFmtId="0" fontId="0" fillId="9" borderId="14" xfId="7" applyFont="1" applyFill="1" applyBorder="1"/>
    <xf numFmtId="164" fontId="1" fillId="9" borderId="14" xfId="1" applyNumberFormat="1" applyFont="1" applyFill="1" applyBorder="1"/>
    <xf numFmtId="0" fontId="0" fillId="8" borderId="15" xfId="0" applyFill="1" applyBorder="1"/>
    <xf numFmtId="168" fontId="0" fillId="0" borderId="15" xfId="0" applyNumberFormat="1" applyBorder="1"/>
    <xf numFmtId="38" fontId="0" fillId="0" borderId="13" xfId="2" applyNumberFormat="1" applyFont="1" applyFill="1" applyBorder="1"/>
    <xf numFmtId="0" fontId="0" fillId="0" borderId="6" xfId="0" applyFill="1" applyBorder="1"/>
    <xf numFmtId="0" fontId="0" fillId="10" borderId="6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164" fontId="0" fillId="7" borderId="0" xfId="1" applyNumberFormat="1" applyFont="1" applyFill="1"/>
    <xf numFmtId="164" fontId="0" fillId="9" borderId="0" xfId="1" applyNumberFormat="1" applyFont="1" applyFill="1"/>
    <xf numFmtId="168" fontId="0" fillId="0" borderId="0" xfId="0" applyNumberFormat="1" applyFill="1" applyBorder="1"/>
    <xf numFmtId="168" fontId="0" fillId="0" borderId="6" xfId="0" applyNumberFormat="1" applyFill="1" applyBorder="1"/>
    <xf numFmtId="38" fontId="0" fillId="8" borderId="0" xfId="1" applyNumberFormat="1" applyFont="1" applyFill="1"/>
    <xf numFmtId="164" fontId="0" fillId="0" borderId="0" xfId="1" applyNumberFormat="1" applyFont="1" applyBorder="1"/>
    <xf numFmtId="38" fontId="0" fillId="0" borderId="0" xfId="1" applyNumberFormat="1" applyFont="1" applyBorder="1"/>
    <xf numFmtId="164" fontId="0" fillId="0" borderId="6" xfId="1" applyNumberFormat="1" applyFont="1" applyBorder="1"/>
    <xf numFmtId="38" fontId="0" fillId="0" borderId="6" xfId="1" applyNumberFormat="1" applyFont="1" applyBorder="1"/>
    <xf numFmtId="164" fontId="0" fillId="0" borderId="6" xfId="1" applyNumberFormat="1" applyFont="1" applyFill="1" applyBorder="1"/>
    <xf numFmtId="0" fontId="6" fillId="5" borderId="4" xfId="11" applyBorder="1"/>
    <xf numFmtId="0" fontId="12" fillId="15" borderId="4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0" xfId="0" applyAlignment="1"/>
    <xf numFmtId="169" fontId="0" fillId="0" borderId="0" xfId="0" applyNumberFormat="1"/>
    <xf numFmtId="44" fontId="0" fillId="0" borderId="0" xfId="0" applyNumberFormat="1"/>
    <xf numFmtId="0" fontId="6" fillId="4" borderId="0" xfId="10" applyAlignment="1">
      <alignment horizontal="center"/>
    </xf>
    <xf numFmtId="164" fontId="1" fillId="3" borderId="6" xfId="9" applyNumberFormat="1" applyBorder="1" applyAlignment="1"/>
    <xf numFmtId="165" fontId="1" fillId="3" borderId="6" xfId="9" applyNumberFormat="1" applyBorder="1" applyAlignment="1"/>
    <xf numFmtId="164" fontId="0" fillId="0" borderId="0" xfId="1" applyNumberFormat="1" applyFont="1" applyAlignment="1"/>
    <xf numFmtId="6" fontId="1" fillId="3" borderId="6" xfId="9" applyNumberFormat="1" applyBorder="1" applyAlignment="1"/>
    <xf numFmtId="170" fontId="0" fillId="14" borderId="0" xfId="3" applyNumberFormat="1" applyFont="1" applyFill="1"/>
    <xf numFmtId="0" fontId="0" fillId="0" borderId="6" xfId="0" applyBorder="1"/>
    <xf numFmtId="165" fontId="0" fillId="7" borderId="6" xfId="2" applyNumberFormat="1" applyFont="1" applyFill="1" applyBorder="1"/>
    <xf numFmtId="165" fontId="0" fillId="9" borderId="6" xfId="2" applyNumberFormat="1" applyFont="1" applyFill="1" applyBorder="1"/>
    <xf numFmtId="38" fontId="0" fillId="8" borderId="6" xfId="2" applyNumberFormat="1" applyFont="1" applyFill="1" applyBorder="1"/>
    <xf numFmtId="170" fontId="0" fillId="14" borderId="6" xfId="3" applyNumberFormat="1" applyFont="1" applyFill="1" applyBorder="1"/>
    <xf numFmtId="0" fontId="0" fillId="0" borderId="16" xfId="7" applyFont="1" applyFill="1" applyBorder="1"/>
    <xf numFmtId="165" fontId="1" fillId="7" borderId="17" xfId="2" applyNumberFormat="1" applyFont="1" applyFill="1" applyBorder="1"/>
    <xf numFmtId="165" fontId="1" fillId="9" borderId="17" xfId="2" applyNumberFormat="1" applyFont="1" applyFill="1" applyBorder="1"/>
    <xf numFmtId="38" fontId="1" fillId="8" borderId="17" xfId="2" applyNumberFormat="1" applyFont="1" applyFill="1" applyBorder="1"/>
    <xf numFmtId="170" fontId="1" fillId="14" borderId="17" xfId="3" applyNumberFormat="1" applyFont="1" applyFill="1" applyBorder="1"/>
    <xf numFmtId="164" fontId="0" fillId="7" borderId="6" xfId="1" applyNumberFormat="1" applyFont="1" applyFill="1" applyBorder="1"/>
    <xf numFmtId="164" fontId="0" fillId="9" borderId="6" xfId="1" applyNumberFormat="1" applyFont="1" applyFill="1" applyBorder="1"/>
    <xf numFmtId="38" fontId="0" fillId="8" borderId="6" xfId="1" applyNumberFormat="1" applyFont="1" applyFill="1" applyBorder="1"/>
    <xf numFmtId="170" fontId="0" fillId="0" borderId="0" xfId="0" applyNumberFormat="1"/>
    <xf numFmtId="0" fontId="1" fillId="17" borderId="0" xfId="13"/>
    <xf numFmtId="0" fontId="1" fillId="16" borderId="0" xfId="12"/>
    <xf numFmtId="0" fontId="0" fillId="0" borderId="0" xfId="0" applyFill="1" applyBorder="1" applyAlignment="1"/>
    <xf numFmtId="164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0" xfId="0" applyNumberFormat="1" applyFill="1" applyBorder="1" applyAlignment="1"/>
    <xf numFmtId="38" fontId="0" fillId="0" borderId="0" xfId="0" applyNumberFormat="1" applyFill="1" applyBorder="1" applyAlignment="1"/>
    <xf numFmtId="167" fontId="0" fillId="0" borderId="19" xfId="0" applyNumberFormat="1" applyFill="1" applyBorder="1" applyAlignment="1"/>
    <xf numFmtId="0" fontId="13" fillId="18" borderId="6" xfId="0" applyFont="1" applyFill="1" applyBorder="1" applyAlignment="1">
      <alignment horizontal="left"/>
    </xf>
    <xf numFmtId="0" fontId="13" fillId="18" borderId="18" xfId="0" applyFont="1" applyFill="1" applyBorder="1" applyAlignment="1">
      <alignment horizontal="left"/>
    </xf>
    <xf numFmtId="0" fontId="0" fillId="0" borderId="20" xfId="0" applyFill="1" applyBorder="1" applyAlignment="1"/>
    <xf numFmtId="0" fontId="14" fillId="19" borderId="0" xfId="0" applyFont="1" applyFill="1" applyBorder="1" applyAlignment="1">
      <alignment horizontal="left"/>
    </xf>
    <xf numFmtId="0" fontId="15" fillId="19" borderId="20" xfId="0" applyFont="1" applyFill="1" applyBorder="1" applyAlignment="1">
      <alignment horizontal="left"/>
    </xf>
    <xf numFmtId="0" fontId="14" fillId="19" borderId="19" xfId="0" applyFont="1" applyFill="1" applyBorder="1" applyAlignment="1">
      <alignment horizontal="left"/>
    </xf>
    <xf numFmtId="0" fontId="16" fillId="18" borderId="18" xfId="0" applyFont="1" applyFill="1" applyBorder="1" applyAlignment="1">
      <alignment horizontal="right"/>
    </xf>
    <xf numFmtId="0" fontId="16" fillId="18" borderId="6" xfId="0" applyFont="1" applyFill="1" applyBorder="1" applyAlignment="1">
      <alignment horizontal="right"/>
    </xf>
    <xf numFmtId="164" fontId="0" fillId="20" borderId="0" xfId="0" applyNumberFormat="1" applyFill="1" applyBorder="1" applyAlignment="1"/>
    <xf numFmtId="166" fontId="0" fillId="20" borderId="0" xfId="0" applyNumberFormat="1" applyFill="1" applyBorder="1" applyAlignment="1"/>
    <xf numFmtId="165" fontId="0" fillId="20" borderId="0" xfId="0" applyNumberFormat="1" applyFill="1" applyBorder="1" applyAlignment="1"/>
    <xf numFmtId="0" fontId="17" fillId="0" borderId="0" xfId="0" applyFont="1" applyFill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0" fontId="2" fillId="0" borderId="0" xfId="4"/>
    <xf numFmtId="0" fontId="5" fillId="0" borderId="0" xfId="0" applyFont="1"/>
    <xf numFmtId="0" fontId="0" fillId="0" borderId="22" xfId="0" applyFill="1" applyBorder="1" applyAlignment="1"/>
    <xf numFmtId="0" fontId="15" fillId="0" borderId="21" xfId="0" applyFont="1" applyFill="1" applyBorder="1" applyAlignment="1">
      <alignment horizontal="center"/>
    </xf>
    <xf numFmtId="0" fontId="0" fillId="0" borderId="23" xfId="0" applyFill="1" applyBorder="1" applyAlignment="1"/>
    <xf numFmtId="170" fontId="0" fillId="0" borderId="22" xfId="0" applyNumberFormat="1" applyFill="1" applyBorder="1" applyAlignment="1"/>
    <xf numFmtId="164" fontId="0" fillId="0" borderId="23" xfId="0" applyNumberFormat="1" applyFill="1" applyBorder="1" applyAlignment="1"/>
    <xf numFmtId="164" fontId="0" fillId="0" borderId="22" xfId="0" applyNumberFormat="1" applyFill="1" applyBorder="1" applyAlignment="1"/>
    <xf numFmtId="38" fontId="0" fillId="0" borderId="23" xfId="0" applyNumberFormat="1" applyFill="1" applyBorder="1" applyAlignment="1"/>
    <xf numFmtId="0" fontId="15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/>
    </xf>
    <xf numFmtId="0" fontId="18" fillId="0" borderId="23" xfId="0" applyFont="1" applyFill="1" applyBorder="1" applyAlignment="1">
      <alignment horizontal="left"/>
    </xf>
    <xf numFmtId="171" fontId="0" fillId="0" borderId="6" xfId="0" applyNumberFormat="1" applyBorder="1" applyAlignment="1"/>
    <xf numFmtId="0" fontId="6" fillId="4" borderId="5" xfId="10" applyBorder="1" applyAlignment="1">
      <alignment horizontal="center"/>
    </xf>
    <xf numFmtId="0" fontId="4" fillId="0" borderId="2" xfId="6" applyAlignment="1">
      <alignment horizontal="center"/>
    </xf>
  </cellXfs>
  <cellStyles count="14">
    <cellStyle name="40% - Accent1" xfId="9" builtinId="31"/>
    <cellStyle name="40% - Accent2" xfId="12" builtinId="35"/>
    <cellStyle name="40% - Accent4" xfId="13" builtinId="43"/>
    <cellStyle name="Accent1" xfId="8" builtinId="29"/>
    <cellStyle name="Accent2" xfId="10" builtinId="33"/>
    <cellStyle name="Accent6" xfId="11" builtinId="49"/>
    <cellStyle name="Comma" xfId="1" builtinId="3"/>
    <cellStyle name="Currency" xfId="2" builtinId="4"/>
    <cellStyle name="Heading 1" xfId="5" builtinId="16"/>
    <cellStyle name="Heading 3" xfId="6" builtinId="18"/>
    <cellStyle name="Normal" xfId="0" builtinId="0"/>
    <cellStyle name="Percent" xfId="3" builtinId="5"/>
    <cellStyle name="Title" xfId="4" builtinId="15"/>
    <cellStyle name="Total" xfId="7" builtinId="25"/>
  </cellStyles>
  <dxfs count="1"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'Income Statement'!$E$4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'Income Statement'!$D$5:$D$13</c:f>
              <c:numCache>
                <c:formatCode>_(* #,##0_);_(* \(#,##0\);_(* "-"??_);_(@_)</c:formatCode>
                <c:ptCount val="9"/>
                <c:pt idx="0">
                  <c:v>1200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</c:numCache>
            </c:numRef>
          </c:xVal>
          <c:yVal>
            <c:numRef>
              <c:f>'Income Statement'!$E$5:$E$13</c:f>
              <c:numCache>
                <c:formatCode>#,##0_);[Red]\(#,##0\)</c:formatCode>
                <c:ptCount val="9"/>
                <c:pt idx="0" formatCode="_(&quot;$&quot;* #,##0_);_(&quot;$&quot;* \(#,##0\);_(&quot;$&quot;* &quot;-&quot;??_);_(@_)">
                  <c:v>1080000</c:v>
                </c:pt>
                <c:pt idx="1">
                  <c:v>225000</c:v>
                </c:pt>
                <c:pt idx="2">
                  <c:v>450000</c:v>
                </c:pt>
                <c:pt idx="3">
                  <c:v>675000</c:v>
                </c:pt>
                <c:pt idx="4">
                  <c:v>900000</c:v>
                </c:pt>
                <c:pt idx="5">
                  <c:v>1125000</c:v>
                </c:pt>
                <c:pt idx="6">
                  <c:v>1350000</c:v>
                </c:pt>
                <c:pt idx="7">
                  <c:v>1575000</c:v>
                </c:pt>
                <c:pt idx="8">
                  <c:v>1800000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7-4B0F-ACD0-D8919F518D2A}"/>
            </c:ext>
          </c:extLst>
        </c:ser>
        <c:ser>
          <c:idx val="1"/>
          <c:order val="1"/>
          <c:tx>
            <c:strRef>
              <c:f>'Income Statement'!$F$4</c:f>
              <c:strCache>
                <c:ptCount val="1"/>
                <c:pt idx="0">
                  <c:v>Expenses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'Income Statement'!$D$5:$D$13</c:f>
              <c:numCache>
                <c:formatCode>_(* #,##0_);_(* \(#,##0\);_(* "-"??_);_(@_)</c:formatCode>
                <c:ptCount val="9"/>
                <c:pt idx="0">
                  <c:v>1200</c:v>
                </c:pt>
                <c:pt idx="1">
                  <c:v>250</c:v>
                </c:pt>
                <c:pt idx="2">
                  <c:v>500</c:v>
                </c:pt>
                <c:pt idx="3">
                  <c:v>750</c:v>
                </c:pt>
                <c:pt idx="4">
                  <c:v>1000</c:v>
                </c:pt>
                <c:pt idx="5">
                  <c:v>1250</c:v>
                </c:pt>
                <c:pt idx="6">
                  <c:v>1500</c:v>
                </c:pt>
                <c:pt idx="7">
                  <c:v>1750</c:v>
                </c:pt>
                <c:pt idx="8">
                  <c:v>2000</c:v>
                </c:pt>
              </c:numCache>
            </c:numRef>
          </c:xVal>
          <c:yVal>
            <c:numRef>
              <c:f>'Income Statement'!$F$5:$F$13</c:f>
              <c:numCache>
                <c:formatCode>#,##0_);[Red]\(#,##0\)</c:formatCode>
                <c:ptCount val="9"/>
                <c:pt idx="0" formatCode="_(&quot;$&quot;* #,##0_);_(&quot;$&quot;* \(#,##0\);_(&quot;$&quot;* &quot;-&quot;??_);_(@_)">
                  <c:v>1027000</c:v>
                </c:pt>
                <c:pt idx="1">
                  <c:v>504500</c:v>
                </c:pt>
                <c:pt idx="2">
                  <c:v>642000</c:v>
                </c:pt>
                <c:pt idx="3">
                  <c:v>779500</c:v>
                </c:pt>
                <c:pt idx="4">
                  <c:v>917000</c:v>
                </c:pt>
                <c:pt idx="5">
                  <c:v>1054500</c:v>
                </c:pt>
                <c:pt idx="6">
                  <c:v>1192000</c:v>
                </c:pt>
                <c:pt idx="7">
                  <c:v>1329500</c:v>
                </c:pt>
                <c:pt idx="8">
                  <c:v>1467000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37-4B0F-ACD0-D8919F518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74688"/>
        <c:axId val="474939872"/>
      </c:scatterChart>
      <c:valAx>
        <c:axId val="42907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939872"/>
        <c:crosses val="autoZero"/>
        <c:crossBetween val="midCat"/>
      </c:valAx>
      <c:valAx>
        <c:axId val="47493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074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Break-Even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'Income Statement'!$J$5</c:f>
              <c:strCache>
                <c:ptCount val="1"/>
                <c:pt idx="0">
                  <c:v>$800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'Income Statement'!$I$6:$I$13</c:f>
              <c:numCache>
                <c:formatCode>_(* #,##0_);_(* \(#,##0\);_(* "-"??_);_(@_)</c:formatCode>
                <c:ptCount val="8"/>
                <c:pt idx="0">
                  <c:v>250</c:v>
                </c:pt>
                <c:pt idx="1">
                  <c:v>500</c:v>
                </c:pt>
                <c:pt idx="2">
                  <c:v>750</c:v>
                </c:pt>
                <c:pt idx="3">
                  <c:v>1000</c:v>
                </c:pt>
                <c:pt idx="4">
                  <c:v>1250</c:v>
                </c:pt>
                <c:pt idx="5">
                  <c:v>1500</c:v>
                </c:pt>
                <c:pt idx="6">
                  <c:v>1750</c:v>
                </c:pt>
                <c:pt idx="7">
                  <c:v>2000</c:v>
                </c:pt>
              </c:numCache>
            </c:numRef>
          </c:xVal>
          <c:yVal>
            <c:numRef>
              <c:f>'Income Statement'!$J$6:$J$13</c:f>
              <c:numCache>
                <c:formatCode>#,##0_);[Red]\(#,##0\)</c:formatCode>
                <c:ptCount val="8"/>
                <c:pt idx="0">
                  <c:v>-304500</c:v>
                </c:pt>
                <c:pt idx="1">
                  <c:v>-242000</c:v>
                </c:pt>
                <c:pt idx="2">
                  <c:v>-179500</c:v>
                </c:pt>
                <c:pt idx="3">
                  <c:v>-117000</c:v>
                </c:pt>
                <c:pt idx="4">
                  <c:v>-54500</c:v>
                </c:pt>
                <c:pt idx="5">
                  <c:v>8000</c:v>
                </c:pt>
                <c:pt idx="6">
                  <c:v>70500</c:v>
                </c:pt>
                <c:pt idx="7">
                  <c:v>133000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D3-47C6-A28E-EC2773613A2E}"/>
            </c:ext>
          </c:extLst>
        </c:ser>
        <c:ser>
          <c:idx val="1"/>
          <c:order val="1"/>
          <c:tx>
            <c:strRef>
              <c:f>'Income Statement'!$K$5</c:f>
              <c:strCache>
                <c:ptCount val="1"/>
                <c:pt idx="0">
                  <c:v>$900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'Income Statement'!$I$6:$I$13</c:f>
              <c:numCache>
                <c:formatCode>_(* #,##0_);_(* \(#,##0\);_(* "-"??_);_(@_)</c:formatCode>
                <c:ptCount val="8"/>
                <c:pt idx="0">
                  <c:v>250</c:v>
                </c:pt>
                <c:pt idx="1">
                  <c:v>500</c:v>
                </c:pt>
                <c:pt idx="2">
                  <c:v>750</c:v>
                </c:pt>
                <c:pt idx="3">
                  <c:v>1000</c:v>
                </c:pt>
                <c:pt idx="4">
                  <c:v>1250</c:v>
                </c:pt>
                <c:pt idx="5">
                  <c:v>1500</c:v>
                </c:pt>
                <c:pt idx="6">
                  <c:v>1750</c:v>
                </c:pt>
                <c:pt idx="7">
                  <c:v>2000</c:v>
                </c:pt>
              </c:numCache>
            </c:numRef>
          </c:xVal>
          <c:yVal>
            <c:numRef>
              <c:f>'Income Statement'!$K$6:$K$13</c:f>
              <c:numCache>
                <c:formatCode>#,##0_);[Red]\(#,##0\)</c:formatCode>
                <c:ptCount val="8"/>
                <c:pt idx="0">
                  <c:v>-279500</c:v>
                </c:pt>
                <c:pt idx="1">
                  <c:v>-192000</c:v>
                </c:pt>
                <c:pt idx="2">
                  <c:v>-104500</c:v>
                </c:pt>
                <c:pt idx="3">
                  <c:v>-17000</c:v>
                </c:pt>
                <c:pt idx="4">
                  <c:v>70500</c:v>
                </c:pt>
                <c:pt idx="5">
                  <c:v>158000</c:v>
                </c:pt>
                <c:pt idx="6">
                  <c:v>245500</c:v>
                </c:pt>
                <c:pt idx="7">
                  <c:v>333000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D3-47C6-A28E-EC2773613A2E}"/>
            </c:ext>
          </c:extLst>
        </c:ser>
        <c:ser>
          <c:idx val="2"/>
          <c:order val="2"/>
          <c:tx>
            <c:strRef>
              <c:f>'Income Statement'!$L$5</c:f>
              <c:strCache>
                <c:ptCount val="1"/>
                <c:pt idx="0">
                  <c:v>$1,000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'Income Statement'!$I$6:$I$13</c:f>
              <c:numCache>
                <c:formatCode>_(* #,##0_);_(* \(#,##0\);_(* "-"??_);_(@_)</c:formatCode>
                <c:ptCount val="8"/>
                <c:pt idx="0">
                  <c:v>250</c:v>
                </c:pt>
                <c:pt idx="1">
                  <c:v>500</c:v>
                </c:pt>
                <c:pt idx="2">
                  <c:v>750</c:v>
                </c:pt>
                <c:pt idx="3">
                  <c:v>1000</c:v>
                </c:pt>
                <c:pt idx="4">
                  <c:v>1250</c:v>
                </c:pt>
                <c:pt idx="5">
                  <c:v>1500</c:v>
                </c:pt>
                <c:pt idx="6">
                  <c:v>1750</c:v>
                </c:pt>
                <c:pt idx="7">
                  <c:v>2000</c:v>
                </c:pt>
              </c:numCache>
            </c:numRef>
          </c:xVal>
          <c:yVal>
            <c:numRef>
              <c:f>'Income Statement'!$L$6:$L$13</c:f>
              <c:numCache>
                <c:formatCode>#,##0_);[Red]\(#,##0\)</c:formatCode>
                <c:ptCount val="8"/>
                <c:pt idx="0">
                  <c:v>-254500</c:v>
                </c:pt>
                <c:pt idx="1">
                  <c:v>-142000</c:v>
                </c:pt>
                <c:pt idx="2">
                  <c:v>-29500</c:v>
                </c:pt>
                <c:pt idx="3">
                  <c:v>83000</c:v>
                </c:pt>
                <c:pt idx="4">
                  <c:v>195500</c:v>
                </c:pt>
                <c:pt idx="5">
                  <c:v>308000</c:v>
                </c:pt>
                <c:pt idx="6">
                  <c:v>420500</c:v>
                </c:pt>
                <c:pt idx="7">
                  <c:v>533000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D3-47C6-A28E-EC2773613A2E}"/>
            </c:ext>
          </c:extLst>
        </c:ser>
        <c:ser>
          <c:idx val="3"/>
          <c:order val="3"/>
          <c:tx>
            <c:strRef>
              <c:f>'Income Statement'!$M$5</c:f>
              <c:strCache>
                <c:ptCount val="1"/>
                <c:pt idx="0">
                  <c:v>$1,100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'Income Statement'!$I$6:$I$13</c:f>
              <c:numCache>
                <c:formatCode>_(* #,##0_);_(* \(#,##0\);_(* "-"??_);_(@_)</c:formatCode>
                <c:ptCount val="8"/>
                <c:pt idx="0">
                  <c:v>250</c:v>
                </c:pt>
                <c:pt idx="1">
                  <c:v>500</c:v>
                </c:pt>
                <c:pt idx="2">
                  <c:v>750</c:v>
                </c:pt>
                <c:pt idx="3">
                  <c:v>1000</c:v>
                </c:pt>
                <c:pt idx="4">
                  <c:v>1250</c:v>
                </c:pt>
                <c:pt idx="5">
                  <c:v>1500</c:v>
                </c:pt>
                <c:pt idx="6">
                  <c:v>1750</c:v>
                </c:pt>
                <c:pt idx="7">
                  <c:v>2000</c:v>
                </c:pt>
              </c:numCache>
            </c:numRef>
          </c:xVal>
          <c:yVal>
            <c:numRef>
              <c:f>'Income Statement'!$M$6:$M$13</c:f>
              <c:numCache>
                <c:formatCode>#,##0_);[Red]\(#,##0\)</c:formatCode>
                <c:ptCount val="8"/>
                <c:pt idx="0">
                  <c:v>-229500</c:v>
                </c:pt>
                <c:pt idx="1">
                  <c:v>-92000</c:v>
                </c:pt>
                <c:pt idx="2">
                  <c:v>45500</c:v>
                </c:pt>
                <c:pt idx="3">
                  <c:v>183000</c:v>
                </c:pt>
                <c:pt idx="4">
                  <c:v>320500</c:v>
                </c:pt>
                <c:pt idx="5">
                  <c:v>458000</c:v>
                </c:pt>
                <c:pt idx="6">
                  <c:v>595500</c:v>
                </c:pt>
                <c:pt idx="7">
                  <c:v>733000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D3-47C6-A28E-EC2773613A2E}"/>
            </c:ext>
          </c:extLst>
        </c:ser>
        <c:ser>
          <c:idx val="4"/>
          <c:order val="4"/>
          <c:tx>
            <c:strRef>
              <c:f>'Income Statement'!$N$5</c:f>
              <c:strCache>
                <c:ptCount val="1"/>
                <c:pt idx="0">
                  <c:v>$1,200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'Income Statement'!$I$6:$I$13</c:f>
              <c:numCache>
                <c:formatCode>_(* #,##0_);_(* \(#,##0\);_(* "-"??_);_(@_)</c:formatCode>
                <c:ptCount val="8"/>
                <c:pt idx="0">
                  <c:v>250</c:v>
                </c:pt>
                <c:pt idx="1">
                  <c:v>500</c:v>
                </c:pt>
                <c:pt idx="2">
                  <c:v>750</c:v>
                </c:pt>
                <c:pt idx="3">
                  <c:v>1000</c:v>
                </c:pt>
                <c:pt idx="4">
                  <c:v>1250</c:v>
                </c:pt>
                <c:pt idx="5">
                  <c:v>1500</c:v>
                </c:pt>
                <c:pt idx="6">
                  <c:v>1750</c:v>
                </c:pt>
                <c:pt idx="7">
                  <c:v>2000</c:v>
                </c:pt>
              </c:numCache>
            </c:numRef>
          </c:xVal>
          <c:yVal>
            <c:numRef>
              <c:f>'Income Statement'!$N$6:$N$13</c:f>
              <c:numCache>
                <c:formatCode>#,##0_);[Red]\(#,##0\)</c:formatCode>
                <c:ptCount val="8"/>
                <c:pt idx="0">
                  <c:v>-204500</c:v>
                </c:pt>
                <c:pt idx="1">
                  <c:v>-42000</c:v>
                </c:pt>
                <c:pt idx="2">
                  <c:v>120500</c:v>
                </c:pt>
                <c:pt idx="3">
                  <c:v>283000</c:v>
                </c:pt>
                <c:pt idx="4">
                  <c:v>445500</c:v>
                </c:pt>
                <c:pt idx="5">
                  <c:v>608000</c:v>
                </c:pt>
                <c:pt idx="6">
                  <c:v>770500</c:v>
                </c:pt>
                <c:pt idx="7">
                  <c:v>933000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D3-47C6-A28E-EC2773613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447216"/>
        <c:axId val="432890944"/>
      </c:scatterChart>
      <c:valAx>
        <c:axId val="423447216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890944"/>
        <c:crosses val="autoZero"/>
        <c:crossBetween val="midCat"/>
      </c:valAx>
      <c:valAx>
        <c:axId val="43289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47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[NP_EX_8_Bikes.xlsx]Scenario PivotTable!PivotTable5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PivotTable'!$B$3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 PivotTable'!$A$4:$A$6</c:f>
              <c:strCache>
                <c:ptCount val="3"/>
                <c:pt idx="0">
                  <c:v>Decreased Production</c:v>
                </c:pt>
                <c:pt idx="1">
                  <c:v>Increased Production</c:v>
                </c:pt>
                <c:pt idx="2">
                  <c:v>Status Quo</c:v>
                </c:pt>
              </c:strCache>
            </c:strRef>
          </c:cat>
          <c:val>
            <c:numRef>
              <c:f>'Scenario PivotTable'!$B$4:$B$6</c:f>
              <c:numCache>
                <c:formatCode>"$"#,##0_);[Red]\("$"#,##0\)</c:formatCode>
                <c:ptCount val="3"/>
                <c:pt idx="0">
                  <c:v>950000</c:v>
                </c:pt>
                <c:pt idx="1">
                  <c:v>1200000</c:v>
                </c:pt>
                <c:pt idx="2">
                  <c:v>1080000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F-40E5-87FD-17B9EE70E145}"/>
            </c:ext>
          </c:extLst>
        </c:ser>
        <c:ser>
          <c:idx val="1"/>
          <c:order val="1"/>
          <c:tx>
            <c:strRef>
              <c:f>'Scenario PivotTable'!$C$3</c:f>
              <c:strCache>
                <c:ptCount val="1"/>
                <c:pt idx="0">
                  <c:v>Total_Expenses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'Scenario PivotTable'!$A$4:$A$6</c:f>
              <c:strCache>
                <c:ptCount val="3"/>
                <c:pt idx="0">
                  <c:v>Decreased Production</c:v>
                </c:pt>
                <c:pt idx="1">
                  <c:v>Increased Production</c:v>
                </c:pt>
                <c:pt idx="2">
                  <c:v>Status Quo</c:v>
                </c:pt>
              </c:strCache>
            </c:strRef>
          </c:cat>
          <c:val>
            <c:numRef>
              <c:f>'Scenario PivotTable'!$C$4:$C$6</c:f>
              <c:numCache>
                <c:formatCode>"$"#,##0_);[Red]\("$"#,##0\)</c:formatCode>
                <c:ptCount val="3"/>
                <c:pt idx="0">
                  <c:v>850000</c:v>
                </c:pt>
                <c:pt idx="1">
                  <c:v>1235000</c:v>
                </c:pt>
                <c:pt idx="2">
                  <c:v>1027000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F-40E5-87FD-17B9EE70E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461216"/>
        <c:axId val="491091568"/>
      </c:barChart>
      <c:lineChart>
        <c:grouping val="standard"/>
        <c:varyColors val="0"/>
        <c:ser>
          <c:idx val="2"/>
          <c:order val="2"/>
          <c:tx>
            <c:strRef>
              <c:f>'Scenario PivotTable'!$D$3</c:f>
              <c:strCache>
                <c:ptCount val="1"/>
                <c:pt idx="0">
                  <c:v>Net_Income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'Scenario PivotTable'!$A$4:$A$6</c:f>
              <c:strCache>
                <c:ptCount val="3"/>
                <c:pt idx="0">
                  <c:v>Decreased Production</c:v>
                </c:pt>
                <c:pt idx="1">
                  <c:v>Increased Production</c:v>
                </c:pt>
                <c:pt idx="2">
                  <c:v>Status Quo</c:v>
                </c:pt>
              </c:strCache>
            </c:strRef>
          </c:cat>
          <c:val>
            <c:numRef>
              <c:f>'Scenario PivotTable'!$D$4:$D$6</c:f>
              <c:numCache>
                <c:formatCode>"$"#,##0_);[Red]\("$"#,##0\)</c:formatCode>
                <c:ptCount val="3"/>
                <c:pt idx="0">
                  <c:v>100000</c:v>
                </c:pt>
                <c:pt idx="1">
                  <c:v>-35000</c:v>
                </c:pt>
                <c:pt idx="2">
                  <c:v>53000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5F-40E5-87FD-17B9EE70E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562688"/>
        <c:axId val="491094064"/>
      </c:lineChart>
      <c:catAx>
        <c:axId val="42346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91568"/>
        <c:crosses val="autoZero"/>
        <c:auto val="1"/>
        <c:lblAlgn val="ctr"/>
        <c:lblOffset val="100"/>
        <c:noMultiLvlLbl val="0"/>
      </c:catAx>
      <c:valAx>
        <c:axId val="49109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61216"/>
        <c:crosses val="autoZero"/>
        <c:crossBetween val="between"/>
      </c:valAx>
      <c:valAx>
        <c:axId val="491094064"/>
        <c:scaling>
          <c:orientation val="minMax"/>
        </c:scaling>
        <c:delete val="0"/>
        <c:axPos val="r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62688"/>
        <c:crosses val="max"/>
        <c:crossBetween val="between"/>
      </c:valAx>
      <c:catAx>
        <c:axId val="483562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1094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71D9F-88B0-4BF8-9E87-D61AF84CC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190499</xdr:colOff>
      <xdr:row>13</xdr:row>
      <xdr:rowOff>0</xdr:rowOff>
    </xdr:from>
    <xdr:to>
      <xdr:col>13</xdr:col>
      <xdr:colOff>849312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ECC17D-4319-4C81-AF2E-15B5F6415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9D99F-00BC-46ED-B9DE-A011E7446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our Name" refreshedDate="43479.010832291664" createdVersion="6" refreshedVersion="6" minRefreshableVersion="3" recordCount="3" xr:uid="{270E8FD2-1EE6-4074-860D-2F658CFE1688}">
  <cacheSource type="scenario"/>
  <cacheFields count="5">
    <cacheField name="$B$5:$B$6,$B$18:$B$21" numFmtId="0">
      <sharedItems containsNonDate="0" count="3">
        <s v="Status Quo"/>
        <s v="Increased Production"/>
        <s v="Decreased Production"/>
      </sharedItems>
    </cacheField>
    <cacheField name="$B$5:$B$6,$B$18:$B$21 by" numFmtId="0">
      <sharedItems containsNonDate="0" count="1">
        <s v="Your Name"/>
      </sharedItems>
    </cacheField>
    <cacheField name="res Total_Revenue" numFmtId="0">
      <sharedItems containsSemiMixedTypes="0" containsNonDate="0" containsString="0" containsNumber="1" containsInteger="1" minValue="950000" maxValue="1200000" count="3">
        <n v="1080000"/>
        <n v="1200000"/>
        <n v="950000"/>
      </sharedItems>
    </cacheField>
    <cacheField name="res Total_Expenses" numFmtId="0">
      <sharedItems containsSemiMixedTypes="0" containsNonDate="0" containsString="0" containsNumber="1" containsInteger="1" minValue="850000" maxValue="1235000" count="3">
        <n v="1027000"/>
        <n v="1235000"/>
        <n v="850000"/>
      </sharedItems>
    </cacheField>
    <cacheField name="res Net_Income" numFmtId="0">
      <sharedItems containsSemiMixedTypes="0" containsNonDate="0" containsString="0" containsNumber="1" containsInteger="1" minValue="-35000" maxValue="100000" count="3">
        <n v="53000"/>
        <n v="-35000"/>
        <n v="10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C8C2A-EFFD-4140-9B7A-DFD019881CBF}" name="PivotTable5" cacheId="2" applyNumberFormats="0" applyBorderFormats="0" applyFontFormats="0" applyPatternFormats="0" applyAlignmentFormats="0" applyWidthHeightFormats="1" dataCaption="Result Cells" updatedVersion="6" minRefreshableVersion="3" useAutoFormatting="1" rowGrandTotals="0" colGrandTotals="0" itemPrintTitles="1" createdVersion="6" indent="0" outline="1" outlineData="1" multipleFieldFilters="0" chartFormat="1" fieldListSortAscending="1">
  <location ref="A3:D6" firstHeaderRow="0" firstDataRow="1" firstDataCol="1"/>
  <pivotFields count="5">
    <pivotField axis="axisRow" showAll="0" defaultSubtotal="0">
      <items count="3">
        <item x="2"/>
        <item x="1"/>
        <item x="0"/>
      </items>
    </pivotField>
    <pivotField showAll="0">
      <items count="2">
        <item x="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Revenue" fld="2" baseField="0" baseItem="0" numFmtId="6"/>
    <dataField name="Total_Expenses" fld="3" baseField="0" baseItem="0" numFmtId="6"/>
    <dataField name="Net_Income" fld="4" baseField="0" baseItem="0" numFmtId="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A3CA-9063-4020-9D35-91D5EF083C88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.85546875" customWidth="1"/>
    <col min="2" max="2" width="50.5703125" customWidth="1"/>
  </cols>
  <sheetData>
    <row r="1" spans="1:2" ht="37.5" customHeight="1" x14ac:dyDescent="0.25">
      <c r="A1" s="1" t="s">
        <v>0</v>
      </c>
    </row>
    <row r="3" spans="1:2" ht="15.75" x14ac:dyDescent="0.25">
      <c r="A3" s="2" t="s">
        <v>1</v>
      </c>
      <c r="B3" s="3" t="s">
        <v>87</v>
      </c>
    </row>
    <row r="4" spans="1:2" ht="15.75" x14ac:dyDescent="0.25">
      <c r="A4" s="2" t="s">
        <v>2</v>
      </c>
      <c r="B4" s="4">
        <v>45352</v>
      </c>
    </row>
    <row r="5" spans="1:2" ht="60" x14ac:dyDescent="0.25">
      <c r="A5" s="2" t="s">
        <v>3</v>
      </c>
      <c r="B5" s="5" t="s">
        <v>86</v>
      </c>
    </row>
  </sheetData>
  <pageMargins left="0.7" right="0.7" top="0.75" bottom="0.75" header="0.3" footer="0.3"/>
  <pageSetup orientation="portrait" horizontalDpi="4294967295" verticalDpi="4294967295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272E-0E82-4B93-A55F-E40DC728C7F1}">
  <sheetPr>
    <pageSetUpPr fitToPage="1"/>
  </sheetPr>
  <dimension ref="A1:N28"/>
  <sheetViews>
    <sheetView zoomScale="120" zoomScaleNormal="120" workbookViewId="0">
      <selection activeCell="I5" sqref="I5"/>
    </sheetView>
  </sheetViews>
  <sheetFormatPr defaultRowHeight="15" x14ac:dyDescent="0.25"/>
  <cols>
    <col min="1" max="1" width="31" customWidth="1"/>
    <col min="2" max="2" width="25.7109375" customWidth="1"/>
    <col min="3" max="3" width="3.7109375" customWidth="1"/>
    <col min="4" max="4" width="14.140625" customWidth="1"/>
    <col min="5" max="7" width="16.28515625" customWidth="1"/>
    <col min="8" max="8" width="2.85546875" customWidth="1"/>
    <col min="9" max="14" width="12.7109375" customWidth="1"/>
  </cols>
  <sheetData>
    <row r="1" spans="1:14" ht="37.5" customHeight="1" x14ac:dyDescent="0.25">
      <c r="A1" s="1" t="s">
        <v>0</v>
      </c>
    </row>
    <row r="2" spans="1:14" ht="15" customHeight="1" x14ac:dyDescent="0.25">
      <c r="A2" s="6" t="s">
        <v>85</v>
      </c>
    </row>
    <row r="3" spans="1:14" ht="15" customHeight="1" thickBot="1" x14ac:dyDescent="0.35">
      <c r="A3" s="7"/>
      <c r="D3" s="121" t="s">
        <v>4</v>
      </c>
      <c r="E3" s="121"/>
      <c r="F3" s="121"/>
      <c r="G3" s="121"/>
      <c r="H3" s="61"/>
      <c r="I3" s="121" t="s">
        <v>5</v>
      </c>
      <c r="J3" s="121"/>
      <c r="K3" s="121"/>
      <c r="L3" s="121"/>
      <c r="M3" s="121"/>
      <c r="N3" s="121"/>
    </row>
    <row r="4" spans="1:14" ht="15" customHeight="1" x14ac:dyDescent="0.25">
      <c r="A4" s="8" t="s">
        <v>6</v>
      </c>
      <c r="B4" s="8"/>
      <c r="D4" s="64" t="s">
        <v>7</v>
      </c>
      <c r="E4" s="64" t="s">
        <v>6</v>
      </c>
      <c r="F4" s="64" t="s">
        <v>8</v>
      </c>
      <c r="G4" s="64" t="s">
        <v>9</v>
      </c>
      <c r="H4" s="61"/>
      <c r="I4" s="120" t="s">
        <v>59</v>
      </c>
      <c r="J4" s="120"/>
      <c r="K4" s="120"/>
      <c r="L4" s="120"/>
      <c r="M4" s="120"/>
      <c r="N4" s="120"/>
    </row>
    <row r="5" spans="1:14" x14ac:dyDescent="0.25">
      <c r="A5" t="s">
        <v>7</v>
      </c>
      <c r="B5" s="9">
        <v>1200</v>
      </c>
      <c r="D5" s="65">
        <f>B5</f>
        <v>1200</v>
      </c>
      <c r="E5" s="66">
        <f>B25</f>
        <v>1080000</v>
      </c>
      <c r="F5" s="66">
        <f>B26</f>
        <v>1027000</v>
      </c>
      <c r="G5" s="66">
        <f>B27</f>
        <v>53000</v>
      </c>
      <c r="H5" s="61"/>
      <c r="I5" s="119">
        <f>B27</f>
        <v>53000</v>
      </c>
      <c r="J5" s="68">
        <v>800</v>
      </c>
      <c r="K5" s="68">
        <v>900</v>
      </c>
      <c r="L5" s="68">
        <v>1000</v>
      </c>
      <c r="M5" s="68">
        <v>1100</v>
      </c>
      <c r="N5" s="68">
        <v>1200</v>
      </c>
    </row>
    <row r="6" spans="1:14" x14ac:dyDescent="0.25">
      <c r="A6" t="s">
        <v>28</v>
      </c>
      <c r="B6" s="10">
        <v>900</v>
      </c>
      <c r="D6" s="67">
        <v>250</v>
      </c>
      <c r="E6" s="11">
        <f t="dataTable" ref="E6:G13" dt2D="0" dtr="0" r1="B5"/>
        <v>225000</v>
      </c>
      <c r="F6" s="11">
        <v>504500</v>
      </c>
      <c r="G6" s="11">
        <v>-279500</v>
      </c>
      <c r="H6" s="61"/>
      <c r="I6" s="67">
        <v>250</v>
      </c>
      <c r="J6" s="11">
        <f t="dataTable" ref="J6:N13" dt2D="1" dtr="1" r1="B6" r2="B5" ca="1"/>
        <v>-304500</v>
      </c>
      <c r="K6" s="11">
        <v>-279500</v>
      </c>
      <c r="L6" s="11">
        <v>-254500</v>
      </c>
      <c r="M6" s="11">
        <v>-229500</v>
      </c>
      <c r="N6" s="11">
        <v>-204500</v>
      </c>
    </row>
    <row r="7" spans="1:14" ht="15.75" thickBot="1" x14ac:dyDescent="0.3">
      <c r="A7" s="12" t="s">
        <v>11</v>
      </c>
      <c r="B7" s="13">
        <f>B5*B6</f>
        <v>1080000</v>
      </c>
      <c r="D7" s="67">
        <v>500</v>
      </c>
      <c r="E7" s="11">
        <v>450000</v>
      </c>
      <c r="F7" s="11">
        <v>642000</v>
      </c>
      <c r="G7" s="11">
        <v>-192000</v>
      </c>
      <c r="H7" s="61"/>
      <c r="I7" s="67">
        <v>500</v>
      </c>
      <c r="J7" s="11">
        <v>-242000</v>
      </c>
      <c r="K7" s="11">
        <v>-192000</v>
      </c>
      <c r="L7" s="11">
        <v>-142000</v>
      </c>
      <c r="M7" s="11">
        <v>-92000</v>
      </c>
      <c r="N7" s="11">
        <v>-42000</v>
      </c>
    </row>
    <row r="8" spans="1:14" ht="15.75" thickTop="1" x14ac:dyDescent="0.25">
      <c r="B8" s="14"/>
      <c r="D8" s="67">
        <v>750</v>
      </c>
      <c r="E8" s="11">
        <v>675000</v>
      </c>
      <c r="F8" s="11">
        <v>779500</v>
      </c>
      <c r="G8" s="11">
        <v>-104500</v>
      </c>
      <c r="I8" s="67">
        <v>750</v>
      </c>
      <c r="J8" s="11">
        <v>-179500</v>
      </c>
      <c r="K8" s="11">
        <v>-104500</v>
      </c>
      <c r="L8" s="11">
        <v>-29500</v>
      </c>
      <c r="M8" s="11">
        <v>45500</v>
      </c>
      <c r="N8" s="11">
        <v>120500</v>
      </c>
    </row>
    <row r="9" spans="1:14" x14ac:dyDescent="0.25">
      <c r="A9" s="8" t="s">
        <v>12</v>
      </c>
      <c r="B9" s="8"/>
      <c r="D9" s="67">
        <v>1000</v>
      </c>
      <c r="E9" s="11">
        <v>900000</v>
      </c>
      <c r="F9" s="11">
        <v>917000</v>
      </c>
      <c r="G9" s="11">
        <v>-17000</v>
      </c>
      <c r="I9" s="67">
        <v>1000</v>
      </c>
      <c r="J9" s="11">
        <v>-117000</v>
      </c>
      <c r="K9" s="11">
        <v>-17000</v>
      </c>
      <c r="L9" s="11">
        <v>83000</v>
      </c>
      <c r="M9" s="11">
        <v>183000</v>
      </c>
      <c r="N9" s="11">
        <v>283000</v>
      </c>
    </row>
    <row r="10" spans="1:14" x14ac:dyDescent="0.25">
      <c r="A10" t="s">
        <v>13</v>
      </c>
      <c r="B10" s="9">
        <f>B5</f>
        <v>1200</v>
      </c>
      <c r="D10" s="67">
        <v>1250</v>
      </c>
      <c r="E10" s="11">
        <v>1125000</v>
      </c>
      <c r="F10" s="11">
        <v>1054500</v>
      </c>
      <c r="G10" s="11">
        <v>70500</v>
      </c>
      <c r="I10" s="67">
        <v>1250</v>
      </c>
      <c r="J10" s="11">
        <v>-54500</v>
      </c>
      <c r="K10" s="11">
        <v>70500</v>
      </c>
      <c r="L10" s="11">
        <v>195500</v>
      </c>
      <c r="M10" s="11">
        <v>320500</v>
      </c>
      <c r="N10" s="11">
        <v>445500</v>
      </c>
    </row>
    <row r="11" spans="1:14" x14ac:dyDescent="0.25">
      <c r="A11" t="s">
        <v>29</v>
      </c>
      <c r="B11" s="10">
        <v>425</v>
      </c>
      <c r="D11" s="67">
        <v>1500</v>
      </c>
      <c r="E11" s="11">
        <v>1350000</v>
      </c>
      <c r="F11" s="11">
        <v>1192000</v>
      </c>
      <c r="G11" s="11">
        <v>158000</v>
      </c>
      <c r="I11" s="67">
        <v>1500</v>
      </c>
      <c r="J11" s="11">
        <v>8000</v>
      </c>
      <c r="K11" s="11">
        <v>158000</v>
      </c>
      <c r="L11" s="11">
        <v>308000</v>
      </c>
      <c r="M11" s="11">
        <v>458000</v>
      </c>
      <c r="N11" s="11">
        <v>608000</v>
      </c>
    </row>
    <row r="12" spans="1:14" x14ac:dyDescent="0.25">
      <c r="A12" s="15" t="s">
        <v>14</v>
      </c>
      <c r="B12" s="16">
        <f>B10*B11</f>
        <v>510000</v>
      </c>
      <c r="D12" s="67">
        <v>1750</v>
      </c>
      <c r="E12" s="11">
        <v>1575000</v>
      </c>
      <c r="F12" s="11">
        <v>1329500</v>
      </c>
      <c r="G12" s="11">
        <v>245500</v>
      </c>
      <c r="I12" s="67">
        <v>1750</v>
      </c>
      <c r="J12" s="11">
        <v>70500</v>
      </c>
      <c r="K12" s="11">
        <v>245500</v>
      </c>
      <c r="L12" s="11">
        <v>420500</v>
      </c>
      <c r="M12" s="11">
        <v>595500</v>
      </c>
      <c r="N12" s="11">
        <v>770500</v>
      </c>
    </row>
    <row r="13" spans="1:14" x14ac:dyDescent="0.25">
      <c r="A13" t="s">
        <v>30</v>
      </c>
      <c r="B13" s="10">
        <v>125</v>
      </c>
      <c r="D13" s="67">
        <v>2000</v>
      </c>
      <c r="E13" s="11">
        <v>1800000</v>
      </c>
      <c r="F13" s="11">
        <v>1467000</v>
      </c>
      <c r="G13" s="11">
        <v>333000</v>
      </c>
      <c r="I13" s="67">
        <v>2000</v>
      </c>
      <c r="J13" s="11">
        <v>133000</v>
      </c>
      <c r="K13" s="11">
        <v>333000</v>
      </c>
      <c r="L13" s="11">
        <v>533000</v>
      </c>
      <c r="M13" s="11">
        <v>733000</v>
      </c>
      <c r="N13" s="11">
        <v>933000</v>
      </c>
    </row>
    <row r="14" spans="1:14" x14ac:dyDescent="0.25">
      <c r="A14" s="15" t="s">
        <v>15</v>
      </c>
      <c r="B14" s="16">
        <f>B10*B13</f>
        <v>150000</v>
      </c>
    </row>
    <row r="15" spans="1:14" ht="15.75" thickBot="1" x14ac:dyDescent="0.3">
      <c r="A15" s="17" t="s">
        <v>16</v>
      </c>
      <c r="B15" s="13">
        <f>B12+B14</f>
        <v>660000</v>
      </c>
    </row>
    <row r="16" spans="1:14" ht="15.75" thickTop="1" x14ac:dyDescent="0.25">
      <c r="B16" s="14"/>
      <c r="E16" s="62"/>
    </row>
    <row r="17" spans="1:5" x14ac:dyDescent="0.25">
      <c r="A17" s="8" t="s">
        <v>17</v>
      </c>
      <c r="B17" s="8"/>
    </row>
    <row r="18" spans="1:5" x14ac:dyDescent="0.25">
      <c r="A18" t="s">
        <v>18</v>
      </c>
      <c r="B18" s="18">
        <v>175000</v>
      </c>
      <c r="E18" s="63"/>
    </row>
    <row r="19" spans="1:5" x14ac:dyDescent="0.25">
      <c r="A19" t="s">
        <v>19</v>
      </c>
      <c r="B19" s="14">
        <v>72000</v>
      </c>
    </row>
    <row r="20" spans="1:5" x14ac:dyDescent="0.25">
      <c r="A20" t="s">
        <v>20</v>
      </c>
      <c r="B20" s="14">
        <v>65000</v>
      </c>
    </row>
    <row r="21" spans="1:5" x14ac:dyDescent="0.25">
      <c r="A21" t="s">
        <v>21</v>
      </c>
      <c r="B21" s="14">
        <v>55000</v>
      </c>
    </row>
    <row r="22" spans="1:5" ht="15.75" thickBot="1" x14ac:dyDescent="0.3">
      <c r="A22" s="17" t="s">
        <v>22</v>
      </c>
      <c r="B22" s="13">
        <f>SUM(B18:B21)</f>
        <v>367000</v>
      </c>
    </row>
    <row r="23" spans="1:5" ht="15.75" thickTop="1" x14ac:dyDescent="0.25">
      <c r="B23" s="14"/>
    </row>
    <row r="24" spans="1:5" x14ac:dyDescent="0.25">
      <c r="A24" s="8" t="s">
        <v>23</v>
      </c>
      <c r="B24" s="8"/>
    </row>
    <row r="25" spans="1:5" x14ac:dyDescent="0.25">
      <c r="A25" t="s">
        <v>11</v>
      </c>
      <c r="B25" s="11">
        <f>B7</f>
        <v>1080000</v>
      </c>
    </row>
    <row r="26" spans="1:5" x14ac:dyDescent="0.25">
      <c r="A26" t="s">
        <v>24</v>
      </c>
      <c r="B26" s="11">
        <f>B15+B22</f>
        <v>1027000</v>
      </c>
    </row>
    <row r="27" spans="1:5" ht="15.75" thickBot="1" x14ac:dyDescent="0.3">
      <c r="A27" s="17" t="s">
        <v>9</v>
      </c>
      <c r="B27" s="19">
        <f>B25-B26</f>
        <v>53000</v>
      </c>
    </row>
    <row r="28" spans="1:5" ht="15.75" thickTop="1" x14ac:dyDescent="0.25"/>
  </sheetData>
  <scenarios current="0" show="0" sqref="B25:B27">
    <scenario name="Status Quo" locked="1" count="6" user="Your Name" comment="Created by Your Name on 1/14/2019">
      <inputCells r="B5" val="1200" numFmtId="164"/>
      <inputCells r="B6" val="900" numFmtId="166"/>
      <inputCells r="B18" val="175000" numFmtId="165"/>
      <inputCells r="B19" val="72000" numFmtId="164"/>
      <inputCells r="B20" val="65000" numFmtId="164"/>
      <inputCells r="B21" val="55000" numFmtId="164"/>
    </scenario>
    <scenario name="Increased Production" locked="1" count="6" user="Your Name" comment="Created by Your Name on 1/14/2019">
      <inputCells r="B5" val="1500" numFmtId="164"/>
      <inputCells r="B6" val="800" numFmtId="166"/>
      <inputCells r="B18" val="175000" numFmtId="165"/>
      <inputCells r="B19" val="90000" numFmtId="164"/>
      <inputCells r="B20" val="75000" numFmtId="164"/>
      <inputCells r="B21" val="70000" numFmtId="164"/>
    </scenario>
    <scenario name="Decreased Production" locked="1" count="6" user="Your Name" comment="Created by Your Name on 1/14/2019">
      <inputCells r="B5" val="1000" numFmtId="164"/>
      <inputCells r="B6" val="950" numFmtId="166"/>
      <inputCells r="B18" val="145000" numFmtId="165"/>
      <inputCells r="B19" val="60000" numFmtId="164"/>
      <inputCells r="B20" val="55000" numFmtId="164"/>
      <inputCells r="B21" val="40000" numFmtId="164"/>
    </scenario>
  </scenarios>
  <mergeCells count="3">
    <mergeCell ref="I4:N4"/>
    <mergeCell ref="D3:G3"/>
    <mergeCell ref="I3:N3"/>
  </mergeCells>
  <pageMargins left="0.7" right="0.7" top="0.75" bottom="0.75" header="0.3" footer="0.3"/>
  <pageSetup scale="60" orientation="landscape" horizontalDpi="4294967295" verticalDpi="4294967295" r:id="rId1"/>
  <headerFooter>
    <oddFooter>&amp;R&amp;F &amp;A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0F13-EA22-4B32-B0F7-338ED04DA536}">
  <sheetPr>
    <outlinePr summaryBelow="0"/>
  </sheetPr>
  <dimension ref="B1:G18"/>
  <sheetViews>
    <sheetView showGridLines="0" workbookViewId="0"/>
  </sheetViews>
  <sheetFormatPr defaultRowHeight="15" outlineLevelRow="1" outlineLevelCol="1" x14ac:dyDescent="0.25"/>
  <cols>
    <col min="3" max="3" width="25" bestFit="1" customWidth="1"/>
    <col min="4" max="7" width="18.5703125" bestFit="1" customWidth="1" outlineLevel="1"/>
  </cols>
  <sheetData>
    <row r="1" spans="2:7" ht="15.75" thickBot="1" x14ac:dyDescent="0.3"/>
    <row r="2" spans="2:7" ht="15.75" x14ac:dyDescent="0.25">
      <c r="B2" s="93" t="s">
        <v>100</v>
      </c>
      <c r="C2" s="93"/>
      <c r="D2" s="98"/>
      <c r="E2" s="98"/>
      <c r="F2" s="98"/>
      <c r="G2" s="98"/>
    </row>
    <row r="3" spans="2:7" ht="15.75" collapsed="1" x14ac:dyDescent="0.25">
      <c r="B3" s="92"/>
      <c r="C3" s="92"/>
      <c r="D3" s="99" t="s">
        <v>102</v>
      </c>
      <c r="E3" s="99" t="s">
        <v>96</v>
      </c>
      <c r="F3" s="99" t="s">
        <v>98</v>
      </c>
      <c r="G3" s="99" t="s">
        <v>99</v>
      </c>
    </row>
    <row r="4" spans="2:7" ht="22.5" hidden="1" outlineLevel="1" x14ac:dyDescent="0.25">
      <c r="B4" s="95"/>
      <c r="C4" s="95"/>
      <c r="D4" s="86"/>
      <c r="E4" s="103" t="s">
        <v>97</v>
      </c>
      <c r="F4" s="103" t="s">
        <v>97</v>
      </c>
      <c r="G4" s="103" t="s">
        <v>97</v>
      </c>
    </row>
    <row r="5" spans="2:7" x14ac:dyDescent="0.25">
      <c r="B5" s="96" t="s">
        <v>101</v>
      </c>
      <c r="C5" s="96"/>
      <c r="D5" s="94"/>
      <c r="E5" s="94"/>
      <c r="F5" s="94"/>
      <c r="G5" s="94"/>
    </row>
    <row r="6" spans="2:7" outlineLevel="1" x14ac:dyDescent="0.25">
      <c r="B6" s="95"/>
      <c r="C6" s="95" t="s">
        <v>88</v>
      </c>
      <c r="D6" s="87">
        <v>1200</v>
      </c>
      <c r="E6" s="100">
        <v>1200</v>
      </c>
      <c r="F6" s="100">
        <v>1500</v>
      </c>
      <c r="G6" s="100">
        <v>1000</v>
      </c>
    </row>
    <row r="7" spans="2:7" outlineLevel="1" x14ac:dyDescent="0.25">
      <c r="B7" s="95"/>
      <c r="C7" s="95" t="s">
        <v>89</v>
      </c>
      <c r="D7" s="88">
        <v>900</v>
      </c>
      <c r="E7" s="101">
        <v>900</v>
      </c>
      <c r="F7" s="101">
        <v>800</v>
      </c>
      <c r="G7" s="101">
        <v>950</v>
      </c>
    </row>
    <row r="8" spans="2:7" outlineLevel="1" x14ac:dyDescent="0.25">
      <c r="B8" s="95"/>
      <c r="C8" s="95" t="s">
        <v>90</v>
      </c>
      <c r="D8" s="89">
        <v>175000</v>
      </c>
      <c r="E8" s="102">
        <v>175000</v>
      </c>
      <c r="F8" s="102">
        <v>175000</v>
      </c>
      <c r="G8" s="102">
        <v>145000</v>
      </c>
    </row>
    <row r="9" spans="2:7" outlineLevel="1" x14ac:dyDescent="0.25">
      <c r="B9" s="95"/>
      <c r="C9" s="95" t="s">
        <v>91</v>
      </c>
      <c r="D9" s="87">
        <v>72000</v>
      </c>
      <c r="E9" s="100">
        <v>72000</v>
      </c>
      <c r="F9" s="100">
        <v>90000</v>
      </c>
      <c r="G9" s="100">
        <v>60000</v>
      </c>
    </row>
    <row r="10" spans="2:7" outlineLevel="1" x14ac:dyDescent="0.25">
      <c r="B10" s="95"/>
      <c r="C10" s="95" t="s">
        <v>92</v>
      </c>
      <c r="D10" s="87">
        <v>65000</v>
      </c>
      <c r="E10" s="100">
        <v>65000</v>
      </c>
      <c r="F10" s="100">
        <v>75000</v>
      </c>
      <c r="G10" s="100">
        <v>55000</v>
      </c>
    </row>
    <row r="11" spans="2:7" outlineLevel="1" x14ac:dyDescent="0.25">
      <c r="B11" s="95"/>
      <c r="C11" s="95" t="s">
        <v>21</v>
      </c>
      <c r="D11" s="87">
        <v>55000</v>
      </c>
      <c r="E11" s="100">
        <v>55000</v>
      </c>
      <c r="F11" s="100">
        <v>70000</v>
      </c>
      <c r="G11" s="100">
        <v>40000</v>
      </c>
    </row>
    <row r="12" spans="2:7" x14ac:dyDescent="0.25">
      <c r="B12" s="96" t="s">
        <v>103</v>
      </c>
      <c r="C12" s="96"/>
      <c r="D12" s="94"/>
      <c r="E12" s="94"/>
      <c r="F12" s="94"/>
      <c r="G12" s="94"/>
    </row>
    <row r="13" spans="2:7" outlineLevel="1" x14ac:dyDescent="0.25">
      <c r="B13" s="95"/>
      <c r="C13" s="95" t="s">
        <v>93</v>
      </c>
      <c r="D13" s="90">
        <v>1080000</v>
      </c>
      <c r="E13" s="90">
        <v>1080000</v>
      </c>
      <c r="F13" s="90">
        <v>1200000</v>
      </c>
      <c r="G13" s="90">
        <v>950000</v>
      </c>
    </row>
    <row r="14" spans="2:7" outlineLevel="1" x14ac:dyDescent="0.25">
      <c r="B14" s="95"/>
      <c r="C14" s="95" t="s">
        <v>94</v>
      </c>
      <c r="D14" s="90">
        <v>1027000</v>
      </c>
      <c r="E14" s="90">
        <v>1027000</v>
      </c>
      <c r="F14" s="90">
        <v>1235000</v>
      </c>
      <c r="G14" s="90">
        <v>850000</v>
      </c>
    </row>
    <row r="15" spans="2:7" ht="15.75" outlineLevel="1" thickBot="1" x14ac:dyDescent="0.3">
      <c r="B15" s="97"/>
      <c r="C15" s="97" t="s">
        <v>95</v>
      </c>
      <c r="D15" s="91">
        <v>53000</v>
      </c>
      <c r="E15" s="91">
        <v>53000</v>
      </c>
      <c r="F15" s="91">
        <v>-35000</v>
      </c>
      <c r="G15" s="91">
        <v>100000</v>
      </c>
    </row>
    <row r="16" spans="2:7" x14ac:dyDescent="0.25">
      <c r="B16" t="s">
        <v>104</v>
      </c>
    </row>
    <row r="17" spans="2:2" x14ac:dyDescent="0.25">
      <c r="B17" t="s">
        <v>105</v>
      </c>
    </row>
    <row r="18" spans="2:2" x14ac:dyDescent="0.25">
      <c r="B18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6AF1-3511-42DD-98C3-2C03591F36B3}">
  <dimension ref="A1:D6"/>
  <sheetViews>
    <sheetView workbookViewId="0">
      <selection activeCell="A4" sqref="A4:A6"/>
    </sheetView>
  </sheetViews>
  <sheetFormatPr defaultRowHeight="15" x14ac:dyDescent="0.25"/>
  <cols>
    <col min="1" max="1" width="20.7109375" bestFit="1" customWidth="1"/>
    <col min="2" max="2" width="14.42578125" bestFit="1" customWidth="1"/>
    <col min="3" max="3" width="14.85546875" bestFit="1" customWidth="1"/>
    <col min="4" max="4" width="11.85546875" bestFit="1" customWidth="1"/>
  </cols>
  <sheetData>
    <row r="1" spans="1:4" ht="23.25" x14ac:dyDescent="0.35">
      <c r="A1" s="107" t="s">
        <v>108</v>
      </c>
    </row>
    <row r="3" spans="1:4" x14ac:dyDescent="0.25">
      <c r="A3" s="104" t="s">
        <v>107</v>
      </c>
      <c r="B3" t="s">
        <v>93</v>
      </c>
      <c r="C3" t="s">
        <v>94</v>
      </c>
      <c r="D3" t="s">
        <v>95</v>
      </c>
    </row>
    <row r="4" spans="1:4" x14ac:dyDescent="0.25">
      <c r="A4" s="105" t="s">
        <v>99</v>
      </c>
      <c r="B4" s="106">
        <v>950000</v>
      </c>
      <c r="C4" s="106">
        <v>850000</v>
      </c>
      <c r="D4" s="106">
        <v>100000</v>
      </c>
    </row>
    <row r="5" spans="1:4" x14ac:dyDescent="0.25">
      <c r="A5" s="105" t="s">
        <v>98</v>
      </c>
      <c r="B5" s="106">
        <v>1200000</v>
      </c>
      <c r="C5" s="106">
        <v>1235000</v>
      </c>
      <c r="D5" s="106">
        <v>-35000</v>
      </c>
    </row>
    <row r="6" spans="1:4" x14ac:dyDescent="0.25">
      <c r="A6" s="105" t="s">
        <v>96</v>
      </c>
      <c r="B6" s="106">
        <v>1080000</v>
      </c>
      <c r="C6" s="106">
        <v>1027000</v>
      </c>
      <c r="D6" s="106">
        <v>53000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E093-9133-48BF-A134-5F1E015BAA47}">
  <sheetPr>
    <pageSetUpPr fitToPage="1"/>
  </sheetPr>
  <dimension ref="A1:K46"/>
  <sheetViews>
    <sheetView zoomScale="120" zoomScaleNormal="120" workbookViewId="0">
      <selection activeCell="B12" sqref="B12"/>
    </sheetView>
  </sheetViews>
  <sheetFormatPr defaultRowHeight="15" x14ac:dyDescent="0.25"/>
  <cols>
    <col min="1" max="1" width="26" customWidth="1"/>
    <col min="2" max="4" width="14" customWidth="1"/>
    <col min="5" max="5" width="15" customWidth="1"/>
    <col min="6" max="6" width="2.140625" customWidth="1"/>
    <col min="7" max="7" width="22.140625" customWidth="1"/>
    <col min="8" max="10" width="11.140625" customWidth="1"/>
    <col min="11" max="11" width="12.7109375" customWidth="1"/>
  </cols>
  <sheetData>
    <row r="1" spans="1:11" ht="30" customHeight="1" x14ac:dyDescent="0.25">
      <c r="A1" s="1" t="s">
        <v>0</v>
      </c>
    </row>
    <row r="2" spans="1:11" x14ac:dyDescent="0.25">
      <c r="A2" s="6" t="s">
        <v>84</v>
      </c>
    </row>
    <row r="4" spans="1:11" ht="15.75" x14ac:dyDescent="0.25">
      <c r="G4" s="20" t="s">
        <v>26</v>
      </c>
    </row>
    <row r="5" spans="1:11" x14ac:dyDescent="0.25">
      <c r="A5" s="21" t="s">
        <v>25</v>
      </c>
      <c r="B5" s="22" t="s">
        <v>62</v>
      </c>
      <c r="C5" s="22" t="s">
        <v>63</v>
      </c>
      <c r="D5" s="22" t="s">
        <v>64</v>
      </c>
      <c r="E5" s="22" t="s">
        <v>65</v>
      </c>
      <c r="G5" s="23" t="s">
        <v>27</v>
      </c>
      <c r="H5" s="24" t="s">
        <v>62</v>
      </c>
      <c r="I5" s="24" t="s">
        <v>63</v>
      </c>
      <c r="J5" s="24" t="s">
        <v>64</v>
      </c>
      <c r="K5" s="24" t="s">
        <v>65</v>
      </c>
    </row>
    <row r="6" spans="1:11" x14ac:dyDescent="0.25">
      <c r="A6" t="s">
        <v>28</v>
      </c>
      <c r="B6" s="10">
        <v>900</v>
      </c>
      <c r="C6" s="10">
        <v>1300</v>
      </c>
      <c r="D6" s="10">
        <v>1700</v>
      </c>
      <c r="E6" s="10">
        <v>2300</v>
      </c>
      <c r="G6" s="25" t="s">
        <v>66</v>
      </c>
      <c r="H6" s="26">
        <v>1</v>
      </c>
      <c r="I6" s="26">
        <v>1</v>
      </c>
      <c r="J6" s="26">
        <v>0</v>
      </c>
      <c r="K6" s="26">
        <v>0</v>
      </c>
    </row>
    <row r="7" spans="1:11" x14ac:dyDescent="0.25">
      <c r="A7" t="s">
        <v>29</v>
      </c>
      <c r="B7" s="27">
        <v>425</v>
      </c>
      <c r="C7" s="27">
        <v>610</v>
      </c>
      <c r="D7" s="27">
        <v>775</v>
      </c>
      <c r="E7" s="27">
        <v>1125</v>
      </c>
      <c r="F7" s="18"/>
      <c r="G7" s="28" t="s">
        <v>69</v>
      </c>
      <c r="H7" s="29">
        <v>0</v>
      </c>
      <c r="I7" s="29">
        <v>0</v>
      </c>
      <c r="J7" s="29">
        <v>1</v>
      </c>
      <c r="K7" s="29">
        <v>1</v>
      </c>
    </row>
    <row r="8" spans="1:11" x14ac:dyDescent="0.25">
      <c r="A8" t="s">
        <v>30</v>
      </c>
      <c r="B8" s="27">
        <v>125</v>
      </c>
      <c r="C8" s="27">
        <v>205</v>
      </c>
      <c r="D8" s="27">
        <v>235</v>
      </c>
      <c r="E8" s="27">
        <v>425</v>
      </c>
      <c r="F8" s="18"/>
      <c r="G8" s="25" t="s">
        <v>71</v>
      </c>
      <c r="H8" s="26">
        <v>1</v>
      </c>
      <c r="I8" s="26">
        <v>0</v>
      </c>
      <c r="J8" s="26">
        <v>0</v>
      </c>
      <c r="K8" s="26">
        <v>0</v>
      </c>
    </row>
    <row r="9" spans="1:11" x14ac:dyDescent="0.25">
      <c r="G9" s="25" t="s">
        <v>70</v>
      </c>
      <c r="H9" s="26">
        <v>0</v>
      </c>
      <c r="I9" s="26">
        <v>1</v>
      </c>
      <c r="J9" s="26">
        <v>1</v>
      </c>
      <c r="K9" s="26">
        <v>0</v>
      </c>
    </row>
    <row r="10" spans="1:11" x14ac:dyDescent="0.25">
      <c r="A10" s="30" t="s">
        <v>31</v>
      </c>
      <c r="B10" s="31">
        <v>1250</v>
      </c>
      <c r="C10" s="31">
        <v>1250</v>
      </c>
      <c r="D10" s="31">
        <v>1250</v>
      </c>
      <c r="E10" s="31">
        <v>1250</v>
      </c>
      <c r="G10" s="28" t="s">
        <v>72</v>
      </c>
      <c r="H10" s="29">
        <v>0</v>
      </c>
      <c r="I10" s="29">
        <v>0</v>
      </c>
      <c r="J10" s="29">
        <v>0</v>
      </c>
      <c r="K10" s="29">
        <v>1</v>
      </c>
    </row>
    <row r="11" spans="1:11" ht="15.75" thickBot="1" x14ac:dyDescent="0.3">
      <c r="A11" s="32" t="s">
        <v>32</v>
      </c>
      <c r="B11" s="33">
        <v>1012</v>
      </c>
      <c r="C11" s="33">
        <v>1571</v>
      </c>
      <c r="D11" s="33">
        <v>1040</v>
      </c>
      <c r="E11" s="33">
        <v>1377</v>
      </c>
      <c r="G11" s="25" t="s">
        <v>74</v>
      </c>
      <c r="H11" s="26">
        <v>1</v>
      </c>
      <c r="I11" s="26">
        <v>0</v>
      </c>
      <c r="J11" s="26">
        <v>0</v>
      </c>
      <c r="K11" s="26">
        <v>0</v>
      </c>
    </row>
    <row r="12" spans="1:11" ht="16.5" thickTop="1" thickBot="1" x14ac:dyDescent="0.3">
      <c r="A12" s="34" t="s">
        <v>33</v>
      </c>
      <c r="B12" s="35">
        <f>B11-B10</f>
        <v>-238</v>
      </c>
      <c r="C12" s="35">
        <f>C11-C10</f>
        <v>321</v>
      </c>
      <c r="D12" s="35">
        <f>D11-D10</f>
        <v>-210</v>
      </c>
      <c r="E12" s="35">
        <f>E11-E10</f>
        <v>127</v>
      </c>
      <c r="G12" s="28" t="s">
        <v>73</v>
      </c>
      <c r="H12" s="29">
        <v>0</v>
      </c>
      <c r="I12" s="29">
        <v>1</v>
      </c>
      <c r="J12" s="29">
        <v>1</v>
      </c>
      <c r="K12" s="29">
        <v>1</v>
      </c>
    </row>
    <row r="13" spans="1:11" x14ac:dyDescent="0.25">
      <c r="G13" s="25" t="s">
        <v>75</v>
      </c>
      <c r="H13" s="26">
        <v>1</v>
      </c>
      <c r="I13" s="26">
        <v>1</v>
      </c>
      <c r="J13" s="26">
        <v>0</v>
      </c>
      <c r="K13" s="26">
        <v>0</v>
      </c>
    </row>
    <row r="14" spans="1:11" ht="15.75" thickBot="1" x14ac:dyDescent="0.3">
      <c r="A14" s="36" t="s">
        <v>34</v>
      </c>
      <c r="B14" s="37">
        <f>B10*B6</f>
        <v>1125000</v>
      </c>
      <c r="C14" s="37">
        <f>C10*C6</f>
        <v>1625000</v>
      </c>
      <c r="D14" s="37">
        <f>D10*D6</f>
        <v>2125000</v>
      </c>
      <c r="E14" s="37">
        <f>E10*E6</f>
        <v>2875000</v>
      </c>
      <c r="G14" s="28" t="s">
        <v>76</v>
      </c>
      <c r="H14" s="29">
        <v>0</v>
      </c>
      <c r="I14" s="29">
        <v>0</v>
      </c>
      <c r="J14" s="29">
        <v>1</v>
      </c>
      <c r="K14" s="29">
        <v>1</v>
      </c>
    </row>
    <row r="15" spans="1:11" ht="16.5" thickTop="1" thickBot="1" x14ac:dyDescent="0.3">
      <c r="A15" s="38" t="s">
        <v>35</v>
      </c>
      <c r="B15" s="39">
        <f>B11*B6</f>
        <v>910800</v>
      </c>
      <c r="C15" s="39">
        <f>C11*C6</f>
        <v>2042300</v>
      </c>
      <c r="D15" s="39">
        <f>D11*D6</f>
        <v>1768000</v>
      </c>
      <c r="E15" s="39">
        <f>E11*E6</f>
        <v>3167100</v>
      </c>
      <c r="G15" s="40" t="s">
        <v>77</v>
      </c>
      <c r="H15" s="41">
        <v>1</v>
      </c>
      <c r="I15" s="41">
        <v>1</v>
      </c>
      <c r="J15" s="41">
        <v>0</v>
      </c>
      <c r="K15" s="41">
        <v>0</v>
      </c>
    </row>
    <row r="16" spans="1:11" ht="16.5" thickTop="1" thickBot="1" x14ac:dyDescent="0.3">
      <c r="A16" s="34" t="s">
        <v>33</v>
      </c>
      <c r="B16" s="42">
        <f>B15-B14</f>
        <v>-214200</v>
      </c>
      <c r="C16" s="42">
        <f>C15-C14</f>
        <v>417300</v>
      </c>
      <c r="D16" s="42">
        <f>D15-D14</f>
        <v>-357000</v>
      </c>
      <c r="E16" s="42">
        <f>E15-E14</f>
        <v>292100</v>
      </c>
      <c r="G16" s="25" t="s">
        <v>78</v>
      </c>
      <c r="H16" s="26">
        <v>0</v>
      </c>
      <c r="I16" s="26">
        <v>0</v>
      </c>
      <c r="J16" s="26">
        <v>1</v>
      </c>
      <c r="K16" s="26">
        <v>0</v>
      </c>
    </row>
    <row r="17" spans="1:11" x14ac:dyDescent="0.25">
      <c r="G17" s="28" t="s">
        <v>79</v>
      </c>
      <c r="H17" s="29">
        <v>0</v>
      </c>
      <c r="I17" s="29">
        <v>0</v>
      </c>
      <c r="J17" s="29">
        <v>0</v>
      </c>
      <c r="K17" s="29">
        <v>1</v>
      </c>
    </row>
    <row r="18" spans="1:11" x14ac:dyDescent="0.25">
      <c r="A18" s="43" t="s">
        <v>23</v>
      </c>
      <c r="B18" s="44" t="s">
        <v>55</v>
      </c>
      <c r="C18" s="45" t="s">
        <v>56</v>
      </c>
      <c r="D18" s="46" t="s">
        <v>57</v>
      </c>
      <c r="E18" s="47" t="s">
        <v>58</v>
      </c>
      <c r="G18" s="25" t="s">
        <v>80</v>
      </c>
      <c r="H18" s="26">
        <v>1</v>
      </c>
      <c r="I18" s="26">
        <v>1</v>
      </c>
      <c r="J18" s="26">
        <v>1</v>
      </c>
      <c r="K18" s="26">
        <v>0</v>
      </c>
    </row>
    <row r="19" spans="1:11" x14ac:dyDescent="0.25">
      <c r="A19" t="s">
        <v>10</v>
      </c>
      <c r="B19" s="48">
        <f>SUM(B10:E10)</f>
        <v>5000</v>
      </c>
      <c r="C19" s="49">
        <f>SUM(B11:E11)</f>
        <v>5000</v>
      </c>
      <c r="D19" s="52">
        <f t="shared" ref="D19:D24" si="0">C19-B19</f>
        <v>0</v>
      </c>
      <c r="E19" s="69">
        <f t="shared" ref="E19:E24" si="1">D19/B19</f>
        <v>0</v>
      </c>
      <c r="G19" s="28" t="s">
        <v>81</v>
      </c>
      <c r="H19" s="51">
        <v>0</v>
      </c>
      <c r="I19" s="51">
        <v>0</v>
      </c>
      <c r="J19" s="51">
        <v>0</v>
      </c>
      <c r="K19" s="51">
        <v>1</v>
      </c>
    </row>
    <row r="20" spans="1:11" x14ac:dyDescent="0.25">
      <c r="A20" s="70" t="s">
        <v>11</v>
      </c>
      <c r="B20" s="71">
        <f>SUM(B14:E14)</f>
        <v>7750000</v>
      </c>
      <c r="C20" s="72">
        <f>SUM(B15:E15)</f>
        <v>7888200</v>
      </c>
      <c r="D20" s="73">
        <f t="shared" si="0"/>
        <v>138200</v>
      </c>
      <c r="E20" s="74">
        <f t="shared" si="1"/>
        <v>1.7832258064516129E-2</v>
      </c>
      <c r="G20" s="25" t="s">
        <v>83</v>
      </c>
      <c r="H20" s="50">
        <v>2</v>
      </c>
      <c r="I20" s="50">
        <v>2</v>
      </c>
      <c r="J20" s="50">
        <v>0</v>
      </c>
      <c r="K20" s="50">
        <v>0</v>
      </c>
    </row>
    <row r="21" spans="1:11" x14ac:dyDescent="0.25">
      <c r="A21" t="s">
        <v>14</v>
      </c>
      <c r="B21" s="48">
        <f>SUMPRODUCT(B10:E10,B7:E7)</f>
        <v>3668750</v>
      </c>
      <c r="C21" s="49">
        <f>SUMPRODUCT(B11:E11,B7:E7)</f>
        <v>3743535</v>
      </c>
      <c r="D21" s="52">
        <f t="shared" si="0"/>
        <v>74785</v>
      </c>
      <c r="E21" s="69">
        <f t="shared" si="1"/>
        <v>2.0384327086882453E-2</v>
      </c>
      <c r="G21" s="28" t="s">
        <v>82</v>
      </c>
      <c r="H21" s="51">
        <v>0</v>
      </c>
      <c r="I21" s="51">
        <v>0</v>
      </c>
      <c r="J21" s="51">
        <v>2</v>
      </c>
      <c r="K21" s="51">
        <v>2</v>
      </c>
    </row>
    <row r="22" spans="1:11" x14ac:dyDescent="0.25">
      <c r="A22" t="s">
        <v>15</v>
      </c>
      <c r="B22" s="48">
        <f>SUMPRODUCT(B10:E10,B8:E8)</f>
        <v>1237500</v>
      </c>
      <c r="C22" s="49">
        <f>SUMPRODUCT(B11:E11,B8:E8)</f>
        <v>1278180</v>
      </c>
      <c r="D22" s="52">
        <f t="shared" si="0"/>
        <v>40680</v>
      </c>
      <c r="E22" s="69">
        <f t="shared" si="1"/>
        <v>3.2872727272727276E-2</v>
      </c>
      <c r="G22" s="25" t="s">
        <v>36</v>
      </c>
      <c r="H22" s="50">
        <v>1</v>
      </c>
      <c r="I22" s="50">
        <v>1</v>
      </c>
      <c r="J22" s="50">
        <v>0</v>
      </c>
      <c r="K22" s="50">
        <v>0</v>
      </c>
    </row>
    <row r="23" spans="1:11" x14ac:dyDescent="0.25">
      <c r="A23" s="70" t="s">
        <v>22</v>
      </c>
      <c r="B23" s="80">
        <v>1600000</v>
      </c>
      <c r="C23" s="81">
        <v>1600000</v>
      </c>
      <c r="D23" s="82">
        <f t="shared" si="0"/>
        <v>0</v>
      </c>
      <c r="E23" s="74">
        <f t="shared" si="1"/>
        <v>0</v>
      </c>
      <c r="G23" s="25" t="s">
        <v>67</v>
      </c>
      <c r="H23" s="50">
        <v>0</v>
      </c>
      <c r="I23" s="50">
        <v>0</v>
      </c>
      <c r="J23" s="50">
        <v>1</v>
      </c>
      <c r="K23" s="50">
        <v>0</v>
      </c>
    </row>
    <row r="24" spans="1:11" ht="15.75" thickBot="1" x14ac:dyDescent="0.3">
      <c r="A24" s="75" t="s">
        <v>9</v>
      </c>
      <c r="B24" s="76">
        <f>B20-(B21+B22+B23)</f>
        <v>1243750</v>
      </c>
      <c r="C24" s="77">
        <f>C20-(C21+C22+C23)</f>
        <v>1266485</v>
      </c>
      <c r="D24" s="78">
        <f t="shared" si="0"/>
        <v>22735</v>
      </c>
      <c r="E24" s="79">
        <f t="shared" si="1"/>
        <v>1.8279396984924624E-2</v>
      </c>
      <c r="G24" s="28" t="s">
        <v>68</v>
      </c>
      <c r="H24" s="51">
        <v>0</v>
      </c>
      <c r="I24" s="51">
        <v>0</v>
      </c>
      <c r="J24" s="51">
        <v>0</v>
      </c>
      <c r="K24" s="51">
        <v>1</v>
      </c>
    </row>
    <row r="25" spans="1:11" ht="15.75" thickTop="1" x14ac:dyDescent="0.25"/>
    <row r="26" spans="1:11" ht="15.75" x14ac:dyDescent="0.25">
      <c r="A26" s="84" t="s">
        <v>60</v>
      </c>
      <c r="G26" s="20" t="s">
        <v>37</v>
      </c>
    </row>
    <row r="27" spans="1:11" x14ac:dyDescent="0.25">
      <c r="A27" s="83">
        <f>MAX($E$24)</f>
        <v>1.8279396984924624E-2</v>
      </c>
      <c r="G27" s="23" t="s">
        <v>27</v>
      </c>
      <c r="H27" s="24" t="s">
        <v>38</v>
      </c>
      <c r="I27" s="24" t="s">
        <v>39</v>
      </c>
      <c r="J27" s="24" t="s">
        <v>40</v>
      </c>
    </row>
    <row r="28" spans="1:11" x14ac:dyDescent="0.25">
      <c r="A28">
        <f>COUNT($B$11:$E$11)</f>
        <v>4</v>
      </c>
      <c r="G28" s="25" t="s">
        <v>66</v>
      </c>
      <c r="H28" s="53">
        <v>3018</v>
      </c>
      <c r="I28" s="53">
        <f>SUMPRODUCT(H6:K6,$B$11:$E$11)</f>
        <v>2583</v>
      </c>
      <c r="J28" s="54">
        <f>H28-I28</f>
        <v>435</v>
      </c>
    </row>
    <row r="29" spans="1:11" x14ac:dyDescent="0.25">
      <c r="A29" t="b">
        <f t="array" ref="A29">$B$11:$E$11=INT($B$11:$E$11)</f>
        <v>1</v>
      </c>
      <c r="G29" s="28" t="s">
        <v>69</v>
      </c>
      <c r="H29" s="55">
        <v>3117</v>
      </c>
      <c r="I29" s="55">
        <f t="shared" ref="I29:I46" si="2">SUMPRODUCT(H7:K7,$B$11:$E$11)</f>
        <v>2417</v>
      </c>
      <c r="J29" s="56">
        <f t="shared" ref="J29:J46" si="3">H29-I29</f>
        <v>700</v>
      </c>
    </row>
    <row r="30" spans="1:11" x14ac:dyDescent="0.25">
      <c r="A30" t="b">
        <f t="array" ref="A30">$B$11:$E$11&gt;=1000</f>
        <v>1</v>
      </c>
      <c r="G30" s="25" t="s">
        <v>71</v>
      </c>
      <c r="H30" s="53">
        <v>1148</v>
      </c>
      <c r="I30" s="53">
        <f t="shared" si="2"/>
        <v>1012</v>
      </c>
      <c r="J30" s="54">
        <f t="shared" si="3"/>
        <v>136</v>
      </c>
    </row>
    <row r="31" spans="1:11" x14ac:dyDescent="0.25">
      <c r="A31" t="b">
        <f>$C$19=5000</f>
        <v>1</v>
      </c>
      <c r="G31" s="25" t="s">
        <v>70</v>
      </c>
      <c r="H31" s="53">
        <v>2643</v>
      </c>
      <c r="I31" s="53">
        <f t="shared" si="2"/>
        <v>2611</v>
      </c>
      <c r="J31" s="54">
        <f t="shared" si="3"/>
        <v>32</v>
      </c>
    </row>
    <row r="32" spans="1:11" x14ac:dyDescent="0.25">
      <c r="A32" t="b">
        <f t="array" ref="A32">$J$28:$J$46&gt;=0</f>
        <v>1</v>
      </c>
      <c r="G32" s="28" t="s">
        <v>72</v>
      </c>
      <c r="H32" s="55">
        <v>1538</v>
      </c>
      <c r="I32" s="55">
        <f t="shared" si="2"/>
        <v>1377</v>
      </c>
      <c r="J32" s="56">
        <f t="shared" si="3"/>
        <v>161</v>
      </c>
    </row>
    <row r="33" spans="1:10" x14ac:dyDescent="0.25">
      <c r="A33">
        <f>{32767,32767,0.000001,0.01,FALSE,FALSE,TRUE,1,1,1,0.0001,TRUE}</f>
        <v>32767</v>
      </c>
      <c r="G33" s="25" t="s">
        <v>74</v>
      </c>
      <c r="H33" s="53">
        <v>1401</v>
      </c>
      <c r="I33" s="53">
        <f t="shared" si="2"/>
        <v>1012</v>
      </c>
      <c r="J33" s="54">
        <f t="shared" si="3"/>
        <v>389</v>
      </c>
    </row>
    <row r="34" spans="1:10" x14ac:dyDescent="0.25">
      <c r="A34">
        <f>{0,0,1,100,0,FALSE,TRUE,0.075,0,0,FALSE,30}</f>
        <v>0</v>
      </c>
      <c r="G34" s="28" t="s">
        <v>73</v>
      </c>
      <c r="H34" s="55">
        <v>3988</v>
      </c>
      <c r="I34" s="55">
        <f t="shared" si="2"/>
        <v>3988</v>
      </c>
      <c r="J34" s="56">
        <f t="shared" si="3"/>
        <v>0</v>
      </c>
    </row>
    <row r="35" spans="1:10" x14ac:dyDescent="0.25">
      <c r="G35" s="25" t="s">
        <v>75</v>
      </c>
      <c r="H35" s="53">
        <v>2711</v>
      </c>
      <c r="I35" s="53">
        <f t="shared" si="2"/>
        <v>2583</v>
      </c>
      <c r="J35" s="54">
        <f t="shared" si="3"/>
        <v>128</v>
      </c>
    </row>
    <row r="36" spans="1:10" x14ac:dyDescent="0.25">
      <c r="A36" s="85" t="s">
        <v>61</v>
      </c>
      <c r="G36" s="28" t="s">
        <v>76</v>
      </c>
      <c r="H36" s="55">
        <v>2417</v>
      </c>
      <c r="I36" s="55">
        <f t="shared" si="2"/>
        <v>2417</v>
      </c>
      <c r="J36" s="56">
        <f t="shared" si="3"/>
        <v>0</v>
      </c>
    </row>
    <row r="37" spans="1:10" x14ac:dyDescent="0.25">
      <c r="A37" s="14">
        <f>MIN($C$21)</f>
        <v>3743535</v>
      </c>
      <c r="G37" s="25" t="s">
        <v>77</v>
      </c>
      <c r="H37" s="53">
        <v>2671</v>
      </c>
      <c r="I37" s="53">
        <f t="shared" si="2"/>
        <v>2583</v>
      </c>
      <c r="J37" s="54">
        <f t="shared" si="3"/>
        <v>88</v>
      </c>
    </row>
    <row r="38" spans="1:10" x14ac:dyDescent="0.25">
      <c r="A38">
        <f>COUNT($B$11:$E$11)</f>
        <v>4</v>
      </c>
      <c r="G38" s="25" t="s">
        <v>78</v>
      </c>
      <c r="H38" s="53">
        <v>1473</v>
      </c>
      <c r="I38" s="53">
        <f t="shared" si="2"/>
        <v>1040</v>
      </c>
      <c r="J38" s="54">
        <f t="shared" si="3"/>
        <v>433</v>
      </c>
    </row>
    <row r="39" spans="1:10" x14ac:dyDescent="0.25">
      <c r="A39" t="b">
        <f t="array" ref="A39">$B$11:$E$11=INT($B$11:$E$11)</f>
        <v>1</v>
      </c>
      <c r="G39" s="28" t="s">
        <v>79</v>
      </c>
      <c r="H39" s="55">
        <v>1377</v>
      </c>
      <c r="I39" s="55">
        <f t="shared" si="2"/>
        <v>1377</v>
      </c>
      <c r="J39" s="56">
        <f t="shared" si="3"/>
        <v>0</v>
      </c>
    </row>
    <row r="40" spans="1:10" x14ac:dyDescent="0.25">
      <c r="A40" t="b">
        <f t="array" ref="A40">$B$11:$E$11&gt;=1000</f>
        <v>1</v>
      </c>
      <c r="G40" s="25" t="s">
        <v>80</v>
      </c>
      <c r="H40" s="53">
        <v>5208</v>
      </c>
      <c r="I40" s="53">
        <f t="shared" si="2"/>
        <v>3623</v>
      </c>
      <c r="J40" s="54">
        <f t="shared" si="3"/>
        <v>1585</v>
      </c>
    </row>
    <row r="41" spans="1:10" x14ac:dyDescent="0.25">
      <c r="A41" t="b">
        <f>$C$19=5000</f>
        <v>1</v>
      </c>
      <c r="G41" s="28" t="s">
        <v>81</v>
      </c>
      <c r="H41" s="55">
        <v>1721</v>
      </c>
      <c r="I41" s="55">
        <f t="shared" si="2"/>
        <v>1377</v>
      </c>
      <c r="J41" s="56">
        <f t="shared" si="3"/>
        <v>344</v>
      </c>
    </row>
    <row r="42" spans="1:10" x14ac:dyDescent="0.25">
      <c r="A42" t="b">
        <f t="array" ref="A42">$J$28:$J$46&gt;=0</f>
        <v>1</v>
      </c>
      <c r="G42" s="25" t="s">
        <v>83</v>
      </c>
      <c r="H42" s="53">
        <v>5381</v>
      </c>
      <c r="I42" s="53">
        <f t="shared" si="2"/>
        <v>5166</v>
      </c>
      <c r="J42" s="54">
        <f t="shared" si="3"/>
        <v>215</v>
      </c>
    </row>
    <row r="43" spans="1:10" x14ac:dyDescent="0.25">
      <c r="A43">
        <f>{32767,32767,0.000001,0.01,FALSE,FALSE,TRUE,1,1,1,0.0001,TRUE}</f>
        <v>32767</v>
      </c>
      <c r="G43" s="28" t="s">
        <v>82</v>
      </c>
      <c r="H43" s="55">
        <v>5782</v>
      </c>
      <c r="I43" s="55">
        <f t="shared" si="2"/>
        <v>4834</v>
      </c>
      <c r="J43" s="56">
        <f t="shared" si="3"/>
        <v>948</v>
      </c>
    </row>
    <row r="44" spans="1:10" x14ac:dyDescent="0.25">
      <c r="A44">
        <f>{0,0,1,100,0,FALSE,TRUE,0.075,0,0,FALSE,30}</f>
        <v>0</v>
      </c>
      <c r="G44" s="25" t="s">
        <v>36</v>
      </c>
      <c r="H44" s="53">
        <v>2987</v>
      </c>
      <c r="I44" s="53">
        <f t="shared" si="2"/>
        <v>2583</v>
      </c>
      <c r="J44" s="54">
        <f t="shared" si="3"/>
        <v>404</v>
      </c>
    </row>
    <row r="45" spans="1:10" x14ac:dyDescent="0.25">
      <c r="G45" s="25" t="s">
        <v>67</v>
      </c>
      <c r="H45" s="53">
        <v>1598</v>
      </c>
      <c r="I45" s="53">
        <f t="shared" si="2"/>
        <v>1040</v>
      </c>
      <c r="J45" s="54">
        <f t="shared" si="3"/>
        <v>558</v>
      </c>
    </row>
    <row r="46" spans="1:10" x14ac:dyDescent="0.25">
      <c r="G46" s="28" t="s">
        <v>68</v>
      </c>
      <c r="H46" s="57">
        <v>1487</v>
      </c>
      <c r="I46" s="55">
        <f t="shared" si="2"/>
        <v>1377</v>
      </c>
      <c r="J46" s="56">
        <f t="shared" si="3"/>
        <v>110</v>
      </c>
    </row>
  </sheetData>
  <conditionalFormatting sqref="J28:J46">
    <cfRule type="cellIs" dxfId="0" priority="1" operator="equal">
      <formula>0</formula>
    </cfRule>
  </conditionalFormatting>
  <pageMargins left="0.7" right="0.7" top="0.75" bottom="0.75" header="0.3" footer="0.3"/>
  <pageSetup scale="72" orientation="landscape" horizontalDpi="4294967295" verticalDpi="4294967295" r:id="rId1"/>
  <headerFooter>
    <oddFooter>&amp;R&amp;F &amp;A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DA49-CF94-44CF-86A3-A2FDD864508E}">
  <dimension ref="A1:G59"/>
  <sheetViews>
    <sheetView showGridLines="0" workbookViewId="0"/>
  </sheetViews>
  <sheetFormatPr defaultRowHeight="15" outlineLevelRow="1" x14ac:dyDescent="0.25"/>
  <cols>
    <col min="1" max="1" width="2.28515625" customWidth="1"/>
    <col min="2" max="2" width="19.42578125" bestFit="1" customWidth="1"/>
    <col min="3" max="3" width="34.5703125" bestFit="1" customWidth="1"/>
    <col min="4" max="4" width="13.7109375" bestFit="1" customWidth="1"/>
    <col min="5" max="5" width="12.28515625" bestFit="1" customWidth="1"/>
    <col min="6" max="6" width="11.42578125" bestFit="1" customWidth="1"/>
    <col min="7" max="7" width="6.28515625" bestFit="1" customWidth="1"/>
  </cols>
  <sheetData>
    <row r="1" spans="1:5" x14ac:dyDescent="0.25">
      <c r="A1" s="108" t="s">
        <v>109</v>
      </c>
    </row>
    <row r="2" spans="1:5" x14ac:dyDescent="0.25">
      <c r="A2" s="108" t="s">
        <v>110</v>
      </c>
    </row>
    <row r="3" spans="1:5" x14ac:dyDescent="0.25">
      <c r="A3" s="108" t="s">
        <v>212</v>
      </c>
    </row>
    <row r="4" spans="1:5" x14ac:dyDescent="0.25">
      <c r="A4" s="108" t="s">
        <v>111</v>
      </c>
    </row>
    <row r="5" spans="1:5" x14ac:dyDescent="0.25">
      <c r="A5" s="108" t="s">
        <v>112</v>
      </c>
    </row>
    <row r="6" spans="1:5" hidden="1" outlineLevel="1" x14ac:dyDescent="0.25">
      <c r="A6" s="108"/>
      <c r="B6" t="s">
        <v>113</v>
      </c>
    </row>
    <row r="7" spans="1:5" hidden="1" outlineLevel="1" x14ac:dyDescent="0.25">
      <c r="A7" s="108"/>
      <c r="B7" t="s">
        <v>114</v>
      </c>
    </row>
    <row r="8" spans="1:5" hidden="1" outlineLevel="1" x14ac:dyDescent="0.25">
      <c r="A8" s="108"/>
      <c r="B8" t="s">
        <v>115</v>
      </c>
    </row>
    <row r="9" spans="1:5" collapsed="1" x14ac:dyDescent="0.25">
      <c r="A9" s="108" t="s">
        <v>116</v>
      </c>
    </row>
    <row r="10" spans="1:5" hidden="1" outlineLevel="1" x14ac:dyDescent="0.25">
      <c r="B10" t="s">
        <v>117</v>
      </c>
    </row>
    <row r="11" spans="1:5" hidden="1" outlineLevel="1" x14ac:dyDescent="0.25">
      <c r="B11" t="s">
        <v>118</v>
      </c>
    </row>
    <row r="12" spans="1:5" hidden="1" outlineLevel="1" x14ac:dyDescent="0.25">
      <c r="B12" t="s">
        <v>119</v>
      </c>
    </row>
    <row r="13" spans="1:5" collapsed="1" x14ac:dyDescent="0.25"/>
    <row r="14" spans="1:5" ht="15.75" thickBot="1" x14ac:dyDescent="0.3">
      <c r="A14" t="s">
        <v>120</v>
      </c>
    </row>
    <row r="15" spans="1:5" ht="15.75" thickBot="1" x14ac:dyDescent="0.3">
      <c r="B15" s="110" t="s">
        <v>121</v>
      </c>
      <c r="C15" s="110" t="s">
        <v>122</v>
      </c>
      <c r="D15" s="110" t="s">
        <v>123</v>
      </c>
      <c r="E15" s="110" t="s">
        <v>124</v>
      </c>
    </row>
    <row r="16" spans="1:5" ht="15.75" thickBot="1" x14ac:dyDescent="0.3">
      <c r="B16" s="109" t="s">
        <v>132</v>
      </c>
      <c r="C16" s="109" t="s">
        <v>133</v>
      </c>
      <c r="D16" s="112">
        <v>-0.457286432160804</v>
      </c>
      <c r="E16" s="112">
        <v>1.8279396984924624E-2</v>
      </c>
    </row>
    <row r="19" spans="1:7" ht="15.75" thickBot="1" x14ac:dyDescent="0.3">
      <c r="A19" t="s">
        <v>125</v>
      </c>
    </row>
    <row r="20" spans="1:7" ht="15.75" thickBot="1" x14ac:dyDescent="0.3">
      <c r="B20" s="110" t="s">
        <v>121</v>
      </c>
      <c r="C20" s="110" t="s">
        <v>122</v>
      </c>
      <c r="D20" s="110" t="s">
        <v>123</v>
      </c>
      <c r="E20" s="110" t="s">
        <v>124</v>
      </c>
      <c r="F20" s="110" t="s">
        <v>126</v>
      </c>
    </row>
    <row r="21" spans="1:7" x14ac:dyDescent="0.25">
      <c r="B21" s="117" t="s">
        <v>209</v>
      </c>
      <c r="C21" s="116"/>
      <c r="D21" s="116"/>
      <c r="E21" s="116"/>
      <c r="F21" s="116"/>
    </row>
    <row r="22" spans="1:7" hidden="1" outlineLevel="1" x14ac:dyDescent="0.25">
      <c r="B22" s="111" t="s">
        <v>134</v>
      </c>
      <c r="C22" s="111" t="s">
        <v>135</v>
      </c>
      <c r="D22" s="113">
        <v>1000</v>
      </c>
      <c r="E22" s="113">
        <v>1012</v>
      </c>
      <c r="F22" s="111" t="s">
        <v>126</v>
      </c>
    </row>
    <row r="23" spans="1:7" hidden="1" outlineLevel="1" x14ac:dyDescent="0.25">
      <c r="B23" s="111" t="s">
        <v>136</v>
      </c>
      <c r="C23" s="111" t="s">
        <v>137</v>
      </c>
      <c r="D23" s="113">
        <v>1000</v>
      </c>
      <c r="E23" s="113">
        <v>1571</v>
      </c>
      <c r="F23" s="111" t="s">
        <v>126</v>
      </c>
    </row>
    <row r="24" spans="1:7" hidden="1" outlineLevel="1" x14ac:dyDescent="0.25">
      <c r="B24" s="111" t="s">
        <v>138</v>
      </c>
      <c r="C24" s="111" t="s">
        <v>139</v>
      </c>
      <c r="D24" s="113">
        <v>1000</v>
      </c>
      <c r="E24" s="113">
        <v>1040</v>
      </c>
      <c r="F24" s="111" t="s">
        <v>126</v>
      </c>
    </row>
    <row r="25" spans="1:7" ht="15.75" hidden="1" outlineLevel="1" thickBot="1" x14ac:dyDescent="0.3">
      <c r="B25" s="109" t="s">
        <v>140</v>
      </c>
      <c r="C25" s="109" t="s">
        <v>141</v>
      </c>
      <c r="D25" s="114">
        <v>1000</v>
      </c>
      <c r="E25" s="114">
        <v>1377</v>
      </c>
      <c r="F25" s="109" t="s">
        <v>126</v>
      </c>
    </row>
    <row r="26" spans="1:7" collapsed="1" x14ac:dyDescent="0.25">
      <c r="B26" s="86"/>
      <c r="C26" s="86"/>
      <c r="D26" s="87"/>
      <c r="E26" s="87"/>
      <c r="F26" s="86"/>
    </row>
    <row r="29" spans="1:7" ht="15.75" thickBot="1" x14ac:dyDescent="0.3">
      <c r="A29" t="s">
        <v>127</v>
      </c>
    </row>
    <row r="30" spans="1:7" ht="15.75" thickBot="1" x14ac:dyDescent="0.3">
      <c r="B30" s="110" t="s">
        <v>121</v>
      </c>
      <c r="C30" s="110" t="s">
        <v>122</v>
      </c>
      <c r="D30" s="110" t="s">
        <v>128</v>
      </c>
      <c r="E30" s="110" t="s">
        <v>129</v>
      </c>
      <c r="F30" s="110" t="s">
        <v>130</v>
      </c>
      <c r="G30" s="110" t="s">
        <v>131</v>
      </c>
    </row>
    <row r="31" spans="1:7" x14ac:dyDescent="0.25">
      <c r="B31" s="111" t="s">
        <v>142</v>
      </c>
      <c r="C31" s="111" t="s">
        <v>143</v>
      </c>
      <c r="D31" s="113">
        <v>5000</v>
      </c>
      <c r="E31" s="111" t="s">
        <v>144</v>
      </c>
      <c r="F31" s="111" t="s">
        <v>145</v>
      </c>
      <c r="G31" s="111">
        <v>0</v>
      </c>
    </row>
    <row r="32" spans="1:7" x14ac:dyDescent="0.25">
      <c r="B32" s="118" t="s">
        <v>210</v>
      </c>
      <c r="C32" s="111"/>
      <c r="D32" s="113"/>
      <c r="E32" s="111"/>
      <c r="F32" s="111"/>
      <c r="G32" s="111"/>
    </row>
    <row r="33" spans="2:7" hidden="1" outlineLevel="1" x14ac:dyDescent="0.25">
      <c r="B33" s="111" t="s">
        <v>146</v>
      </c>
      <c r="C33" s="111" t="s">
        <v>147</v>
      </c>
      <c r="D33" s="115">
        <v>435</v>
      </c>
      <c r="E33" s="111" t="s">
        <v>148</v>
      </c>
      <c r="F33" s="111" t="s">
        <v>149</v>
      </c>
      <c r="G33" s="115">
        <v>435</v>
      </c>
    </row>
    <row r="34" spans="2:7" hidden="1" outlineLevel="1" x14ac:dyDescent="0.25">
      <c r="B34" s="111" t="s">
        <v>150</v>
      </c>
      <c r="C34" s="111" t="s">
        <v>151</v>
      </c>
      <c r="D34" s="115">
        <v>700</v>
      </c>
      <c r="E34" s="111" t="s">
        <v>152</v>
      </c>
      <c r="F34" s="111" t="s">
        <v>149</v>
      </c>
      <c r="G34" s="115">
        <v>700</v>
      </c>
    </row>
    <row r="35" spans="2:7" hidden="1" outlineLevel="1" x14ac:dyDescent="0.25">
      <c r="B35" s="111" t="s">
        <v>153</v>
      </c>
      <c r="C35" s="111" t="s">
        <v>154</v>
      </c>
      <c r="D35" s="115">
        <v>136</v>
      </c>
      <c r="E35" s="111" t="s">
        <v>155</v>
      </c>
      <c r="F35" s="111" t="s">
        <v>149</v>
      </c>
      <c r="G35" s="115">
        <v>136</v>
      </c>
    </row>
    <row r="36" spans="2:7" hidden="1" outlineLevel="1" x14ac:dyDescent="0.25">
      <c r="B36" s="111" t="s">
        <v>156</v>
      </c>
      <c r="C36" s="111" t="s">
        <v>157</v>
      </c>
      <c r="D36" s="115">
        <v>32</v>
      </c>
      <c r="E36" s="111" t="s">
        <v>158</v>
      </c>
      <c r="F36" s="111" t="s">
        <v>149</v>
      </c>
      <c r="G36" s="115">
        <v>32</v>
      </c>
    </row>
    <row r="37" spans="2:7" hidden="1" outlineLevel="1" x14ac:dyDescent="0.25">
      <c r="B37" s="111" t="s">
        <v>159</v>
      </c>
      <c r="C37" s="111" t="s">
        <v>160</v>
      </c>
      <c r="D37" s="115">
        <v>161</v>
      </c>
      <c r="E37" s="111" t="s">
        <v>161</v>
      </c>
      <c r="F37" s="111" t="s">
        <v>149</v>
      </c>
      <c r="G37" s="115">
        <v>161</v>
      </c>
    </row>
    <row r="38" spans="2:7" hidden="1" outlineLevel="1" x14ac:dyDescent="0.25">
      <c r="B38" s="111" t="s">
        <v>162</v>
      </c>
      <c r="C38" s="111" t="s">
        <v>163</v>
      </c>
      <c r="D38" s="115">
        <v>389</v>
      </c>
      <c r="E38" s="111" t="s">
        <v>164</v>
      </c>
      <c r="F38" s="111" t="s">
        <v>149</v>
      </c>
      <c r="G38" s="115">
        <v>389</v>
      </c>
    </row>
    <row r="39" spans="2:7" hidden="1" outlineLevel="1" x14ac:dyDescent="0.25">
      <c r="B39" s="111" t="s">
        <v>165</v>
      </c>
      <c r="C39" s="111" t="s">
        <v>166</v>
      </c>
      <c r="D39" s="115">
        <v>0</v>
      </c>
      <c r="E39" s="111" t="s">
        <v>167</v>
      </c>
      <c r="F39" s="111" t="s">
        <v>145</v>
      </c>
      <c r="G39" s="115">
        <v>0</v>
      </c>
    </row>
    <row r="40" spans="2:7" hidden="1" outlineLevel="1" x14ac:dyDescent="0.25">
      <c r="B40" s="111" t="s">
        <v>168</v>
      </c>
      <c r="C40" s="111" t="s">
        <v>169</v>
      </c>
      <c r="D40" s="115">
        <v>128</v>
      </c>
      <c r="E40" s="111" t="s">
        <v>170</v>
      </c>
      <c r="F40" s="111" t="s">
        <v>149</v>
      </c>
      <c r="G40" s="115">
        <v>128</v>
      </c>
    </row>
    <row r="41" spans="2:7" hidden="1" outlineLevel="1" x14ac:dyDescent="0.25">
      <c r="B41" s="111" t="s">
        <v>171</v>
      </c>
      <c r="C41" s="111" t="s">
        <v>172</v>
      </c>
      <c r="D41" s="115">
        <v>0</v>
      </c>
      <c r="E41" s="111" t="s">
        <v>173</v>
      </c>
      <c r="F41" s="111" t="s">
        <v>145</v>
      </c>
      <c r="G41" s="115">
        <v>0</v>
      </c>
    </row>
    <row r="42" spans="2:7" hidden="1" outlineLevel="1" x14ac:dyDescent="0.25">
      <c r="B42" s="111" t="s">
        <v>174</v>
      </c>
      <c r="C42" s="111" t="s">
        <v>175</v>
      </c>
      <c r="D42" s="115">
        <v>88</v>
      </c>
      <c r="E42" s="111" t="s">
        <v>176</v>
      </c>
      <c r="F42" s="111" t="s">
        <v>149</v>
      </c>
      <c r="G42" s="115">
        <v>88</v>
      </c>
    </row>
    <row r="43" spans="2:7" hidden="1" outlineLevel="1" x14ac:dyDescent="0.25">
      <c r="B43" s="111" t="s">
        <v>177</v>
      </c>
      <c r="C43" s="111" t="s">
        <v>178</v>
      </c>
      <c r="D43" s="115">
        <v>433</v>
      </c>
      <c r="E43" s="111" t="s">
        <v>179</v>
      </c>
      <c r="F43" s="111" t="s">
        <v>149</v>
      </c>
      <c r="G43" s="115">
        <v>433</v>
      </c>
    </row>
    <row r="44" spans="2:7" hidden="1" outlineLevel="1" x14ac:dyDescent="0.25">
      <c r="B44" s="111" t="s">
        <v>180</v>
      </c>
      <c r="C44" s="111" t="s">
        <v>181</v>
      </c>
      <c r="D44" s="115">
        <v>0</v>
      </c>
      <c r="E44" s="111" t="s">
        <v>182</v>
      </c>
      <c r="F44" s="111" t="s">
        <v>145</v>
      </c>
      <c r="G44" s="115">
        <v>0</v>
      </c>
    </row>
    <row r="45" spans="2:7" hidden="1" outlineLevel="1" x14ac:dyDescent="0.25">
      <c r="B45" s="111" t="s">
        <v>183</v>
      </c>
      <c r="C45" s="111" t="s">
        <v>184</v>
      </c>
      <c r="D45" s="115">
        <v>1585</v>
      </c>
      <c r="E45" s="111" t="s">
        <v>185</v>
      </c>
      <c r="F45" s="111" t="s">
        <v>149</v>
      </c>
      <c r="G45" s="115">
        <v>1585</v>
      </c>
    </row>
    <row r="46" spans="2:7" hidden="1" outlineLevel="1" x14ac:dyDescent="0.25">
      <c r="B46" s="111" t="s">
        <v>186</v>
      </c>
      <c r="C46" s="111" t="s">
        <v>187</v>
      </c>
      <c r="D46" s="115">
        <v>344</v>
      </c>
      <c r="E46" s="111" t="s">
        <v>188</v>
      </c>
      <c r="F46" s="111" t="s">
        <v>149</v>
      </c>
      <c r="G46" s="115">
        <v>344</v>
      </c>
    </row>
    <row r="47" spans="2:7" hidden="1" outlineLevel="1" x14ac:dyDescent="0.25">
      <c r="B47" s="111" t="s">
        <v>189</v>
      </c>
      <c r="C47" s="111" t="s">
        <v>190</v>
      </c>
      <c r="D47" s="115">
        <v>215</v>
      </c>
      <c r="E47" s="111" t="s">
        <v>191</v>
      </c>
      <c r="F47" s="111" t="s">
        <v>149</v>
      </c>
      <c r="G47" s="115">
        <v>215</v>
      </c>
    </row>
    <row r="48" spans="2:7" hidden="1" outlineLevel="1" x14ac:dyDescent="0.25">
      <c r="B48" s="111" t="s">
        <v>192</v>
      </c>
      <c r="C48" s="111" t="s">
        <v>193</v>
      </c>
      <c r="D48" s="115">
        <v>948</v>
      </c>
      <c r="E48" s="111" t="s">
        <v>194</v>
      </c>
      <c r="F48" s="111" t="s">
        <v>149</v>
      </c>
      <c r="G48" s="115">
        <v>948</v>
      </c>
    </row>
    <row r="49" spans="2:7" hidden="1" outlineLevel="1" x14ac:dyDescent="0.25">
      <c r="B49" s="111" t="s">
        <v>195</v>
      </c>
      <c r="C49" s="111" t="s">
        <v>196</v>
      </c>
      <c r="D49" s="115">
        <v>404</v>
      </c>
      <c r="E49" s="111" t="s">
        <v>197</v>
      </c>
      <c r="F49" s="111" t="s">
        <v>149</v>
      </c>
      <c r="G49" s="115">
        <v>404</v>
      </c>
    </row>
    <row r="50" spans="2:7" hidden="1" outlineLevel="1" x14ac:dyDescent="0.25">
      <c r="B50" s="111" t="s">
        <v>198</v>
      </c>
      <c r="C50" s="111" t="s">
        <v>199</v>
      </c>
      <c r="D50" s="115">
        <v>558</v>
      </c>
      <c r="E50" s="111" t="s">
        <v>200</v>
      </c>
      <c r="F50" s="111" t="s">
        <v>149</v>
      </c>
      <c r="G50" s="115">
        <v>558</v>
      </c>
    </row>
    <row r="51" spans="2:7" hidden="1" outlineLevel="1" x14ac:dyDescent="0.25">
      <c r="B51" s="111" t="s">
        <v>201</v>
      </c>
      <c r="C51" s="111" t="s">
        <v>202</v>
      </c>
      <c r="D51" s="115">
        <v>110</v>
      </c>
      <c r="E51" s="111" t="s">
        <v>203</v>
      </c>
      <c r="F51" s="111" t="s">
        <v>149</v>
      </c>
      <c r="G51" s="115">
        <v>110</v>
      </c>
    </row>
    <row r="52" spans="2:7" collapsed="1" x14ac:dyDescent="0.25">
      <c r="B52" s="111"/>
      <c r="C52" s="111"/>
      <c r="D52" s="115"/>
      <c r="E52" s="111"/>
      <c r="F52" s="111"/>
      <c r="G52" s="115"/>
    </row>
    <row r="53" spans="2:7" x14ac:dyDescent="0.25">
      <c r="B53" s="118" t="s">
        <v>211</v>
      </c>
      <c r="C53" s="111"/>
      <c r="D53" s="115"/>
      <c r="E53" s="111"/>
      <c r="F53" s="111"/>
      <c r="G53" s="115"/>
    </row>
    <row r="54" spans="2:7" hidden="1" outlineLevel="1" x14ac:dyDescent="0.25">
      <c r="B54" s="111" t="s">
        <v>134</v>
      </c>
      <c r="C54" s="111" t="s">
        <v>135</v>
      </c>
      <c r="D54" s="113">
        <v>1012</v>
      </c>
      <c r="E54" s="111" t="s">
        <v>204</v>
      </c>
      <c r="F54" s="111" t="s">
        <v>149</v>
      </c>
      <c r="G54" s="113">
        <v>12</v>
      </c>
    </row>
    <row r="55" spans="2:7" hidden="1" outlineLevel="1" x14ac:dyDescent="0.25">
      <c r="B55" s="111" t="s">
        <v>136</v>
      </c>
      <c r="C55" s="111" t="s">
        <v>137</v>
      </c>
      <c r="D55" s="113">
        <v>1571</v>
      </c>
      <c r="E55" s="111" t="s">
        <v>205</v>
      </c>
      <c r="F55" s="111" t="s">
        <v>149</v>
      </c>
      <c r="G55" s="113">
        <v>571</v>
      </c>
    </row>
    <row r="56" spans="2:7" hidden="1" outlineLevel="1" x14ac:dyDescent="0.25">
      <c r="B56" s="111" t="s">
        <v>138</v>
      </c>
      <c r="C56" s="111" t="s">
        <v>139</v>
      </c>
      <c r="D56" s="113">
        <v>1040</v>
      </c>
      <c r="E56" s="111" t="s">
        <v>206</v>
      </c>
      <c r="F56" s="111" t="s">
        <v>149</v>
      </c>
      <c r="G56" s="113">
        <v>40</v>
      </c>
    </row>
    <row r="57" spans="2:7" hidden="1" outlineLevel="1" x14ac:dyDescent="0.25">
      <c r="B57" s="111" t="s">
        <v>140</v>
      </c>
      <c r="C57" s="111" t="s">
        <v>141</v>
      </c>
      <c r="D57" s="113">
        <v>1377</v>
      </c>
      <c r="E57" s="111" t="s">
        <v>207</v>
      </c>
      <c r="F57" s="111" t="s">
        <v>149</v>
      </c>
      <c r="G57" s="113">
        <v>377</v>
      </c>
    </row>
    <row r="58" spans="2:7" collapsed="1" x14ac:dyDescent="0.25">
      <c r="B58" s="111"/>
      <c r="C58" s="111"/>
      <c r="D58" s="113"/>
      <c r="E58" s="111"/>
      <c r="F58" s="111"/>
      <c r="G58" s="113"/>
    </row>
    <row r="59" spans="2:7" ht="15.75" thickBot="1" x14ac:dyDescent="0.3">
      <c r="B59" s="109" t="s">
        <v>208</v>
      </c>
      <c r="C59" s="109"/>
      <c r="D59" s="109"/>
      <c r="E59" s="109"/>
      <c r="F59" s="109"/>
      <c r="G59" s="10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0268-A011-41BC-B098-AF50711DDC5B}">
  <dimension ref="A1:B11"/>
  <sheetViews>
    <sheetView zoomScale="120" zoomScaleNormal="120" workbookViewId="0"/>
  </sheetViews>
  <sheetFormatPr defaultRowHeight="15" x14ac:dyDescent="0.25"/>
  <cols>
    <col min="1" max="1" width="29.140625" customWidth="1"/>
    <col min="2" max="2" width="47.85546875" customWidth="1"/>
  </cols>
  <sheetData>
    <row r="1" spans="1:2" ht="32.25" x14ac:dyDescent="0.25">
      <c r="A1" s="1" t="s">
        <v>0</v>
      </c>
    </row>
    <row r="2" spans="1:2" x14ac:dyDescent="0.25">
      <c r="A2" s="6" t="s">
        <v>41</v>
      </c>
    </row>
    <row r="4" spans="1:2" x14ac:dyDescent="0.25">
      <c r="A4" s="58" t="s">
        <v>42</v>
      </c>
      <c r="B4" s="58" t="s">
        <v>43</v>
      </c>
    </row>
    <row r="5" spans="1:2" ht="45" x14ac:dyDescent="0.25">
      <c r="A5" s="59" t="s">
        <v>44</v>
      </c>
      <c r="B5" s="60" t="s">
        <v>45</v>
      </c>
    </row>
    <row r="6" spans="1:2" ht="30" x14ac:dyDescent="0.25">
      <c r="A6" s="59" t="s">
        <v>6</v>
      </c>
      <c r="B6" s="60" t="s">
        <v>46</v>
      </c>
    </row>
    <row r="7" spans="1:2" ht="30" x14ac:dyDescent="0.25">
      <c r="A7" s="59" t="s">
        <v>12</v>
      </c>
      <c r="B7" s="60" t="s">
        <v>47</v>
      </c>
    </row>
    <row r="8" spans="1:2" ht="30" x14ac:dyDescent="0.25">
      <c r="A8" s="59" t="s">
        <v>17</v>
      </c>
      <c r="B8" s="60" t="s">
        <v>48</v>
      </c>
    </row>
    <row r="9" spans="1:2" ht="30" x14ac:dyDescent="0.25">
      <c r="A9" s="59" t="s">
        <v>49</v>
      </c>
      <c r="B9" s="60" t="s">
        <v>50</v>
      </c>
    </row>
    <row r="10" spans="1:2" ht="30" x14ac:dyDescent="0.25">
      <c r="A10" s="59" t="s">
        <v>51</v>
      </c>
      <c r="B10" s="60" t="s">
        <v>52</v>
      </c>
    </row>
    <row r="11" spans="1:2" ht="30" x14ac:dyDescent="0.25">
      <c r="A11" s="59" t="s">
        <v>53</v>
      </c>
      <c r="B11" s="6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Documentation</vt:lpstr>
      <vt:lpstr>Income Statement</vt:lpstr>
      <vt:lpstr>Scenario Summary</vt:lpstr>
      <vt:lpstr>Scenario PivotTable</vt:lpstr>
      <vt:lpstr>Product Line</vt:lpstr>
      <vt:lpstr>Answer Report 1</vt:lpstr>
      <vt:lpstr>Terms and Definitions</vt:lpstr>
      <vt:lpstr>Miscellaneous</vt:lpstr>
      <vt:lpstr>Net_Income</vt:lpstr>
      <vt:lpstr>Salaries_and_Benefits</vt:lpstr>
      <vt:lpstr>Sales_Price_per_Unit</vt:lpstr>
      <vt:lpstr>Shipping_and_Distribution</vt:lpstr>
      <vt:lpstr>Stocking_and_Storage</vt:lpstr>
      <vt:lpstr>Total_Expenses</vt:lpstr>
      <vt:lpstr>Total_Revenue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8, Review Assignment</dc:title>
  <dc:creator>Your Name</dc:creator>
  <cp:lastModifiedBy>Patrick Carey</cp:lastModifiedBy>
  <dcterms:created xsi:type="dcterms:W3CDTF">2018-12-16T04:11:48Z</dcterms:created>
  <dcterms:modified xsi:type="dcterms:W3CDTF">2021-08-17T16:14:34Z</dcterms:modified>
</cp:coreProperties>
</file>
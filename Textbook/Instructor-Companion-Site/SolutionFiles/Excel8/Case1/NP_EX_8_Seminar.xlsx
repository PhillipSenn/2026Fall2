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Robin\Documents\CT_Excel365\Excel\Module_08\08_Second with QARound2\"/>
    </mc:Choice>
  </mc:AlternateContent>
  <xr:revisionPtr revIDLastSave="0" documentId="13_ncr:1_{14889BFA-B11A-42A4-9B2A-22BD38DE90C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ocumentation" sheetId="2" r:id="rId1"/>
    <sheet name="Budget" sheetId="1" r:id="rId2"/>
    <sheet name="Scenario Summary" sheetId="3" r:id="rId3"/>
  </sheets>
  <definedNames>
    <definedName name="AttendeeLookup">Budget!$D$6:$D$11</definedName>
    <definedName name="Attendees">Budget!$B$5</definedName>
    <definedName name="Balance">Budget!$B$29</definedName>
    <definedName name="Computing_Costs">Budget!$B$15</definedName>
    <definedName name="Cost_per_Person">Budget!$B$28</definedName>
    <definedName name="Meal_Costs">Budget!$B$24</definedName>
    <definedName name="Meal_Lookup">Budget!$D$14:$E$20</definedName>
    <definedName name="MealCatering">Budget!$E$15:$E$20</definedName>
    <definedName name="Miscellaneous">Budget!$B$19</definedName>
    <definedName name="Registration_Fee">Budget!$B$6</definedName>
    <definedName name="Room_Costs">Budget!$B$23</definedName>
    <definedName name="Room_Lookup">Budget!$D$5:$E$11</definedName>
    <definedName name="RoomFees">Budget!$E$6:$E$11</definedName>
    <definedName name="Seminar_Lookup">Budget!$D$23:$E$29</definedName>
    <definedName name="SeminarSupport">Budget!$E$24:$E$29</definedName>
    <definedName name="solver_adj" localSheetId="1" hidden="1">Budget!$B$6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Budget!$B$6</definedName>
    <definedName name="solver_lhs2" localSheetId="1" hidden="1">Budget!$B$6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</definedName>
    <definedName name="solver_nwt" localSheetId="1" hidden="1">1</definedName>
    <definedName name="solver_opt" localSheetId="1" hidden="1">Budget!$B$29</definedName>
    <definedName name="solver_pre" localSheetId="1" hidden="1">0.000001</definedName>
    <definedName name="solver_rbv" localSheetId="1" hidden="1">1</definedName>
    <definedName name="solver_rel1" localSheetId="1" hidden="1">4</definedName>
    <definedName name="solver_rel2" localSheetId="1" hidden="1">4</definedName>
    <definedName name="solver_rhs1" localSheetId="1" hidden="1">integer</definedName>
    <definedName name="solver_rhs2" localSheetId="1" hidden="1">integer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  <definedName name="Speaker_Fees">Budget!$B$16</definedName>
    <definedName name="Speaker_Lodging">Budget!$B$18</definedName>
    <definedName name="Speaker_Travel">Budget!$B$17</definedName>
    <definedName name="Supplemental_Materials">Budget!$B$11</definedName>
    <definedName name="Support_Costs">Budget!$B$25</definedName>
    <definedName name="Total_Fixed_Costs">Budget!$B$20</definedName>
    <definedName name="Total_Mixed_Costs">Budget!$B$26</definedName>
    <definedName name="Total_Revenue">Budget!$B$7</definedName>
    <definedName name="Total_Variable_Costs">Budget!$B$12</definedName>
    <definedName name="Training_Materials">Budget!$B$10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" l="1"/>
  <c r="B25" i="1" s="1"/>
  <c r="S6" i="1"/>
  <c r="B20" i="1"/>
  <c r="B24" i="1" l="1"/>
  <c r="B23" i="1"/>
  <c r="B7" i="1"/>
  <c r="H6" i="1" s="1"/>
  <c r="B12" i="1"/>
  <c r="G6" i="1"/>
  <c r="B26" i="1" l="1"/>
  <c r="I6" i="1" s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B29" i="1" l="1"/>
  <c r="L6" i="1" s="1"/>
  <c r="B28" i="1"/>
  <c r="J6" i="1" l="1"/>
</calcChain>
</file>

<file path=xl/sharedStrings.xml><?xml version="1.0" encoding="utf-8"?>
<sst xmlns="http://schemas.openxmlformats.org/spreadsheetml/2006/main" count="73" uniqueCount="59">
  <si>
    <t>Author</t>
  </si>
  <si>
    <t>Date</t>
  </si>
  <si>
    <t>Purpose</t>
  </si>
  <si>
    <t>Revenue</t>
  </si>
  <si>
    <t>Variable Costs</t>
  </si>
  <si>
    <t>Fixed Costs</t>
  </si>
  <si>
    <t>Balance</t>
  </si>
  <si>
    <t>Break-Even Analysis</t>
  </si>
  <si>
    <t>Attendees</t>
  </si>
  <si>
    <t>Total Revenue</t>
  </si>
  <si>
    <t>Total Fixed Costs</t>
  </si>
  <si>
    <t>Total Variable Costs</t>
  </si>
  <si>
    <t>Mixed Costs</t>
  </si>
  <si>
    <t>Total Mixed Costs</t>
  </si>
  <si>
    <t>Charge</t>
  </si>
  <si>
    <t>Meal Catering</t>
  </si>
  <si>
    <t>Charge (per person)</t>
  </si>
  <si>
    <t>Balance Analysis</t>
  </si>
  <si>
    <t>Total Costs</t>
  </si>
  <si>
    <t>Miscellaneous</t>
  </si>
  <si>
    <t>Attendance</t>
  </si>
  <si>
    <t>Seminar Budget Projections</t>
  </si>
  <si>
    <t>Effect of the Registration Fee on Attendance</t>
  </si>
  <si>
    <t>Granite Life</t>
  </si>
  <si>
    <t>To project the revenue and costs for an upcoming seminar in Provo, Utah, and to determine a registration fee that maximizes the income from the seminar</t>
  </si>
  <si>
    <t>Room Fees</t>
  </si>
  <si>
    <t>Speaker Fees</t>
  </si>
  <si>
    <t>Training Materials</t>
  </si>
  <si>
    <t>Supplemental Materials</t>
  </si>
  <si>
    <t>Seminar Support</t>
  </si>
  <si>
    <t>Computing Costs</t>
  </si>
  <si>
    <t>Room Costs</t>
  </si>
  <si>
    <t>Meal Costs</t>
  </si>
  <si>
    <t>Support Costs</t>
  </si>
  <si>
    <t>Fee</t>
  </si>
  <si>
    <t>Brenda Castro</t>
  </si>
  <si>
    <t>Registration Fee per Attendee</t>
  </si>
  <si>
    <t>Cost per Attendee</t>
  </si>
  <si>
    <t>Registration_Fee</t>
  </si>
  <si>
    <t>Training_Materials</t>
  </si>
  <si>
    <t>Supplemental_Materials</t>
  </si>
  <si>
    <t>Computing_Costs</t>
  </si>
  <si>
    <t>Speaker_Fees</t>
  </si>
  <si>
    <t>Cost_per_Person</t>
  </si>
  <si>
    <t>Seminar 1</t>
  </si>
  <si>
    <t>Created by Your Name on 1/14/2019</t>
  </si>
  <si>
    <t>Seminar 2</t>
  </si>
  <si>
    <t>Seminar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</si>
  <si>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</si>
  <si>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</si>
  <si>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</si>
  <si>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</si>
  <si>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</si>
  <si>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</si>
  <si>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</si>
  <si>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Speaker Travel</t>
  </si>
  <si>
    <t>Speaker Lodging</t>
  </si>
  <si>
    <t>Speaker_Travel</t>
  </si>
  <si>
    <t>Speaker_Lodging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</si>
</sst>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_(* #,##0_);_(* \(#,##0\);_(* &quot;-&quot;??_);_(@_)"/>
    <numFmt numFmtId="166" formatCode="&quot;Attendees&quot;"/>
  </numFmts>
  <fonts count="15" x14ac:knownFonts="1">
    <font>
      <sz val="11"/>
      <color theme="1"/>
      <name val="Calibri Light"/>
      <family val="2"/>
      <scheme val="minor"/>
    </font>
    <font>
      <sz val="11"/>
      <color theme="1"/>
      <name val="Calibri Light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inor"/>
    </font>
    <font>
      <sz val="11"/>
      <color theme="0"/>
      <name val="Calibri Light"/>
      <family val="2"/>
      <scheme val="minor"/>
    </font>
    <font>
      <b/>
      <sz val="18"/>
      <color theme="3"/>
      <name val="Calibri Light"/>
      <family val="2"/>
      <scheme val="major"/>
    </font>
    <font>
      <sz val="11"/>
      <color theme="7" tint="-0.249977111117893"/>
      <name val="Calibri Light"/>
      <family val="2"/>
      <scheme val="minor"/>
    </font>
    <font>
      <sz val="28"/>
      <color theme="7" tint="-0.249977111117893"/>
      <name val="Bauhaus 93"/>
      <family val="5"/>
    </font>
    <font>
      <b/>
      <sz val="14"/>
      <color theme="7" tint="-0.249977111117893"/>
      <name val="Arial"/>
      <family val="2"/>
    </font>
    <font>
      <b/>
      <sz val="12"/>
      <color theme="1"/>
      <name val="Calibri Light"/>
      <family val="2"/>
      <scheme val="minor"/>
    </font>
    <font>
      <b/>
      <sz val="12"/>
      <color indexed="9"/>
      <name val="Calibri Light"/>
      <family val="2"/>
      <scheme val="minor"/>
    </font>
    <font>
      <b/>
      <sz val="11"/>
      <color indexed="8"/>
      <name val="Calibri Light"/>
      <family val="2"/>
      <scheme val="minor"/>
    </font>
    <font>
      <b/>
      <sz val="11"/>
      <color indexed="18"/>
      <name val="Calibri Light"/>
      <family val="2"/>
      <scheme val="minor"/>
    </font>
    <font>
      <sz val="10"/>
      <color indexed="9"/>
      <name val="Calibri Light"/>
      <family val="2"/>
      <scheme val="minor"/>
    </font>
    <font>
      <sz val="8"/>
      <color theme="1"/>
      <name val="Calibri Light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2" borderId="0" applyNumberFormat="0" applyBorder="0" applyAlignment="0" applyProtection="0"/>
    <xf numFmtId="0" fontId="5" fillId="0" borderId="0" applyNumberFormat="0" applyFill="0" applyBorder="0" applyAlignment="0" applyProtection="0"/>
  </cellStyleXfs>
  <cellXfs count="51">
    <xf numFmtId="0" fontId="0" fillId="0" borderId="0" xfId="0"/>
    <xf numFmtId="0" fontId="6" fillId="0" borderId="2" xfId="0" applyFont="1" applyBorder="1" applyAlignment="1">
      <alignment horizontal="left" vertical="top" wrapText="1"/>
    </xf>
    <xf numFmtId="0" fontId="7" fillId="0" borderId="0" xfId="3" applyFont="1"/>
    <xf numFmtId="0" fontId="8" fillId="0" borderId="0" xfId="4" applyFont="1" applyBorder="1"/>
    <xf numFmtId="6" fontId="0" fillId="0" borderId="0" xfId="0" applyNumberFormat="1"/>
    <xf numFmtId="0" fontId="4" fillId="2" borderId="0" xfId="5"/>
    <xf numFmtId="0" fontId="0" fillId="0" borderId="3" xfId="0" applyBorder="1"/>
    <xf numFmtId="6" fontId="0" fillId="0" borderId="3" xfId="0" applyNumberFormat="1" applyBorder="1"/>
    <xf numFmtId="0" fontId="0" fillId="4" borderId="0" xfId="0" applyFill="1"/>
    <xf numFmtId="6" fontId="0" fillId="4" borderId="0" xfId="0" applyNumberFormat="1" applyFill="1"/>
    <xf numFmtId="0" fontId="9" fillId="4" borderId="0" xfId="0" applyFont="1" applyFill="1"/>
    <xf numFmtId="6" fontId="9" fillId="4" borderId="0" xfId="0" applyNumberFormat="1" applyFont="1" applyFill="1"/>
    <xf numFmtId="0" fontId="0" fillId="0" borderId="4" xfId="0" applyBorder="1"/>
    <xf numFmtId="0" fontId="0" fillId="4" borderId="4" xfId="0" applyFill="1" applyBorder="1" applyAlignment="1">
      <alignment horizontal="center"/>
    </xf>
    <xf numFmtId="6" fontId="0" fillId="0" borderId="4" xfId="0" applyNumberFormat="1" applyBorder="1"/>
    <xf numFmtId="164" fontId="0" fillId="0" borderId="4" xfId="0" applyNumberFormat="1" applyBorder="1"/>
    <xf numFmtId="0" fontId="0" fillId="0" borderId="0" xfId="0" applyBorder="1"/>
    <xf numFmtId="6" fontId="0" fillId="0" borderId="0" xfId="0" applyNumberFormat="1" applyBorder="1"/>
    <xf numFmtId="0" fontId="0" fillId="0" borderId="3" xfId="0" applyFill="1" applyBorder="1"/>
    <xf numFmtId="0" fontId="0" fillId="4" borderId="4" xfId="0" applyFill="1" applyBorder="1"/>
    <xf numFmtId="164" fontId="0" fillId="0" borderId="4" xfId="0" applyNumberFormat="1" applyFill="1" applyBorder="1"/>
    <xf numFmtId="165" fontId="0" fillId="0" borderId="4" xfId="1" applyNumberFormat="1" applyFont="1" applyBorder="1"/>
    <xf numFmtId="0" fontId="0" fillId="3" borderId="2" xfId="0" applyFill="1" applyBorder="1" applyAlignment="1">
      <alignment vertical="top"/>
    </xf>
    <xf numFmtId="0" fontId="6" fillId="0" borderId="2" xfId="0" applyFont="1" applyBorder="1" applyAlignment="1">
      <alignment vertical="top" wrapText="1"/>
    </xf>
    <xf numFmtId="14" fontId="6" fillId="0" borderId="2" xfId="0" applyNumberFormat="1" applyFont="1" applyBorder="1" applyAlignment="1">
      <alignment vertical="top" wrapText="1"/>
    </xf>
    <xf numFmtId="164" fontId="0" fillId="0" borderId="4" xfId="2" applyNumberFormat="1" applyFont="1" applyBorder="1"/>
    <xf numFmtId="0" fontId="0" fillId="4" borderId="4" xfId="0" applyFill="1" applyBorder="1" applyAlignment="1">
      <alignment horizontal="center"/>
    </xf>
    <xf numFmtId="0" fontId="0" fillId="0" borderId="4" xfId="0" applyFill="1" applyBorder="1"/>
    <xf numFmtId="0" fontId="0" fillId="0" borderId="0" xfId="0" applyAlignment="1"/>
    <xf numFmtId="1" fontId="0" fillId="0" borderId="0" xfId="1" applyNumberFormat="1" applyFont="1"/>
    <xf numFmtId="166" fontId="0" fillId="4" borderId="4" xfId="0" applyNumberFormat="1" applyFill="1" applyBorder="1"/>
    <xf numFmtId="1" fontId="0" fillId="0" borderId="4" xfId="0" applyNumberFormat="1" applyBorder="1"/>
    <xf numFmtId="0" fontId="0" fillId="0" borderId="0" xfId="0" applyFill="1" applyBorder="1" applyAlignment="1"/>
    <xf numFmtId="1" fontId="0" fillId="0" borderId="0" xfId="0" applyNumberFormat="1" applyFill="1" applyBorder="1" applyAlignment="1"/>
    <xf numFmtId="6" fontId="0" fillId="0" borderId="0" xfId="0" applyNumberFormat="1" applyFill="1" applyBorder="1" applyAlignment="1"/>
    <xf numFmtId="6" fontId="0" fillId="0" borderId="6" xfId="0" applyNumberFormat="1" applyFill="1" applyBorder="1" applyAlignment="1"/>
    <xf numFmtId="0" fontId="10" fillId="5" borderId="3" xfId="0" applyFont="1" applyFill="1" applyBorder="1" applyAlignment="1">
      <alignment horizontal="left"/>
    </xf>
    <xf numFmtId="0" fontId="10" fillId="5" borderId="5" xfId="0" applyFont="1" applyFill="1" applyBorder="1" applyAlignment="1">
      <alignment horizontal="left"/>
    </xf>
    <xf numFmtId="0" fontId="0" fillId="0" borderId="7" xfId="0" applyFill="1" applyBorder="1" applyAlignment="1"/>
    <xf numFmtId="0" fontId="11" fillId="6" borderId="0" xfId="0" applyFont="1" applyFill="1" applyBorder="1" applyAlignment="1">
      <alignment horizontal="left"/>
    </xf>
    <xf numFmtId="0" fontId="12" fillId="6" borderId="7" xfId="0" applyFont="1" applyFill="1" applyBorder="1" applyAlignment="1">
      <alignment horizontal="left"/>
    </xf>
    <xf numFmtId="0" fontId="11" fillId="6" borderId="6" xfId="0" applyFont="1" applyFill="1" applyBorder="1" applyAlignment="1">
      <alignment horizontal="left"/>
    </xf>
    <xf numFmtId="0" fontId="13" fillId="5" borderId="5" xfId="0" applyFont="1" applyFill="1" applyBorder="1" applyAlignment="1">
      <alignment horizontal="right"/>
    </xf>
    <xf numFmtId="0" fontId="13" fillId="5" borderId="3" xfId="0" applyFont="1" applyFill="1" applyBorder="1" applyAlignment="1">
      <alignment horizontal="right"/>
    </xf>
    <xf numFmtId="1" fontId="0" fillId="7" borderId="0" xfId="0" applyNumberFormat="1" applyFill="1" applyBorder="1" applyAlignment="1"/>
    <xf numFmtId="6" fontId="0" fillId="7" borderId="0" xfId="0" applyNumberFormat="1" applyFill="1" applyBorder="1" applyAlignment="1"/>
    <xf numFmtId="0" fontId="14" fillId="0" borderId="0" xfId="0" applyFont="1" applyFill="1" applyBorder="1" applyAlignment="1">
      <alignment vertical="top" wrapText="1"/>
    </xf>
    <xf numFmtId="0" fontId="4" fillId="2" borderId="3" xfId="5" applyBorder="1" applyAlignment="1">
      <alignment horizontal="center"/>
    </xf>
    <xf numFmtId="0" fontId="4" fillId="2" borderId="0" xfId="5" applyAlignment="1">
      <alignment horizontal="center"/>
    </xf>
    <xf numFmtId="0" fontId="4" fillId="2" borderId="4" xfId="5" applyBorder="1" applyAlignment="1">
      <alignment horizontal="center"/>
    </xf>
    <xf numFmtId="0" fontId="0" fillId="4" borderId="4" xfId="0" applyFill="1" applyBorder="1" applyAlignment="1">
      <alignment horizontal="center"/>
    </xf>
  </cellXfs>
  <cellStyles count="7">
    <cellStyle name="Accent4" xfId="5" builtinId="41"/>
    <cellStyle name="Comma" xfId="1" builtinId="3"/>
    <cellStyle name="Currency" xfId="2" builtinId="4"/>
    <cellStyle name="Heading 1" xfId="4" builtinId="16"/>
    <cellStyle name="Normal" xfId="0" builtinId="0"/>
    <cellStyle name="Title" xfId="3" builtinId="15"/>
    <cellStyle name="Title 2" xfId="6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232279802234022"/>
          <c:y val="0.10476190476190476"/>
          <c:w val="0.68281208569858998"/>
          <c:h val="0.683793775778027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Budget!$S$5</c:f>
              <c:strCache>
                <c:ptCount val="1"/>
                <c:pt idx="0">
                  <c:v>Attendance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Budget!$R$6:$R$21</c:f>
              <c:numCache>
                <c:formatCode>"$"#,##0</c:formatCode>
                <c:ptCount val="1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</c:numCache>
            </c:numRef>
          </c:xVal>
          <c:yVal>
            <c:numRef>
              <c:f>Budget!$S$6:$S$21</c:f>
              <c:numCache>
                <c:formatCode>_(* #,##0_);_(* \(#,##0\);_(* "-"??_);_(@_)</c:formatCode>
                <c:ptCount val="16"/>
                <c:pt idx="0">
                  <c:v>1000</c:v>
                </c:pt>
                <c:pt idx="1">
                  <c:v>818.73075307798183</c:v>
                </c:pt>
                <c:pt idx="2">
                  <c:v>670.32004603563928</c:v>
                </c:pt>
                <c:pt idx="3">
                  <c:v>548.81163609402643</c:v>
                </c:pt>
                <c:pt idx="4">
                  <c:v>449.32896411722157</c:v>
                </c:pt>
                <c:pt idx="5">
                  <c:v>367.87944117144235</c:v>
                </c:pt>
                <c:pt idx="6">
                  <c:v>301.19421191220215</c:v>
                </c:pt>
                <c:pt idx="7">
                  <c:v>246.5969639416065</c:v>
                </c:pt>
                <c:pt idx="8">
                  <c:v>201.8965179946554</c:v>
                </c:pt>
                <c:pt idx="9">
                  <c:v>165.29888822158654</c:v>
                </c:pt>
                <c:pt idx="10">
                  <c:v>135.3352832366127</c:v>
                </c:pt>
                <c:pt idx="11">
                  <c:v>110.80315836233387</c:v>
                </c:pt>
                <c:pt idx="12">
                  <c:v>90.717953289412506</c:v>
                </c:pt>
                <c:pt idx="13">
                  <c:v>74.273578214333881</c:v>
                </c:pt>
                <c:pt idx="14">
                  <c:v>60.810062625217974</c:v>
                </c:pt>
                <c:pt idx="15">
                  <c:v>49.787068367863945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92-44CB-9B97-71522F6D0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540543"/>
        <c:axId val="265550527"/>
      </c:scatterChart>
      <c:valAx>
        <c:axId val="265540543"/>
        <c:scaling>
          <c:orientation val="minMax"/>
          <c:max val="1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Registration Fee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550527"/>
        <c:crosses val="autoZero"/>
        <c:crossBetween val="midCat"/>
      </c:valAx>
      <c:valAx>
        <c:axId val="26555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Attendance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540543"/>
        <c:crosses val="autoZero"/>
        <c:crossBetween val="midCat"/>
      </c:valAx>
      <c:spPr>
        <a:solidFill>
          <a:sysClr val="window" lastClr="FFFFFF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CVP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Budget!$H$5</c:f>
              <c:strCache>
                <c:ptCount val="1"/>
                <c:pt idx="0">
                  <c:v>Total Revenue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Budget!$G$6:$G$16</c:f>
              <c:numCache>
                <c:formatCode>General</c:formatCode>
                <c:ptCount val="11"/>
                <c:pt idx="0" formatCode="0">
                  <c:v>200.28778934517305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</c:numCache>
            </c:numRef>
          </c:xVal>
          <c:yVal>
            <c:numRef>
              <c:f>Budget!$H$6:$H$16</c:f>
              <c:numCache>
                <c:formatCode>"$"#,##0_);[Red]\("$"#,##0\)</c:formatCode>
                <c:ptCount val="11"/>
                <c:pt idx="0">
                  <c:v>161031.38263351913</c:v>
                </c:pt>
                <c:pt idx="1">
                  <c:v>40200</c:v>
                </c:pt>
                <c:pt idx="2">
                  <c:v>80400</c:v>
                </c:pt>
                <c:pt idx="3">
                  <c:v>120600</c:v>
                </c:pt>
                <c:pt idx="4">
                  <c:v>160800</c:v>
                </c:pt>
                <c:pt idx="5">
                  <c:v>201000</c:v>
                </c:pt>
                <c:pt idx="6">
                  <c:v>241200</c:v>
                </c:pt>
                <c:pt idx="7">
                  <c:v>281400</c:v>
                </c:pt>
                <c:pt idx="8">
                  <c:v>321600</c:v>
                </c:pt>
                <c:pt idx="9">
                  <c:v>361800</c:v>
                </c:pt>
                <c:pt idx="10">
                  <c:v>402000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E3-4BA6-8690-8D0A486454AB}"/>
            </c:ext>
          </c:extLst>
        </c:ser>
        <c:ser>
          <c:idx val="1"/>
          <c:order val="1"/>
          <c:tx>
            <c:strRef>
              <c:f>Budget!$I$5</c:f>
              <c:strCache>
                <c:ptCount val="1"/>
                <c:pt idx="0">
                  <c:v>Total Costs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Budget!$G$6:$G$16</c:f>
              <c:numCache>
                <c:formatCode>General</c:formatCode>
                <c:ptCount val="11"/>
                <c:pt idx="0" formatCode="0">
                  <c:v>200.28778934517305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</c:numCache>
            </c:numRef>
          </c:xVal>
          <c:yVal>
            <c:numRef>
              <c:f>Budget!$I$6:$I$16</c:f>
              <c:numCache>
                <c:formatCode>"$"#,##0_);[Red]\("$"#,##0\)</c:formatCode>
                <c:ptCount val="11"/>
                <c:pt idx="0">
                  <c:v>77742.092590455373</c:v>
                </c:pt>
                <c:pt idx="1">
                  <c:v>30250</c:v>
                </c:pt>
                <c:pt idx="2">
                  <c:v>46550</c:v>
                </c:pt>
                <c:pt idx="3">
                  <c:v>63050</c:v>
                </c:pt>
                <c:pt idx="4">
                  <c:v>77650</c:v>
                </c:pt>
                <c:pt idx="5">
                  <c:v>93650</c:v>
                </c:pt>
                <c:pt idx="6">
                  <c:v>106750</c:v>
                </c:pt>
                <c:pt idx="7">
                  <c:v>122250</c:v>
                </c:pt>
                <c:pt idx="8">
                  <c:v>133850</c:v>
                </c:pt>
                <c:pt idx="9">
                  <c:v>148850</c:v>
                </c:pt>
                <c:pt idx="10">
                  <c:v>159100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E3-4BA6-8690-8D0A48645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780288"/>
        <c:axId val="288725760"/>
      </c:scatterChart>
      <c:valAx>
        <c:axId val="297780288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725760"/>
        <c:crosses val="autoZero"/>
        <c:crossBetween val="midCat"/>
      </c:valAx>
      <c:valAx>
        <c:axId val="28872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7802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Balance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Budget!$M$6</c:f>
              <c:strCache>
                <c:ptCount val="1"/>
                <c:pt idx="0">
                  <c:v>$200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Budget!$L$7:$L$16</c:f>
              <c:numCache>
                <c:formatCode>General</c:formatCode>
                <c:ptCount val="1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</c:numCache>
            </c:numRef>
          </c:xVal>
          <c:yVal>
            <c:numRef>
              <c:f>Budget!$M$7:$M$16</c:f>
              <c:numCache>
                <c:formatCode>"$"#,##0_);[Red]\("$"#,##0\)</c:formatCode>
                <c:ptCount val="10"/>
                <c:pt idx="0">
                  <c:v>-20250</c:v>
                </c:pt>
                <c:pt idx="1">
                  <c:v>-26550</c:v>
                </c:pt>
                <c:pt idx="2">
                  <c:v>-33050</c:v>
                </c:pt>
                <c:pt idx="3">
                  <c:v>-37650</c:v>
                </c:pt>
                <c:pt idx="4">
                  <c:v>-43650</c:v>
                </c:pt>
                <c:pt idx="5">
                  <c:v>-46750</c:v>
                </c:pt>
                <c:pt idx="6">
                  <c:v>-52250</c:v>
                </c:pt>
                <c:pt idx="7">
                  <c:v>-53850</c:v>
                </c:pt>
                <c:pt idx="8">
                  <c:v>-58850</c:v>
                </c:pt>
                <c:pt idx="9">
                  <c:v>-59100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F2-4306-8697-84153EBDFDE5}"/>
            </c:ext>
          </c:extLst>
        </c:ser>
        <c:ser>
          <c:idx val="1"/>
          <c:order val="1"/>
          <c:tx>
            <c:strRef>
              <c:f>Budget!$N$6</c:f>
              <c:strCache>
                <c:ptCount val="1"/>
                <c:pt idx="0">
                  <c:v>$300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Budget!$L$7:$L$16</c:f>
              <c:numCache>
                <c:formatCode>General</c:formatCode>
                <c:ptCount val="1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</c:numCache>
            </c:numRef>
          </c:xVal>
          <c:yVal>
            <c:numRef>
              <c:f>Budget!$N$7:$N$16</c:f>
              <c:numCache>
                <c:formatCode>"$"#,##0_);[Red]\("$"#,##0\)</c:formatCode>
                <c:ptCount val="10"/>
                <c:pt idx="0">
                  <c:v>-15250</c:v>
                </c:pt>
                <c:pt idx="1">
                  <c:v>-16550</c:v>
                </c:pt>
                <c:pt idx="2">
                  <c:v>-18050</c:v>
                </c:pt>
                <c:pt idx="3">
                  <c:v>-17650</c:v>
                </c:pt>
                <c:pt idx="4">
                  <c:v>-18650</c:v>
                </c:pt>
                <c:pt idx="5">
                  <c:v>-16750</c:v>
                </c:pt>
                <c:pt idx="6">
                  <c:v>-17250</c:v>
                </c:pt>
                <c:pt idx="7">
                  <c:v>-13850</c:v>
                </c:pt>
                <c:pt idx="8">
                  <c:v>-13850</c:v>
                </c:pt>
                <c:pt idx="9">
                  <c:v>-9100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F2-4306-8697-84153EBDFDE5}"/>
            </c:ext>
          </c:extLst>
        </c:ser>
        <c:ser>
          <c:idx val="2"/>
          <c:order val="2"/>
          <c:tx>
            <c:strRef>
              <c:f>Budget!$O$6</c:f>
              <c:strCache>
                <c:ptCount val="1"/>
                <c:pt idx="0">
                  <c:v>$400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Budget!$L$7:$L$16</c:f>
              <c:numCache>
                <c:formatCode>General</c:formatCode>
                <c:ptCount val="1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</c:numCache>
            </c:numRef>
          </c:xVal>
          <c:yVal>
            <c:numRef>
              <c:f>Budget!$O$7:$O$16</c:f>
              <c:numCache>
                <c:formatCode>"$"#,##0_);[Red]\("$"#,##0\)</c:formatCode>
                <c:ptCount val="10"/>
                <c:pt idx="0">
                  <c:v>-10250</c:v>
                </c:pt>
                <c:pt idx="1">
                  <c:v>-6550</c:v>
                </c:pt>
                <c:pt idx="2">
                  <c:v>-3050</c:v>
                </c:pt>
                <c:pt idx="3">
                  <c:v>2350</c:v>
                </c:pt>
                <c:pt idx="4">
                  <c:v>6350</c:v>
                </c:pt>
                <c:pt idx="5">
                  <c:v>13250</c:v>
                </c:pt>
                <c:pt idx="6">
                  <c:v>17750</c:v>
                </c:pt>
                <c:pt idx="7">
                  <c:v>26150</c:v>
                </c:pt>
                <c:pt idx="8">
                  <c:v>31150</c:v>
                </c:pt>
                <c:pt idx="9">
                  <c:v>40900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F2-4306-8697-84153EBDFDE5}"/>
            </c:ext>
          </c:extLst>
        </c:ser>
        <c:ser>
          <c:idx val="3"/>
          <c:order val="3"/>
          <c:tx>
            <c:strRef>
              <c:f>Budget!$P$6</c:f>
              <c:strCache>
                <c:ptCount val="1"/>
                <c:pt idx="0">
                  <c:v>$500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Budget!$L$7:$L$16</c:f>
              <c:numCache>
                <c:formatCode>General</c:formatCode>
                <c:ptCount val="1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</c:numCache>
            </c:numRef>
          </c:xVal>
          <c:yVal>
            <c:numRef>
              <c:f>Budget!$P$7:$P$16</c:f>
              <c:numCache>
                <c:formatCode>"$"#,##0_);[Red]\("$"#,##0\)</c:formatCode>
                <c:ptCount val="10"/>
                <c:pt idx="0">
                  <c:v>-5250</c:v>
                </c:pt>
                <c:pt idx="1">
                  <c:v>3450</c:v>
                </c:pt>
                <c:pt idx="2">
                  <c:v>11950</c:v>
                </c:pt>
                <c:pt idx="3">
                  <c:v>22350</c:v>
                </c:pt>
                <c:pt idx="4">
                  <c:v>31350</c:v>
                </c:pt>
                <c:pt idx="5">
                  <c:v>43250</c:v>
                </c:pt>
                <c:pt idx="6">
                  <c:v>52750</c:v>
                </c:pt>
                <c:pt idx="7">
                  <c:v>66150</c:v>
                </c:pt>
                <c:pt idx="8">
                  <c:v>76150</c:v>
                </c:pt>
                <c:pt idx="9">
                  <c:v>90900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F2-4306-8697-84153EBDF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530560"/>
        <c:axId val="496494928"/>
      </c:scatterChart>
      <c:valAx>
        <c:axId val="499530560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494928"/>
        <c:crosses val="autoZero"/>
        <c:crossBetween val="midCat"/>
      </c:valAx>
      <c:valAx>
        <c:axId val="49649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530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87313</xdr:colOff>
      <xdr:row>4</xdr:row>
      <xdr:rowOff>87312</xdr:rowOff>
    </xdr:from>
    <xdr:to>
      <xdr:col>24</xdr:col>
      <xdr:colOff>39688</xdr:colOff>
      <xdr:row>21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1</xdr:rowOff>
    </xdr:from>
    <xdr:to>
      <xdr:col>10</xdr:col>
      <xdr:colOff>0</xdr:colOff>
      <xdr:row>29</xdr:row>
      <xdr:rowOff>7938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0C8E8B-E97B-489A-8B0F-EFDECC5DDB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17</xdr:row>
      <xdr:rowOff>1</xdr:rowOff>
    </xdr:from>
    <xdr:to>
      <xdr:col>16</xdr:col>
      <xdr:colOff>0</xdr:colOff>
      <xdr:row>29</xdr:row>
      <xdr:rowOff>7938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62BA08-E8BE-40D1-9A9A-C6BC047EC6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etropolitan">
  <a:themeElements>
    <a:clrScheme name="Metropolitan">
      <a:dk1>
        <a:sysClr val="windowText" lastClr="000000"/>
      </a:dk1>
      <a:lt1>
        <a:sysClr val="window" lastClr="FFFFFF"/>
      </a:lt1>
      <a:dk2>
        <a:srgbClr val="162F33"/>
      </a:dk2>
      <a:lt2>
        <a:srgbClr val="EAF0E0"/>
      </a:lt2>
      <a:accent1>
        <a:srgbClr val="50B4C8"/>
      </a:accent1>
      <a:accent2>
        <a:srgbClr val="A8B97F"/>
      </a:accent2>
      <a:accent3>
        <a:srgbClr val="9B9256"/>
      </a:accent3>
      <a:accent4>
        <a:srgbClr val="657689"/>
      </a:accent4>
      <a:accent5>
        <a:srgbClr val="7A855D"/>
      </a:accent5>
      <a:accent6>
        <a:srgbClr val="84AC9D"/>
      </a:accent6>
      <a:hlink>
        <a:srgbClr val="2370CD"/>
      </a:hlink>
      <a:folHlink>
        <a:srgbClr val="877589"/>
      </a:folHlink>
    </a:clrScheme>
    <a:fontScheme name="Metropolitan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Metropolitan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00000"/>
                <a:lumMod val="110000"/>
              </a:schemeClr>
            </a:gs>
            <a:gs pos="50000">
              <a:schemeClr val="phClr">
                <a:tint val="75000"/>
                <a:satMod val="101000"/>
                <a:lumMod val="105000"/>
              </a:schemeClr>
            </a:gs>
            <a:gs pos="100000">
              <a:schemeClr val="phClr">
                <a:tint val="82000"/>
                <a:satMod val="104000"/>
                <a:lumMod val="105000"/>
              </a:schemeClr>
            </a:gs>
          </a:gsLst>
          <a:lin ang="2700000" scaled="0"/>
        </a:gradFill>
        <a:gradFill rotWithShape="1">
          <a:gsLst>
            <a:gs pos="0">
              <a:schemeClr val="phClr">
                <a:tint val="97000"/>
                <a:satMod val="100000"/>
                <a:lumMod val="102000"/>
              </a:schemeClr>
            </a:gs>
            <a:gs pos="50000">
              <a:schemeClr val="phClr">
                <a:shade val="100000"/>
                <a:satMod val="100000"/>
                <a:lumMod val="100000"/>
              </a:schemeClr>
            </a:gs>
            <a:gs pos="100000">
              <a:schemeClr val="phClr">
                <a:shade val="80000"/>
                <a:satMod val="100000"/>
                <a:lumMod val="99000"/>
              </a:schemeClr>
            </a:gs>
          </a:gsLst>
          <a:lin ang="27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5000"/>
            <a:satMod val="170000"/>
          </a:schemeClr>
        </a:soli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Metropolitan" id="{4C5440D6-04D2-4954-96CF-F251137069B2}" vid="{79CFCA13-9412-4290-BB4B-85112F88857B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2" max="2" width="39.875" customWidth="1"/>
  </cols>
  <sheetData>
    <row r="1" spans="1:2" ht="42.75" x14ac:dyDescent="0.75">
      <c r="A1" s="2" t="s">
        <v>23</v>
      </c>
    </row>
    <row r="3" spans="1:2" x14ac:dyDescent="0.25">
      <c r="A3" s="22" t="s">
        <v>0</v>
      </c>
      <c r="B3" s="23" t="s">
        <v>35</v>
      </c>
    </row>
    <row r="4" spans="1:2" x14ac:dyDescent="0.25">
      <c r="A4" s="22" t="s">
        <v>1</v>
      </c>
      <c r="B4" s="24">
        <v>45352</v>
      </c>
    </row>
    <row r="5" spans="1:2" ht="60" x14ac:dyDescent="0.25">
      <c r="A5" s="22" t="s">
        <v>2</v>
      </c>
      <c r="B5" s="1" t="s">
        <v>24</v>
      </c>
    </row>
  </sheetData>
  <pageMargins left="0.7" right="0.7" top="0.75" bottom="0.75" header="0.3" footer="0.3"/>
  <pageSetup orientation="portrait" r:id="rId1"/>
  <headerFooter>
    <oddHeader>&amp;R&amp;D</oddHeader>
    <oddFooter>&amp;L&amp;F&amp;CPage &amp;P&amp;R&amp;A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40"/>
  <sheetViews>
    <sheetView topLeftCell="F4" zoomScale="120" zoomScaleNormal="120" workbookViewId="0">
      <selection activeCell="F18" sqref="A18:XFD18"/>
    </sheetView>
  </sheetViews>
  <sheetFormatPr defaultRowHeight="15" x14ac:dyDescent="0.25"/>
  <cols>
    <col min="1" max="1" width="29.125" customWidth="1"/>
    <col min="2" max="2" width="11.875" customWidth="1"/>
    <col min="3" max="3" width="2.625" customWidth="1"/>
    <col min="4" max="4" width="8.125" customWidth="1"/>
    <col min="5" max="5" width="17.625" customWidth="1"/>
    <col min="6" max="6" width="2.375" customWidth="1"/>
    <col min="7" max="10" width="12.75" customWidth="1"/>
    <col min="11" max="11" width="2" customWidth="1"/>
    <col min="12" max="12" width="10.625" customWidth="1"/>
    <col min="17" max="17" width="3.375" customWidth="1"/>
    <col min="18" max="18" width="13.625" customWidth="1"/>
    <col min="19" max="19" width="9.625" bestFit="1" customWidth="1"/>
  </cols>
  <sheetData>
    <row r="1" spans="1:24" ht="42.75" x14ac:dyDescent="0.75">
      <c r="A1" s="2" t="s">
        <v>23</v>
      </c>
    </row>
    <row r="2" spans="1:24" ht="18" x14ac:dyDescent="0.25">
      <c r="A2" s="3" t="s">
        <v>21</v>
      </c>
    </row>
    <row r="4" spans="1:24" x14ac:dyDescent="0.25">
      <c r="A4" s="5" t="s">
        <v>3</v>
      </c>
      <c r="B4" s="5"/>
      <c r="D4" s="47" t="s">
        <v>25</v>
      </c>
      <c r="E4" s="47"/>
      <c r="G4" s="49" t="s">
        <v>7</v>
      </c>
      <c r="H4" s="49"/>
      <c r="I4" s="49"/>
      <c r="J4" s="49"/>
      <c r="L4" s="48" t="s">
        <v>17</v>
      </c>
      <c r="M4" s="48"/>
      <c r="N4" s="48"/>
      <c r="O4" s="48"/>
      <c r="P4" s="48"/>
      <c r="R4" s="48" t="s">
        <v>22</v>
      </c>
      <c r="S4" s="48"/>
      <c r="T4" s="48"/>
      <c r="U4" s="48"/>
      <c r="V4" s="48"/>
      <c r="W4" s="48"/>
      <c r="X4" s="48"/>
    </row>
    <row r="5" spans="1:24" x14ac:dyDescent="0.25">
      <c r="A5" t="s">
        <v>8</v>
      </c>
      <c r="B5" s="29">
        <f>1000*EXP(-B6/500)</f>
        <v>200.28778934517305</v>
      </c>
      <c r="D5" s="26" t="s">
        <v>8</v>
      </c>
      <c r="E5" s="26" t="s">
        <v>14</v>
      </c>
      <c r="G5" s="13" t="s">
        <v>8</v>
      </c>
      <c r="H5" s="13" t="s">
        <v>9</v>
      </c>
      <c r="I5" s="13" t="s">
        <v>18</v>
      </c>
      <c r="J5" s="13" t="s">
        <v>6</v>
      </c>
      <c r="L5" s="12"/>
      <c r="M5" s="50" t="s">
        <v>34</v>
      </c>
      <c r="N5" s="50"/>
      <c r="O5" s="50"/>
      <c r="P5" s="50"/>
      <c r="R5" s="19" t="s">
        <v>34</v>
      </c>
      <c r="S5" s="19" t="s">
        <v>20</v>
      </c>
    </row>
    <row r="6" spans="1:24" x14ac:dyDescent="0.25">
      <c r="A6" s="6" t="s">
        <v>36</v>
      </c>
      <c r="B6" s="7">
        <v>804</v>
      </c>
      <c r="D6" s="12">
        <v>0</v>
      </c>
      <c r="E6" s="15">
        <v>1500</v>
      </c>
      <c r="G6" s="31">
        <f>B5</f>
        <v>200.28778934517305</v>
      </c>
      <c r="H6" s="14">
        <f>B7</f>
        <v>161031.38263351913</v>
      </c>
      <c r="I6" s="14">
        <f>B12+B20+B26</f>
        <v>77742.092590455373</v>
      </c>
      <c r="J6" s="14">
        <f>B29</f>
        <v>83289.290043063753</v>
      </c>
      <c r="L6" s="30">
        <f>B29</f>
        <v>83289.290043063753</v>
      </c>
      <c r="M6" s="15">
        <v>200</v>
      </c>
      <c r="N6" s="15">
        <v>300</v>
      </c>
      <c r="O6" s="15">
        <v>400</v>
      </c>
      <c r="P6" s="15">
        <v>500</v>
      </c>
      <c r="R6" s="20">
        <v>0</v>
      </c>
      <c r="S6" s="21">
        <f>1000*EXP(-R6/500)</f>
        <v>1000</v>
      </c>
    </row>
    <row r="7" spans="1:24" x14ac:dyDescent="0.25">
      <c r="A7" s="8" t="s">
        <v>9</v>
      </c>
      <c r="B7" s="9">
        <f>B5*B6</f>
        <v>161031.38263351913</v>
      </c>
      <c r="D7" s="12">
        <v>100</v>
      </c>
      <c r="E7" s="15">
        <v>1750</v>
      </c>
      <c r="G7" s="12">
        <v>50</v>
      </c>
      <c r="H7" s="14">
        <f t="dataTable" ref="H7:J16" dt2D="0" dtr="0" r1="B5" ca="1"/>
        <v>40200</v>
      </c>
      <c r="I7" s="14">
        <v>30250</v>
      </c>
      <c r="J7" s="14">
        <v>9950</v>
      </c>
      <c r="L7" s="12">
        <v>50</v>
      </c>
      <c r="M7" s="14">
        <f t="dataTable" ref="M7:P16" dt2D="1" dtr="1" r1="B6" r2="B5"/>
        <v>-20250</v>
      </c>
      <c r="N7" s="14">
        <v>-15250</v>
      </c>
      <c r="O7" s="14">
        <v>-10250</v>
      </c>
      <c r="P7" s="14">
        <v>-5250</v>
      </c>
      <c r="R7" s="20">
        <v>100</v>
      </c>
      <c r="S7" s="21">
        <f t="shared" ref="S7:S21" si="0">1000*EXP(-R7/500)</f>
        <v>818.73075307798183</v>
      </c>
    </row>
    <row r="8" spans="1:24" x14ac:dyDescent="0.25">
      <c r="D8" s="12">
        <v>200</v>
      </c>
      <c r="E8" s="15">
        <v>1800</v>
      </c>
      <c r="G8" s="12">
        <v>100</v>
      </c>
      <c r="H8" s="14">
        <v>80400</v>
      </c>
      <c r="I8" s="14">
        <v>46550</v>
      </c>
      <c r="J8" s="14">
        <v>33850</v>
      </c>
      <c r="L8" s="12">
        <v>100</v>
      </c>
      <c r="M8" s="14">
        <v>-26550</v>
      </c>
      <c r="N8" s="14">
        <v>-16550</v>
      </c>
      <c r="O8" s="14">
        <v>-6550</v>
      </c>
      <c r="P8" s="14">
        <v>3450</v>
      </c>
      <c r="R8" s="20">
        <v>200</v>
      </c>
      <c r="S8" s="21">
        <f t="shared" si="0"/>
        <v>670.32004603563928</v>
      </c>
    </row>
    <row r="9" spans="1:24" x14ac:dyDescent="0.25">
      <c r="A9" s="5" t="s">
        <v>4</v>
      </c>
      <c r="B9" s="5"/>
      <c r="D9" s="12">
        <v>300</v>
      </c>
      <c r="E9" s="15">
        <v>1850</v>
      </c>
      <c r="G9" s="12">
        <v>150</v>
      </c>
      <c r="H9" s="14">
        <v>120600</v>
      </c>
      <c r="I9" s="14">
        <v>63050</v>
      </c>
      <c r="J9" s="14">
        <v>57550</v>
      </c>
      <c r="L9" s="12">
        <v>150</v>
      </c>
      <c r="M9" s="14">
        <v>-33050</v>
      </c>
      <c r="N9" s="14">
        <v>-18050</v>
      </c>
      <c r="O9" s="14">
        <v>-3050</v>
      </c>
      <c r="P9" s="14">
        <v>11950</v>
      </c>
      <c r="R9" s="20">
        <v>300</v>
      </c>
      <c r="S9" s="21">
        <f t="shared" si="0"/>
        <v>548.81163609402643</v>
      </c>
    </row>
    <row r="10" spans="1:24" x14ac:dyDescent="0.25">
      <c r="A10" t="s">
        <v>27</v>
      </c>
      <c r="B10" s="4">
        <v>135</v>
      </c>
      <c r="D10" s="12">
        <v>400</v>
      </c>
      <c r="E10" s="15">
        <v>1900</v>
      </c>
      <c r="G10" s="12">
        <v>200</v>
      </c>
      <c r="H10" s="14">
        <v>160800</v>
      </c>
      <c r="I10" s="14">
        <v>77650</v>
      </c>
      <c r="J10" s="14">
        <v>83150</v>
      </c>
      <c r="L10" s="12">
        <v>200</v>
      </c>
      <c r="M10" s="14">
        <v>-37650</v>
      </c>
      <c r="N10" s="14">
        <v>-17650</v>
      </c>
      <c r="O10" s="14">
        <v>2350</v>
      </c>
      <c r="P10" s="14">
        <v>22350</v>
      </c>
      <c r="R10" s="20">
        <v>400</v>
      </c>
      <c r="S10" s="21">
        <f t="shared" si="0"/>
        <v>449.32896411722157</v>
      </c>
    </row>
    <row r="11" spans="1:24" x14ac:dyDescent="0.25">
      <c r="A11" s="6" t="s">
        <v>28</v>
      </c>
      <c r="B11" s="7">
        <v>55</v>
      </c>
      <c r="D11" s="27">
        <v>500</v>
      </c>
      <c r="E11" s="15">
        <v>2000</v>
      </c>
      <c r="G11" s="12">
        <v>250</v>
      </c>
      <c r="H11" s="14">
        <v>201000</v>
      </c>
      <c r="I11" s="14">
        <v>93650</v>
      </c>
      <c r="J11" s="14">
        <v>107350</v>
      </c>
      <c r="L11" s="12">
        <v>250</v>
      </c>
      <c r="M11" s="14">
        <v>-43650</v>
      </c>
      <c r="N11" s="14">
        <v>-18650</v>
      </c>
      <c r="O11" s="14">
        <v>6350</v>
      </c>
      <c r="P11" s="14">
        <v>31350</v>
      </c>
      <c r="R11" s="20">
        <v>500</v>
      </c>
      <c r="S11" s="21">
        <f t="shared" si="0"/>
        <v>367.87944117144235</v>
      </c>
    </row>
    <row r="12" spans="1:24" x14ac:dyDescent="0.25">
      <c r="A12" s="8" t="s">
        <v>11</v>
      </c>
      <c r="B12" s="9">
        <f>SUM(B10:B11)*B5</f>
        <v>38054.679975582883</v>
      </c>
      <c r="G12" s="12">
        <v>300</v>
      </c>
      <c r="H12" s="14">
        <v>241200</v>
      </c>
      <c r="I12" s="14">
        <v>106750</v>
      </c>
      <c r="J12" s="14">
        <v>134450</v>
      </c>
      <c r="L12" s="12">
        <v>300</v>
      </c>
      <c r="M12" s="14">
        <v>-46750</v>
      </c>
      <c r="N12" s="14">
        <v>-16750</v>
      </c>
      <c r="O12" s="14">
        <v>13250</v>
      </c>
      <c r="P12" s="14">
        <v>43250</v>
      </c>
      <c r="R12" s="20">
        <v>600</v>
      </c>
      <c r="S12" s="21">
        <f t="shared" si="0"/>
        <v>301.19421191220215</v>
      </c>
    </row>
    <row r="13" spans="1:24" x14ac:dyDescent="0.25">
      <c r="D13" s="47" t="s">
        <v>15</v>
      </c>
      <c r="E13" s="47"/>
      <c r="G13" s="12">
        <v>350</v>
      </c>
      <c r="H13" s="14">
        <v>281400</v>
      </c>
      <c r="I13" s="14">
        <v>122250</v>
      </c>
      <c r="J13" s="14">
        <v>159150</v>
      </c>
      <c r="L13" s="12">
        <v>350</v>
      </c>
      <c r="M13" s="14">
        <v>-52250</v>
      </c>
      <c r="N13" s="14">
        <v>-17250</v>
      </c>
      <c r="O13" s="14">
        <v>17750</v>
      </c>
      <c r="P13" s="14">
        <v>52750</v>
      </c>
      <c r="R13" s="20">
        <v>700</v>
      </c>
      <c r="S13" s="21">
        <f t="shared" si="0"/>
        <v>246.5969639416065</v>
      </c>
    </row>
    <row r="14" spans="1:24" x14ac:dyDescent="0.25">
      <c r="A14" s="5" t="s">
        <v>5</v>
      </c>
      <c r="B14" s="5"/>
      <c r="D14" s="26" t="s">
        <v>8</v>
      </c>
      <c r="E14" s="26" t="s">
        <v>16</v>
      </c>
      <c r="G14" s="12">
        <v>400</v>
      </c>
      <c r="H14" s="14">
        <v>321600</v>
      </c>
      <c r="I14" s="14">
        <v>133850</v>
      </c>
      <c r="J14" s="14">
        <v>187750</v>
      </c>
      <c r="L14" s="12">
        <v>400</v>
      </c>
      <c r="M14" s="14">
        <v>-53850</v>
      </c>
      <c r="N14" s="14">
        <v>-13850</v>
      </c>
      <c r="O14" s="14">
        <v>26150</v>
      </c>
      <c r="P14" s="14">
        <v>66150</v>
      </c>
      <c r="R14" s="20">
        <v>800</v>
      </c>
      <c r="S14" s="21">
        <f t="shared" si="0"/>
        <v>201.8965179946554</v>
      </c>
    </row>
    <row r="15" spans="1:24" x14ac:dyDescent="0.25">
      <c r="A15" t="s">
        <v>30</v>
      </c>
      <c r="B15" s="4">
        <v>1600</v>
      </c>
      <c r="D15" s="12">
        <v>0</v>
      </c>
      <c r="E15" s="25">
        <v>150</v>
      </c>
      <c r="G15" s="12">
        <v>450</v>
      </c>
      <c r="H15" s="14">
        <v>361800</v>
      </c>
      <c r="I15" s="14">
        <v>148850</v>
      </c>
      <c r="J15" s="14">
        <v>212950</v>
      </c>
      <c r="L15" s="12">
        <v>450</v>
      </c>
      <c r="M15" s="14">
        <v>-58850</v>
      </c>
      <c r="N15" s="14">
        <v>-13850</v>
      </c>
      <c r="O15" s="14">
        <v>31150</v>
      </c>
      <c r="P15" s="14">
        <v>76150</v>
      </c>
      <c r="R15" s="20">
        <v>900</v>
      </c>
      <c r="S15" s="21">
        <f t="shared" si="0"/>
        <v>165.29888822158654</v>
      </c>
    </row>
    <row r="16" spans="1:24" x14ac:dyDescent="0.25">
      <c r="A16" t="s">
        <v>26</v>
      </c>
      <c r="B16" s="4">
        <v>2600</v>
      </c>
      <c r="D16" s="12">
        <v>100</v>
      </c>
      <c r="E16" s="25">
        <v>140</v>
      </c>
      <c r="G16" s="12">
        <v>500</v>
      </c>
      <c r="H16" s="14">
        <v>402000</v>
      </c>
      <c r="I16" s="14">
        <v>159100</v>
      </c>
      <c r="J16" s="14">
        <v>242900</v>
      </c>
      <c r="L16" s="12">
        <v>500</v>
      </c>
      <c r="M16" s="14">
        <v>-59100</v>
      </c>
      <c r="N16" s="14">
        <v>-9100</v>
      </c>
      <c r="O16" s="14">
        <v>40900</v>
      </c>
      <c r="P16" s="14">
        <v>90900</v>
      </c>
      <c r="R16" s="20">
        <v>1000</v>
      </c>
      <c r="S16" s="21">
        <f t="shared" si="0"/>
        <v>135.3352832366127</v>
      </c>
    </row>
    <row r="17" spans="1:19" x14ac:dyDescent="0.25">
      <c r="A17" t="s">
        <v>55</v>
      </c>
      <c r="B17" s="4">
        <v>1600</v>
      </c>
      <c r="D17" s="12">
        <v>200</v>
      </c>
      <c r="E17" s="25">
        <v>130</v>
      </c>
      <c r="R17" s="20">
        <v>1100</v>
      </c>
      <c r="S17" s="21">
        <f t="shared" si="0"/>
        <v>110.80315836233387</v>
      </c>
    </row>
    <row r="18" spans="1:19" x14ac:dyDescent="0.25">
      <c r="A18" s="16" t="s">
        <v>56</v>
      </c>
      <c r="B18" s="17">
        <v>1000</v>
      </c>
      <c r="D18" s="27">
        <v>300</v>
      </c>
      <c r="E18" s="15">
        <v>120</v>
      </c>
      <c r="R18" s="20">
        <v>1200</v>
      </c>
      <c r="S18" s="21">
        <f t="shared" si="0"/>
        <v>90.717953289412506</v>
      </c>
    </row>
    <row r="19" spans="1:19" x14ac:dyDescent="0.25">
      <c r="A19" s="18" t="s">
        <v>19</v>
      </c>
      <c r="B19" s="7">
        <v>4800</v>
      </c>
      <c r="D19" s="27">
        <v>400</v>
      </c>
      <c r="E19" s="15">
        <v>110</v>
      </c>
      <c r="R19" s="20">
        <v>1300</v>
      </c>
      <c r="S19" s="21">
        <f t="shared" si="0"/>
        <v>74.273578214333881</v>
      </c>
    </row>
    <row r="20" spans="1:19" x14ac:dyDescent="0.25">
      <c r="A20" s="8" t="s">
        <v>10</v>
      </c>
      <c r="B20" s="9">
        <f>SUM(B15:B19)</f>
        <v>11600</v>
      </c>
      <c r="D20" s="27">
        <v>500</v>
      </c>
      <c r="E20" s="15">
        <v>100</v>
      </c>
      <c r="R20" s="20">
        <v>1400</v>
      </c>
      <c r="S20" s="21">
        <f t="shared" si="0"/>
        <v>60.810062625217974</v>
      </c>
    </row>
    <row r="21" spans="1:19" x14ac:dyDescent="0.25">
      <c r="R21" s="20">
        <v>1500</v>
      </c>
      <c r="S21" s="21">
        <f t="shared" si="0"/>
        <v>49.787068367863945</v>
      </c>
    </row>
    <row r="22" spans="1:19" x14ac:dyDescent="0.25">
      <c r="A22" s="5" t="s">
        <v>12</v>
      </c>
      <c r="B22" s="5"/>
      <c r="D22" s="47" t="s">
        <v>29</v>
      </c>
      <c r="E22" s="47"/>
    </row>
    <row r="23" spans="1:19" x14ac:dyDescent="0.25">
      <c r="A23" t="s">
        <v>31</v>
      </c>
      <c r="B23" s="4">
        <f>_xlfn.XLOOKUP(Attendees,AttendeeLookup,RoomFees,,-1)</f>
        <v>1800</v>
      </c>
      <c r="D23" s="26" t="s">
        <v>8</v>
      </c>
      <c r="E23" s="26" t="s">
        <v>14</v>
      </c>
    </row>
    <row r="24" spans="1:19" x14ac:dyDescent="0.25">
      <c r="A24" t="s">
        <v>32</v>
      </c>
      <c r="B24" s="4">
        <f>_xlfn.XLOOKUP(Attendees,AttendeeLookup,MealCatering,,-1)*B5</f>
        <v>26037.412614872497</v>
      </c>
      <c r="D24" s="12">
        <v>0</v>
      </c>
      <c r="E24" s="15">
        <v>150</v>
      </c>
    </row>
    <row r="25" spans="1:19" x14ac:dyDescent="0.25">
      <c r="A25" s="6" t="s">
        <v>33</v>
      </c>
      <c r="B25" s="7">
        <f>_xlfn.XLOOKUP(Attendees,AttendeeLookup,SeminarSupport,,-1)</f>
        <v>250</v>
      </c>
      <c r="D25" s="12">
        <v>100</v>
      </c>
      <c r="E25" s="15">
        <v>200</v>
      </c>
    </row>
    <row r="26" spans="1:19" x14ac:dyDescent="0.25">
      <c r="A26" s="8" t="s">
        <v>13</v>
      </c>
      <c r="B26" s="9">
        <f>SUM(B23:B25)</f>
        <v>28087.412614872497</v>
      </c>
      <c r="D26" s="12">
        <v>200</v>
      </c>
      <c r="E26" s="15">
        <v>250</v>
      </c>
    </row>
    <row r="27" spans="1:19" x14ac:dyDescent="0.25">
      <c r="D27" s="12">
        <v>300</v>
      </c>
      <c r="E27" s="15">
        <v>300</v>
      </c>
    </row>
    <row r="28" spans="1:19" x14ac:dyDescent="0.25">
      <c r="A28" s="6" t="s">
        <v>37</v>
      </c>
      <c r="B28" s="7">
        <f>(Total_Variable_Costs+Total_Fixed_Costs+Total_Mixed_Costs)/Attendees</f>
        <v>388.15193299914949</v>
      </c>
      <c r="D28" s="27">
        <v>400</v>
      </c>
      <c r="E28" s="15">
        <v>350</v>
      </c>
    </row>
    <row r="29" spans="1:19" ht="15.75" x14ac:dyDescent="0.25">
      <c r="A29" s="10" t="s">
        <v>6</v>
      </c>
      <c r="B29" s="11">
        <f>Total_Revenue-(Total_Variable_Costs+Total_Fixed_Costs+Total_Mixed_Costs)</f>
        <v>83289.290043063753</v>
      </c>
      <c r="D29" s="27">
        <v>500</v>
      </c>
      <c r="E29" s="15">
        <v>500</v>
      </c>
    </row>
    <row r="30" spans="1:19" ht="15" customHeight="1" x14ac:dyDescent="0.25">
      <c r="A30" s="28"/>
      <c r="B30" s="28"/>
    </row>
    <row r="31" spans="1:19" x14ac:dyDescent="0.25">
      <c r="A31" s="28"/>
      <c r="B31" s="28"/>
    </row>
    <row r="32" spans="1:19" x14ac:dyDescent="0.25">
      <c r="A32" s="28"/>
      <c r="B32" s="28"/>
    </row>
    <row r="33" spans="1:2" x14ac:dyDescent="0.25">
      <c r="A33" s="28"/>
      <c r="B33" s="28"/>
    </row>
    <row r="34" spans="1:2" x14ac:dyDescent="0.25">
      <c r="A34" s="28"/>
      <c r="B34" s="28"/>
    </row>
    <row r="35" spans="1:2" x14ac:dyDescent="0.25">
      <c r="A35" s="28"/>
      <c r="B35" s="28"/>
    </row>
    <row r="36" spans="1:2" x14ac:dyDescent="0.25">
      <c r="A36" s="28"/>
      <c r="B36" s="28"/>
    </row>
    <row r="37" spans="1:2" x14ac:dyDescent="0.25">
      <c r="A37" s="28"/>
      <c r="B37" s="28"/>
    </row>
    <row r="38" spans="1:2" x14ac:dyDescent="0.25">
      <c r="A38" s="28"/>
      <c r="B38" s="28"/>
    </row>
    <row r="39" spans="1:2" x14ac:dyDescent="0.25">
      <c r="A39" s="28"/>
      <c r="B39" s="28"/>
    </row>
    <row r="40" spans="1:2" x14ac:dyDescent="0.25">
      <c r="A40" s="28"/>
      <c r="B40" s="28"/>
    </row>
  </sheetData>
  <scenarios current="2" show="2" sqref="B28:B29">
    <scenario name="Seminar 1" locked="1" count="9" user="Your Name" comment="Created by Your Name on 1/14/2019">
      <inputCells r="B5" val="200" numFmtId="1"/>
      <inputCells r="B6" val="500" numFmtId="6"/>
      <inputCells r="B10" val="150" numFmtId="6"/>
      <inputCells r="B11" val="75" numFmtId="6"/>
      <inputCells r="B15" val="1400" numFmtId="6"/>
      <inputCells r="B16" val="2400" numFmtId="6"/>
      <inputCells r="B17" val="2000" numFmtId="6"/>
      <inputCells r="B18" val="950" numFmtId="6"/>
      <inputCells r="B19" val="5000" numFmtId="6"/>
    </scenario>
    <scenario name="Seminar 2" locked="1" count="9" user="Your Name" comment="Created by Your Name on 1/14/2019">
      <inputCells r="B5" val="300" numFmtId="1"/>
      <inputCells r="B6" val="400" numFmtId="6"/>
      <inputCells r="B10" val="175" numFmtId="6"/>
      <inputCells r="B11" val="100" numFmtId="6"/>
      <inputCells r="B15" val="1200" numFmtId="6"/>
      <inputCells r="B16" val="2800" numFmtId="6"/>
      <inputCells r="B17" val="2200" numFmtId="6"/>
      <inputCells r="B18" val="1200" numFmtId="6"/>
      <inputCells r="B19" val="4500" numFmtId="6"/>
    </scenario>
    <scenario name="Seminar 3" locked="1" count="9" user="Your Name" comment="Created by Your Name on 1/14/2019">
      <inputCells r="B5" val="150" numFmtId="1"/>
      <inputCells r="B6" val="600" numFmtId="6"/>
      <inputCells r="B10" val="135" numFmtId="6"/>
      <inputCells r="B11" val="55" numFmtId="6"/>
      <inputCells r="B15" val="1600" numFmtId="6"/>
      <inputCells r="B16" val="2600" numFmtId="6"/>
      <inputCells r="B17" val="1600" numFmtId="6"/>
      <inputCells r="B18" val="1000" numFmtId="6"/>
      <inputCells r="B19" val="4800" numFmtId="6"/>
    </scenario>
  </scenarios>
  <mergeCells count="7">
    <mergeCell ref="D13:E13"/>
    <mergeCell ref="D22:E22"/>
    <mergeCell ref="R4:X4"/>
    <mergeCell ref="G4:J4"/>
    <mergeCell ref="D4:E4"/>
    <mergeCell ref="L4:P4"/>
    <mergeCell ref="M5:P5"/>
  </mergeCells>
  <pageMargins left="0.7" right="0.7" top="0.75" bottom="0.75" header="0.3" footer="0.3"/>
  <pageSetup scale="48" orientation="landscape" r:id="rId1"/>
  <headerFooter>
    <oddFooter>&amp;R&amp;F &amp;A &amp;D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C74C6-2F90-402F-AE7A-C5FEED648F8E}">
  <sheetPr>
    <outlinePr summaryBelow="0"/>
  </sheetPr>
  <dimension ref="B1:G20"/>
  <sheetViews>
    <sheetView showGridLines="0" workbookViewId="0"/>
  </sheetViews>
  <sheetFormatPr defaultRowHeight="15" outlineLevelRow="1" outlineLevelCol="1" x14ac:dyDescent="0.25"/>
  <cols>
    <col min="3" max="3" width="22.5" bestFit="1" customWidth="1"/>
    <col min="4" max="7" width="10.75" bestFit="1" customWidth="1" outlineLevel="1"/>
  </cols>
  <sheetData>
    <row r="1" spans="2:7" ht="15.75" thickBot="1" x14ac:dyDescent="0.3"/>
    <row r="2" spans="2:7" ht="15.75" x14ac:dyDescent="0.25">
      <c r="B2" s="37" t="s">
        <v>48</v>
      </c>
      <c r="C2" s="37"/>
      <c r="D2" s="42"/>
      <c r="E2" s="42"/>
      <c r="F2" s="42"/>
      <c r="G2" s="42"/>
    </row>
    <row r="3" spans="2:7" ht="15.75" collapsed="1" x14ac:dyDescent="0.25">
      <c r="B3" s="36"/>
      <c r="C3" s="36"/>
      <c r="D3" s="43" t="s">
        <v>50</v>
      </c>
      <c r="E3" s="43" t="s">
        <v>44</v>
      </c>
      <c r="F3" s="43" t="s">
        <v>46</v>
      </c>
      <c r="G3" s="43" t="s">
        <v>47</v>
      </c>
    </row>
    <row r="4" spans="2:7" ht="33.75" hidden="1" outlineLevel="1" x14ac:dyDescent="0.25">
      <c r="B4" s="39"/>
      <c r="C4" s="39"/>
      <c r="D4" s="32"/>
      <c r="E4" s="46" t="s">
        <v>45</v>
      </c>
      <c r="F4" s="46" t="s">
        <v>45</v>
      </c>
      <c r="G4" s="46" t="s">
        <v>45</v>
      </c>
    </row>
    <row r="5" spans="2:7" x14ac:dyDescent="0.25">
      <c r="B5" s="40" t="s">
        <v>49</v>
      </c>
      <c r="C5" s="40"/>
      <c r="D5" s="38"/>
      <c r="E5" s="38"/>
      <c r="F5" s="38"/>
      <c r="G5" s="38"/>
    </row>
    <row r="6" spans="2:7" outlineLevel="1" x14ac:dyDescent="0.25">
      <c r="B6" s="39"/>
      <c r="C6" s="39" t="s">
        <v>8</v>
      </c>
      <c r="D6" s="33">
        <v>200</v>
      </c>
      <c r="E6" s="44">
        <v>200</v>
      </c>
      <c r="F6" s="44">
        <v>300</v>
      </c>
      <c r="G6" s="44">
        <v>150</v>
      </c>
    </row>
    <row r="7" spans="2:7" outlineLevel="1" x14ac:dyDescent="0.25">
      <c r="B7" s="39"/>
      <c r="C7" s="39" t="s">
        <v>38</v>
      </c>
      <c r="D7" s="34">
        <v>500</v>
      </c>
      <c r="E7" s="45">
        <v>500</v>
      </c>
      <c r="F7" s="45">
        <v>400</v>
      </c>
      <c r="G7" s="45">
        <v>600</v>
      </c>
    </row>
    <row r="8" spans="2:7" outlineLevel="1" x14ac:dyDescent="0.25">
      <c r="B8" s="39"/>
      <c r="C8" s="39" t="s">
        <v>39</v>
      </c>
      <c r="D8" s="34">
        <v>150</v>
      </c>
      <c r="E8" s="45">
        <v>150</v>
      </c>
      <c r="F8" s="45">
        <v>175</v>
      </c>
      <c r="G8" s="45">
        <v>135</v>
      </c>
    </row>
    <row r="9" spans="2:7" outlineLevel="1" x14ac:dyDescent="0.25">
      <c r="B9" s="39"/>
      <c r="C9" s="39" t="s">
        <v>40</v>
      </c>
      <c r="D9" s="34">
        <v>75</v>
      </c>
      <c r="E9" s="45">
        <v>75</v>
      </c>
      <c r="F9" s="45">
        <v>100</v>
      </c>
      <c r="G9" s="45">
        <v>55</v>
      </c>
    </row>
    <row r="10" spans="2:7" outlineLevel="1" x14ac:dyDescent="0.25">
      <c r="B10" s="39"/>
      <c r="C10" s="39" t="s">
        <v>41</v>
      </c>
      <c r="D10" s="34">
        <v>1400</v>
      </c>
      <c r="E10" s="45">
        <v>1400</v>
      </c>
      <c r="F10" s="45">
        <v>1200</v>
      </c>
      <c r="G10" s="45">
        <v>1600</v>
      </c>
    </row>
    <row r="11" spans="2:7" outlineLevel="1" x14ac:dyDescent="0.25">
      <c r="B11" s="39"/>
      <c r="C11" s="39" t="s">
        <v>42</v>
      </c>
      <c r="D11" s="34">
        <v>2400</v>
      </c>
      <c r="E11" s="45">
        <v>2400</v>
      </c>
      <c r="F11" s="45">
        <v>2800</v>
      </c>
      <c r="G11" s="45">
        <v>2600</v>
      </c>
    </row>
    <row r="12" spans="2:7" outlineLevel="1" x14ac:dyDescent="0.25">
      <c r="B12" s="39"/>
      <c r="C12" s="39" t="s">
        <v>57</v>
      </c>
      <c r="D12" s="34">
        <v>2000</v>
      </c>
      <c r="E12" s="45">
        <v>2000</v>
      </c>
      <c r="F12" s="45">
        <v>2200</v>
      </c>
      <c r="G12" s="45">
        <v>1600</v>
      </c>
    </row>
    <row r="13" spans="2:7" outlineLevel="1" x14ac:dyDescent="0.25">
      <c r="B13" s="39"/>
      <c r="C13" s="39" t="s">
        <v>58</v>
      </c>
      <c r="D13" s="34">
        <v>950</v>
      </c>
      <c r="E13" s="45">
        <v>950</v>
      </c>
      <c r="F13" s="45">
        <v>1200</v>
      </c>
      <c r="G13" s="45">
        <v>1000</v>
      </c>
    </row>
    <row r="14" spans="2:7" outlineLevel="1" x14ac:dyDescent="0.25">
      <c r="B14" s="39"/>
      <c r="C14" s="39" t="s">
        <v>19</v>
      </c>
      <c r="D14" s="34">
        <v>5000</v>
      </c>
      <c r="E14" s="45">
        <v>5000</v>
      </c>
      <c r="F14" s="45">
        <v>4500</v>
      </c>
      <c r="G14" s="45">
        <v>4800</v>
      </c>
    </row>
    <row r="15" spans="2:7" x14ac:dyDescent="0.25">
      <c r="B15" s="40" t="s">
        <v>51</v>
      </c>
      <c r="C15" s="40"/>
      <c r="D15" s="38"/>
      <c r="E15" s="38"/>
      <c r="F15" s="38"/>
      <c r="G15" s="38"/>
    </row>
    <row r="16" spans="2:7" outlineLevel="1" x14ac:dyDescent="0.25">
      <c r="B16" s="39"/>
      <c r="C16" s="39" t="s">
        <v>43</v>
      </c>
      <c r="D16" s="34">
        <v>424</v>
      </c>
      <c r="E16" s="34">
        <v>424</v>
      </c>
      <c r="F16" s="34">
        <v>441.83333333333297</v>
      </c>
      <c r="G16" s="34">
        <v>420.33333333333297</v>
      </c>
    </row>
    <row r="17" spans="2:7" ht="15.75" outlineLevel="1" thickBot="1" x14ac:dyDescent="0.3">
      <c r="B17" s="41"/>
      <c r="C17" s="41" t="s">
        <v>6</v>
      </c>
      <c r="D17" s="35">
        <v>15200</v>
      </c>
      <c r="E17" s="35">
        <v>15200</v>
      </c>
      <c r="F17" s="35">
        <v>-12550</v>
      </c>
      <c r="G17" s="35">
        <v>26950</v>
      </c>
    </row>
    <row r="18" spans="2:7" x14ac:dyDescent="0.25">
      <c r="B18" t="s">
        <v>52</v>
      </c>
    </row>
    <row r="19" spans="2:7" x14ac:dyDescent="0.25">
      <c r="B19" t="s">
        <v>53</v>
      </c>
    </row>
    <row r="20" spans="2:7" x14ac:dyDescent="0.25">
      <c r="B20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25</vt:i4>
      </vt:variant>
    </vt:vector>
  </HeadingPairs>
  <TitlesOfParts>
    <vt:vector size="28" baseType="lpstr">
      <vt:lpstr>Documentation</vt:lpstr>
      <vt:lpstr>Budget</vt:lpstr>
      <vt:lpstr>Scenario Summary</vt:lpstr>
      <vt:lpstr>AttendeeLookup</vt:lpstr>
      <vt:lpstr>Attendees</vt:lpstr>
      <vt:lpstr>Balance</vt:lpstr>
      <vt:lpstr>Computing_Costs</vt:lpstr>
      <vt:lpstr>Cost_per_Person</vt:lpstr>
      <vt:lpstr>Meal_Costs</vt:lpstr>
      <vt:lpstr>Meal_Lookup</vt:lpstr>
      <vt:lpstr>MealCatering</vt:lpstr>
      <vt:lpstr>Miscellaneous</vt:lpstr>
      <vt:lpstr>Registration_Fee</vt:lpstr>
      <vt:lpstr>Room_Costs</vt:lpstr>
      <vt:lpstr>Room_Lookup</vt:lpstr>
      <vt:lpstr>RoomFees</vt:lpstr>
      <vt:lpstr>Seminar_Lookup</vt:lpstr>
      <vt:lpstr>SeminarSupport</vt:lpstr>
      <vt:lpstr>Speaker_Fees</vt:lpstr>
      <vt:lpstr>Speaker_Lodging</vt:lpstr>
      <vt:lpstr>Speaker_Travel</vt:lpstr>
      <vt:lpstr>Supplemental_Materials</vt:lpstr>
      <vt:lpstr>Support_Costs</vt:lpstr>
      <vt:lpstr>Total_Fixed_Costs</vt:lpstr>
      <vt:lpstr>Total_Mixed_Costs</vt:lpstr>
      <vt:lpstr>Total_Revenue</vt:lpstr>
      <vt:lpstr>Total_Variable_Costs</vt:lpstr>
      <vt:lpstr>Training_Materials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8, Case Problem 1</dc:title>
  <dc:creator>Your Name</dc:creator>
  <cp:lastModifiedBy>Robin</cp:lastModifiedBy>
  <cp:lastPrinted>2015-12-22T03:01:05Z</cp:lastPrinted>
  <dcterms:created xsi:type="dcterms:W3CDTF">2015-12-21T17:54:52Z</dcterms:created>
  <dcterms:modified xsi:type="dcterms:W3CDTF">2021-12-07T19:26:18Z</dcterms:modified>
</cp:coreProperties>
</file>
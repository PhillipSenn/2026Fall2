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1\"/>
    </mc:Choice>
  </mc:AlternateContent>
  <xr:revisionPtr revIDLastSave="0" documentId="13_ncr:1_{BE7F90BF-6605-406C-83A0-7DB076FC6BE7}" xr6:coauthVersionLast="46" xr6:coauthVersionMax="46" xr10:uidLastSave="{00000000-0000-0000-0000-000000000000}"/>
  <bookViews>
    <workbookView xWindow="-120" yWindow="-120" windowWidth="29040" windowHeight="15840" xr2:uid="{481331FF-920E-40DB-B266-0BF0CFC9BBEF}"/>
  </bookViews>
  <sheets>
    <sheet name="Documentation" sheetId="2" r:id="rId1"/>
    <sheet name="Metrics" sheetId="3" r:id="rId2"/>
    <sheet name="January" sheetId="8" r:id="rId3"/>
    <sheet name="February" sheetId="7" r:id="rId4"/>
    <sheet name="March" sheetId="6" r:id="rId5"/>
    <sheet name="April" sheetId="1" r:id="rId6"/>
    <sheet name="May" sheetId="4" r:id="rId7"/>
    <sheet name="Jun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3" l="1"/>
  <c r="F19" i="3"/>
  <c r="G19" i="3"/>
  <c r="H19" i="3"/>
  <c r="E20" i="3"/>
  <c r="F20" i="3"/>
  <c r="G20" i="3"/>
  <c r="H20" i="3"/>
  <c r="D20" i="3"/>
  <c r="D19" i="3"/>
  <c r="C19" i="3"/>
  <c r="E15" i="3"/>
  <c r="F15" i="3"/>
  <c r="G15" i="3"/>
  <c r="H15" i="3"/>
  <c r="E16" i="3"/>
  <c r="F16" i="3"/>
  <c r="G16" i="3"/>
  <c r="H16" i="3"/>
  <c r="D16" i="3"/>
  <c r="D15" i="3"/>
  <c r="E5" i="3"/>
  <c r="F5" i="3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C15" i="3"/>
  <c r="D14" i="3"/>
  <c r="D13" i="3"/>
  <c r="C13" i="3"/>
  <c r="D12" i="3"/>
  <c r="D11" i="3"/>
  <c r="C11" i="3"/>
  <c r="D10" i="3"/>
  <c r="D9" i="3"/>
  <c r="C9" i="3"/>
  <c r="D8" i="3"/>
  <c r="D7" i="3"/>
  <c r="C7" i="3"/>
  <c r="D6" i="3" l="1"/>
  <c r="D5" i="3"/>
  <c r="C5" i="3"/>
  <c r="I11" i="5"/>
  <c r="J11" i="5" s="1"/>
  <c r="I12" i="5"/>
  <c r="J12" i="5"/>
  <c r="I11" i="4"/>
  <c r="J11" i="4" s="1"/>
  <c r="I12" i="4"/>
  <c r="J12" i="4" s="1"/>
  <c r="I13" i="4"/>
  <c r="J13" i="4" s="1"/>
  <c r="I14" i="4"/>
  <c r="J14" i="4"/>
  <c r="I11" i="1"/>
  <c r="J11" i="1" s="1"/>
  <c r="I12" i="1"/>
  <c r="J12" i="1" s="1"/>
  <c r="I13" i="1"/>
  <c r="J13" i="1" s="1"/>
  <c r="I11" i="6"/>
  <c r="J11" i="6" s="1"/>
  <c r="I12" i="6"/>
  <c r="J12" i="6" s="1"/>
  <c r="I13" i="6"/>
  <c r="J13" i="6" s="1"/>
  <c r="J8" i="7"/>
  <c r="I7" i="7"/>
  <c r="J7" i="7" s="1"/>
  <c r="I8" i="7"/>
  <c r="I9" i="7"/>
  <c r="J9" i="7" s="1"/>
  <c r="I7" i="6"/>
  <c r="J7" i="6" s="1"/>
  <c r="I8" i="6"/>
  <c r="J8" i="6" s="1"/>
  <c r="I9" i="6"/>
  <c r="J9" i="6" s="1"/>
  <c r="I10" i="6"/>
  <c r="J10" i="6" s="1"/>
  <c r="I7" i="1"/>
  <c r="J7" i="1" s="1"/>
  <c r="I8" i="1"/>
  <c r="J8" i="1" s="1"/>
  <c r="I9" i="1"/>
  <c r="J9" i="1" s="1"/>
  <c r="I10" i="1"/>
  <c r="J10" i="1" s="1"/>
  <c r="I7" i="4"/>
  <c r="J7" i="4" s="1"/>
  <c r="I8" i="4"/>
  <c r="J8" i="4" s="1"/>
  <c r="I9" i="4"/>
  <c r="J9" i="4" s="1"/>
  <c r="I10" i="4"/>
  <c r="J10" i="4" s="1"/>
  <c r="I7" i="5"/>
  <c r="J7" i="5" s="1"/>
  <c r="I8" i="5"/>
  <c r="J8" i="5" s="1"/>
  <c r="I9" i="5"/>
  <c r="J9" i="5" s="1"/>
  <c r="I10" i="5"/>
  <c r="J10" i="5" s="1"/>
  <c r="I7" i="8"/>
  <c r="J7" i="8" s="1"/>
  <c r="I8" i="8"/>
  <c r="J8" i="8" s="1"/>
  <c r="I9" i="8"/>
  <c r="J9" i="8" s="1"/>
  <c r="I10" i="8"/>
  <c r="J10" i="8" s="1"/>
  <c r="I6" i="7"/>
  <c r="J6" i="7" s="1"/>
  <c r="I6" i="6"/>
  <c r="J6" i="6" s="1"/>
  <c r="I6" i="1"/>
  <c r="J6" i="1" s="1"/>
  <c r="I6" i="4"/>
  <c r="J6" i="4" s="1"/>
  <c r="I6" i="5"/>
  <c r="J6" i="5" s="1"/>
  <c r="I6" i="8"/>
  <c r="J6" i="8" s="1"/>
  <c r="I5" i="7"/>
  <c r="J5" i="7" s="1"/>
  <c r="I5" i="6"/>
  <c r="J5" i="6" s="1"/>
  <c r="I5" i="1"/>
  <c r="J5" i="1" s="1"/>
  <c r="I5" i="4"/>
  <c r="J5" i="4" s="1"/>
  <c r="I5" i="5"/>
  <c r="J5" i="5" s="1"/>
  <c r="I5" i="8"/>
  <c r="J5" i="8" s="1"/>
  <c r="I7" i="3" l="1"/>
  <c r="I9" i="3"/>
  <c r="I19" i="3"/>
  <c r="I5" i="3"/>
  <c r="I15" i="3"/>
  <c r="I13" i="3"/>
  <c r="I11" i="3"/>
</calcChain>
</file>

<file path=xl/sharedStrings.xml><?xml version="1.0" encoding="utf-8"?>
<sst xmlns="http://schemas.openxmlformats.org/spreadsheetml/2006/main" count="136" uniqueCount="70">
  <si>
    <t>Author</t>
  </si>
  <si>
    <t>Date</t>
  </si>
  <si>
    <t>Purpose</t>
  </si>
  <si>
    <t>Medicina</t>
  </si>
  <si>
    <t>CONTENT</t>
  </si>
  <si>
    <t>RETWEETS</t>
  </si>
  <si>
    <t>LIKES</t>
  </si>
  <si>
    <t>MENTIONS</t>
  </si>
  <si>
    <t>CLICKS</t>
  </si>
  <si>
    <t>ENGAGEMENT</t>
  </si>
  <si>
    <t>FOLLOWERS</t>
  </si>
  <si>
    <t>Social Media Log for April</t>
  </si>
  <si>
    <t>Social Media Log for May</t>
  </si>
  <si>
    <t>Social Media Log for June</t>
  </si>
  <si>
    <t>https://example.com/buff.ly/1ZWEDaJ</t>
  </si>
  <si>
    <t>https://example.com/buff.ly/1dQdpoH</t>
  </si>
  <si>
    <t>https://example.com/buff.ly/2nZNpxi</t>
  </si>
  <si>
    <t>https://example.com/buff.ly/1ejCGeM</t>
  </si>
  <si>
    <t>https://example.com/buff.ly/4VWwWTZ</t>
  </si>
  <si>
    <t>https://example.com/buff.ly/6DfqBAX</t>
  </si>
  <si>
    <t>https://example.com/buff.ly/3qkxLJN</t>
  </si>
  <si>
    <t>https://example.com/buff.ly/1FSEiAv</t>
  </si>
  <si>
    <t>https://example.com/buff.ly/8oqTSAI</t>
  </si>
  <si>
    <t>https://example.com/buff.ly/4tngruW</t>
  </si>
  <si>
    <t>https://example.com/buff.ly/1iVPtXU</t>
  </si>
  <si>
    <t>https://example.com/buff.ly/3hacVrA</t>
  </si>
  <si>
    <t>https://example.com/buff.ly/9AyIEVH</t>
  </si>
  <si>
    <t>https://example.com/buff.ly/6OHIPLp</t>
  </si>
  <si>
    <t>https://example.com/buff.ly/7ZHactD</t>
  </si>
  <si>
    <t>https://example.com/buff.ly/3eACtDR</t>
  </si>
  <si>
    <t>https://example.com/buff.ly/5xqHQpL</t>
  </si>
  <si>
    <t>https://example.com/buff.ly/3iPojHb</t>
  </si>
  <si>
    <t>https://example.com/buff.ly/7OjBspE</t>
  </si>
  <si>
    <t>https://example.com/buff.ly/6diznpz</t>
  </si>
  <si>
    <t>https://example.com/buff.ly/4CTQySN</t>
  </si>
  <si>
    <t>https://example.com/buff.ly/7nXniCC</t>
  </si>
  <si>
    <t>Social Media Metrics</t>
  </si>
  <si>
    <t>APRIL</t>
  </si>
  <si>
    <t>MAY</t>
  </si>
  <si>
    <t>JUNE</t>
  </si>
  <si>
    <t>JANUARY</t>
  </si>
  <si>
    <t>FEBRUARY</t>
  </si>
  <si>
    <t>MARCH</t>
  </si>
  <si>
    <t>REACH</t>
  </si>
  <si>
    <t>RATE</t>
  </si>
  <si>
    <t>POSTS</t>
  </si>
  <si>
    <t>MONTH</t>
  </si>
  <si>
    <t>Social Media Log for March</t>
  </si>
  <si>
    <t>https://example.com/buff.ly/6BWYihl</t>
  </si>
  <si>
    <t>https://example.com/buff.ly/5ojrpTp</t>
  </si>
  <si>
    <t>https://example.com/buff.ly/8OBkdDT</t>
  </si>
  <si>
    <t>https://example.com/buff.ly/5ThhTQw</t>
  </si>
  <si>
    <t>https://example.com/buff.ly/2kqKNZG</t>
  </si>
  <si>
    <t>https://example.com/buff.ly/7fMjFlX</t>
  </si>
  <si>
    <t>https://example.com/buff.ly/7DGMDGs</t>
  </si>
  <si>
    <t>https://example.com/buff.ly/1bKaGmV</t>
  </si>
  <si>
    <t>https://example.com/buff.ly/9CzchMR</t>
  </si>
  <si>
    <t>https://example.com/buff.ly/3zLqsNS</t>
  </si>
  <si>
    <t>Social Media Log for February</t>
  </si>
  <si>
    <t>https://example.com/buff.ly/1wsZEOQ</t>
  </si>
  <si>
    <t>https://example.com/buff.ly/2wfSsDx</t>
  </si>
  <si>
    <t>https://example.com/buff.ly/9qDsyDF</t>
  </si>
  <si>
    <t>https://example.com/buff.ly/9eFcOOz</t>
  </si>
  <si>
    <t>https://example.com/buff.ly/2HhQqoh</t>
  </si>
  <si>
    <t>https://example.com/buff.ly/8fVEbOQ</t>
  </si>
  <si>
    <t>YTD</t>
  </si>
  <si>
    <t>POSTED</t>
  </si>
  <si>
    <t>To analyze social media metrics for Medicina Medical Softweare</t>
  </si>
  <si>
    <t>Social Media Log for January</t>
  </si>
  <si>
    <t>Imani Emeka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</si>
</sst>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/yyyy\ h:mm:ss"/>
    <numFmt numFmtId="165" formatCode="0.0%"/>
    <numFmt numFmtId="166" formatCode="_(* #,##0_);_(* \(#,##0\);_(* &quot;-&quot;??_);_(@_)"/>
    <numFmt numFmtId="16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4"/>
      <color theme="5"/>
      <name val="Calibri"/>
      <family val="2"/>
      <scheme val="minor"/>
    </font>
    <font>
      <sz val="9"/>
      <color theme="0"/>
      <name val="Arial"/>
      <family val="2"/>
    </font>
    <font>
      <sz val="18"/>
      <color theme="5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0" tint="-0.14999847407452621"/>
      <name val="Arial"/>
      <family val="2"/>
    </font>
    <font>
      <sz val="2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2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26"/>
      <color theme="5"/>
      <name val="Castellar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5"/>
      </top>
      <bottom/>
      <diagonal/>
    </border>
    <border>
      <left/>
      <right/>
      <top/>
      <bottom style="medium">
        <color theme="5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6" fontId="0" fillId="3" borderId="0" xfId="1" applyNumberFormat="1" applyFont="1" applyFill="1" applyAlignment="1">
      <alignment horizontal="right"/>
    </xf>
    <xf numFmtId="164" fontId="0" fillId="3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/>
    <xf numFmtId="166" fontId="0" fillId="0" borderId="0" xfId="1" applyNumberFormat="1" applyFont="1" applyFill="1" applyAlignment="1">
      <alignment horizontal="right"/>
    </xf>
    <xf numFmtId="165" fontId="0" fillId="0" borderId="0" xfId="2" applyNumberFormat="1" applyFont="1" applyFill="1"/>
    <xf numFmtId="165" fontId="0" fillId="3" borderId="0" xfId="2" applyNumberFormat="1" applyFont="1" applyFill="1"/>
    <xf numFmtId="0" fontId="5" fillId="2" borderId="0" xfId="0" applyFont="1" applyFill="1" applyAlignment="1">
      <alignment horizontal="center"/>
    </xf>
    <xf numFmtId="166" fontId="6" fillId="5" borderId="2" xfId="1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3" fillId="0" borderId="0" xfId="3" applyFont="1"/>
    <xf numFmtId="0" fontId="12" fillId="4" borderId="1" xfId="0" applyFont="1" applyFill="1" applyBorder="1" applyAlignment="1">
      <alignment horizontal="left" vertical="top" wrapText="1" indent="1"/>
    </xf>
    <xf numFmtId="14" fontId="12" fillId="4" borderId="1" xfId="0" applyNumberFormat="1" applyFont="1" applyFill="1" applyBorder="1" applyAlignment="1">
      <alignment horizontal="left" vertical="top" wrapText="1" indent="1"/>
    </xf>
    <xf numFmtId="0" fontId="14" fillId="3" borderId="0" xfId="4" applyFill="1"/>
    <xf numFmtId="0" fontId="14" fillId="0" borderId="0" xfId="4" applyFill="1"/>
    <xf numFmtId="167" fontId="7" fillId="5" borderId="3" xfId="1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 indent="1"/>
    </xf>
    <xf numFmtId="0" fontId="8" fillId="6" borderId="3" xfId="0" applyFont="1" applyFill="1" applyBorder="1" applyAlignment="1">
      <alignment horizontal="right" vertical="center" indent="1"/>
    </xf>
    <xf numFmtId="1" fontId="11" fillId="5" borderId="2" xfId="2" applyNumberFormat="1" applyFont="1" applyFill="1" applyBorder="1" applyAlignment="1">
      <alignment horizontal="center" vertical="center"/>
    </xf>
    <xf numFmtId="1" fontId="11" fillId="5" borderId="3" xfId="2" applyNumberFormat="1" applyFont="1" applyFill="1" applyBorder="1" applyAlignment="1">
      <alignment horizontal="center" vertical="center"/>
    </xf>
    <xf numFmtId="10" fontId="9" fillId="5" borderId="2" xfId="2" applyNumberFormat="1" applyFont="1" applyFill="1" applyBorder="1" applyAlignment="1">
      <alignment horizontal="center" vertical="center"/>
    </xf>
    <xf numFmtId="10" fontId="9" fillId="5" borderId="3" xfId="2" applyNumberFormat="1" applyFont="1" applyFill="1" applyBorder="1" applyAlignment="1">
      <alignment horizontal="center" vertical="center"/>
    </xf>
    <xf numFmtId="0" fontId="14" fillId="6" borderId="2" xfId="4" applyFill="1" applyBorder="1" applyAlignment="1">
      <alignment horizontal="right" vertical="center" indent="1"/>
    </xf>
    <xf numFmtId="0" fontId="14" fillId="6" borderId="3" xfId="4" applyFill="1" applyBorder="1" applyAlignment="1">
      <alignment horizontal="right" vertical="center" indent="1"/>
    </xf>
  </cellXfs>
  <cellStyles count="5">
    <cellStyle name="Comma" xfId="1" builtinId="3"/>
    <cellStyle name="Hyperlink" xfId="4" builtinId="8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POSTS AND</a:t>
            </a:r>
            <a:r>
              <a:rPr lang="en-US" sz="1400" baseline="0"/>
              <a:t> ENGAGEMENT RATE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3854518185227"/>
          <c:y val="0.16614015557553533"/>
          <c:w val="0.65641558441558445"/>
          <c:h val="0.592470095932943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Metrics!$C$4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Metrics!$B$5:$B$16</c15:sqref>
                  </c15:fullRef>
                </c:ext>
              </c:extLst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Metrics!$C$5:$C$16</c15:sqref>
                  </c15:fullRef>
                </c:ext>
              </c:extLst>
              <c:f>(Metrics!$C$5,Metrics!$C$7,Metrics!$C$9,Metrics!$C$11,Metrics!$C$13,Metrics!$C$15)</c:f>
              <c:numCache>
                <c:formatCode>0</c:formatCode>
                <c:ptCount val="6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D-4B7D-AE1F-B6ED09FE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30"/>
        <c:axId val="315249039"/>
        <c:axId val="145326655"/>
      </c:barChart>
      <c:lineChart>
        <c:grouping val="standard"/>
        <c:varyColors val="0"/>
        <c:ser>
          <c:idx val="2"/>
          <c:order val="1"/>
          <c:tx>
            <c:strRef>
              <c:f>Metrics!$I$4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Metrics!$B$5:$B$16</c15:sqref>
                  </c15:fullRef>
                </c:ext>
              </c:extLst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Metrics!$I$5:$I$16</c15:sqref>
                  </c15:fullRef>
                </c:ext>
              </c:extLst>
              <c:f>(Metrics!$I$5,Metrics!$I$7,Metrics!$I$9,Metrics!$I$11,Metrics!$I$13,Metrics!$I$15)</c:f>
              <c:numCache>
                <c:formatCode>0.00%</c:formatCode>
                <c:ptCount val="6"/>
                <c:pt idx="0">
                  <c:v>3.4647248602519775E-3</c:v>
                </c:pt>
                <c:pt idx="1">
                  <c:v>2.6430161927793556E-3</c:v>
                </c:pt>
                <c:pt idx="2">
                  <c:v>3.8043618724866069E-3</c:v>
                </c:pt>
                <c:pt idx="3">
                  <c:v>3.8271573980066531E-3</c:v>
                </c:pt>
                <c:pt idx="4">
                  <c:v>3.9075731527896092E-3</c:v>
                </c:pt>
                <c:pt idx="5">
                  <c:v>4.5041181217071041E-3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D-4B7D-AE1F-B6ED09FE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071871"/>
        <c:axId val="291370079"/>
      </c:lineChart>
      <c:catAx>
        <c:axId val="3152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655"/>
        <c:crosses val="autoZero"/>
        <c:auto val="1"/>
        <c:lblAlgn val="ctr"/>
        <c:lblOffset val="100"/>
        <c:noMultiLvlLbl val="0"/>
      </c:catAx>
      <c:valAx>
        <c:axId val="145326655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0070C0"/>
                    </a:solidFill>
                  </a:rPr>
                  <a:t>POSTS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in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49039"/>
        <c:crosses val="autoZero"/>
        <c:crossBetween val="between"/>
        <c:majorUnit val="5"/>
      </c:valAx>
      <c:valAx>
        <c:axId val="291370079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7030A0"/>
                    </a:solidFill>
                  </a:rPr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71871"/>
        <c:crosses val="max"/>
        <c:crossBetween val="between"/>
      </c:valAx>
      <c:catAx>
        <c:axId val="2280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1370079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12339366670076"/>
          <c:y val="0.16614015557553533"/>
          <c:w val="0.72914285714285698"/>
          <c:h val="0.59247009593294364"/>
        </c:manualLayout>
      </c:layout>
      <c:lineChart>
        <c:grouping val="standard"/>
        <c:varyColors val="0"/>
        <c:ser>
          <c:idx val="0"/>
          <c:order val="0"/>
          <c:tx>
            <c:strRef>
              <c:f>Metrics!$D$4</c:f>
              <c:strCache>
                <c:ptCount val="1"/>
                <c:pt idx="0">
                  <c:v>RETWEETS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(Metrics!$D$6,Metrics!$D$8,Metrics!$D$10,Metrics!$D$12,Metrics!$D$14,Metrics!$D$16)</c:f>
              <c:numCache>
                <c:formatCode>_(* #,##0.0_);_(* \(#,##0.0\);_(* "-"??_);_(@_)</c:formatCode>
                <c:ptCount val="6"/>
                <c:pt idx="0">
                  <c:v>9.5</c:v>
                </c:pt>
                <c:pt idx="1">
                  <c:v>7</c:v>
                </c:pt>
                <c:pt idx="2">
                  <c:v>9.7777777777777786</c:v>
                </c:pt>
                <c:pt idx="3">
                  <c:v>9.8888888888888893</c:v>
                </c:pt>
                <c:pt idx="4">
                  <c:v>10.3</c:v>
                </c:pt>
                <c:pt idx="5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F6-45D3-BC01-5CE6060EA6CB}"/>
            </c:ext>
          </c:extLst>
        </c:ser>
        <c:ser>
          <c:idx val="1"/>
          <c:order val="1"/>
          <c:tx>
            <c:strRef>
              <c:f>Metrics!$E$4</c:f>
              <c:strCache>
                <c:ptCount val="1"/>
                <c:pt idx="0">
                  <c:v>LIKES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(Metrics!$E$6,Metrics!$E$8,Metrics!$E$10,Metrics!$E$12,Metrics!$E$14,Metrics!$E$16)</c:f>
              <c:numCache>
                <c:formatCode>_(* #,##0.0_);_(* \(#,##0.0\);_(* "-"??_);_(@_)</c:formatCode>
                <c:ptCount val="6"/>
                <c:pt idx="0">
                  <c:v>10.833333333333334</c:v>
                </c:pt>
                <c:pt idx="1">
                  <c:v>6.8</c:v>
                </c:pt>
                <c:pt idx="2">
                  <c:v>10.555555555555555</c:v>
                </c:pt>
                <c:pt idx="3">
                  <c:v>13</c:v>
                </c:pt>
                <c:pt idx="4">
                  <c:v>13.1</c:v>
                </c:pt>
                <c:pt idx="5">
                  <c:v>13.625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F6-45D3-BC01-5CE6060EA6CB}"/>
            </c:ext>
          </c:extLst>
        </c:ser>
        <c:ser>
          <c:idx val="2"/>
          <c:order val="2"/>
          <c:tx>
            <c:strRef>
              <c:f>Metrics!$G$4</c:f>
              <c:strCache>
                <c:ptCount val="1"/>
                <c:pt idx="0">
                  <c:v>CLICKS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(Metrics!$G$6,Metrics!$G$8,Metrics!$G$10,Metrics!$G$12,Metrics!$G$14,Metrics!$G$16)</c:f>
              <c:numCache>
                <c:formatCode>_(* #,##0.0_);_(* \(#,##0.0\);_(* "-"??_);_(@_)</c:formatCode>
                <c:ptCount val="6"/>
                <c:pt idx="0">
                  <c:v>23</c:v>
                </c:pt>
                <c:pt idx="1">
                  <c:v>21.2</c:v>
                </c:pt>
                <c:pt idx="2">
                  <c:v>30.333333333333332</c:v>
                </c:pt>
                <c:pt idx="3">
                  <c:v>25.666666666666668</c:v>
                </c:pt>
                <c:pt idx="4">
                  <c:v>26.2</c:v>
                </c:pt>
                <c:pt idx="5">
                  <c:v>33.375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F6-45D3-BC01-5CE6060EA6CB}"/>
            </c:ext>
          </c:extLst>
        </c:ser>
        <c:ser>
          <c:idx val="3"/>
          <c:order val="3"/>
          <c:tx>
            <c:strRef>
              <c:f>Metrics!$F$4</c:f>
              <c:strCache>
                <c:ptCount val="1"/>
                <c:pt idx="0">
                  <c:v>MENTIONS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(Metrics!$F$6,Metrics!$F$8,Metrics!$F$10,Metrics!$F$12,Metrics!$F$14,Metrics!$F$16)</c:f>
              <c:numCache>
                <c:formatCode>_(* #,##0.0_);_(* \(#,##0.0\);_(* "-"??_);_(@_)</c:formatCode>
                <c:ptCount val="6"/>
                <c:pt idx="0">
                  <c:v>7</c:v>
                </c:pt>
                <c:pt idx="1">
                  <c:v>3.6</c:v>
                </c:pt>
                <c:pt idx="2">
                  <c:v>5</c:v>
                </c:pt>
                <c:pt idx="3">
                  <c:v>7.666666666666667</c:v>
                </c:pt>
                <c:pt idx="4">
                  <c:v>8</c:v>
                </c:pt>
                <c:pt idx="5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F6-45D3-BC01-5CE6060E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49039"/>
        <c:axId val="145326655"/>
      </c:lineChart>
      <c:catAx>
        <c:axId val="3152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655"/>
        <c:crosses val="autoZero"/>
        <c:auto val="1"/>
        <c:lblAlgn val="ctr"/>
        <c:lblOffset val="100"/>
        <c:noMultiLvlLbl val="0"/>
      </c:catAx>
      <c:valAx>
        <c:axId val="145326655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0070C0"/>
                    </a:solidFill>
                  </a:rPr>
                  <a:t>AVERAGE  PER  POST</a:t>
                </a:r>
              </a:p>
            </c:rich>
          </c:tx>
          <c:layout>
            <c:manualLayout>
              <c:xMode val="edge"/>
              <c:yMode val="edge"/>
              <c:x val="2.909609026144459E-2"/>
              <c:y val="0.18885430238247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cross"/>
        <c:minorTickMark val="in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49039"/>
        <c:crosses val="autoZero"/>
        <c:crossBetween val="between"/>
        <c:majorUnit val="1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190499</xdr:rowOff>
    </xdr:from>
    <xdr:to>
      <xdr:col>16</xdr:col>
      <xdr:colOff>0</xdr:colOff>
      <xdr:row>10</xdr:row>
      <xdr:rowOff>380999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EBB246-53BE-4202-ADE1-6F7122C2A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7938</xdr:colOff>
      <xdr:row>11</xdr:row>
      <xdr:rowOff>7937</xdr:rowOff>
    </xdr:from>
    <xdr:to>
      <xdr:col>16</xdr:col>
      <xdr:colOff>7938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D2F01D-305E-4C58-AD97-34452933D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buff.ly/9qDsyDF" TargetMode="External"/><Relationship Id="rId2" Type="http://schemas.openxmlformats.org/officeDocument/2006/relationships/hyperlink" Target="https://example.com/buff.ly/2wfSsDx" TargetMode="External"/><Relationship Id="rId1" Type="http://schemas.openxmlformats.org/officeDocument/2006/relationships/hyperlink" Target="https://example.com/buff.ly/1wsZEOQ" TargetMode="External"/><Relationship Id="rId6" Type="http://schemas.openxmlformats.org/officeDocument/2006/relationships/hyperlink" Target="https://example.com/buff.ly/8fVEbOQ" TargetMode="External"/><Relationship Id="rId5" Type="http://schemas.openxmlformats.org/officeDocument/2006/relationships/hyperlink" Target="https://example.com/buff.ly/2HhQqoh" TargetMode="External"/><Relationship Id="rId4" Type="http://schemas.openxmlformats.org/officeDocument/2006/relationships/hyperlink" Target="https://example.com/buff.ly/9eFcOO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buff.ly/1bKaGmV" TargetMode="External"/><Relationship Id="rId2" Type="http://schemas.openxmlformats.org/officeDocument/2006/relationships/hyperlink" Target="https://example.com/buff.ly/2wfSsDx" TargetMode="External"/><Relationship Id="rId1" Type="http://schemas.openxmlformats.org/officeDocument/2006/relationships/hyperlink" Target="https://example.com/buff.ly/1wsZEOQ" TargetMode="External"/><Relationship Id="rId5" Type="http://schemas.openxmlformats.org/officeDocument/2006/relationships/hyperlink" Target="https://example.com/buff.ly/3zLqsNS" TargetMode="External"/><Relationship Id="rId4" Type="http://schemas.openxmlformats.org/officeDocument/2006/relationships/hyperlink" Target="https://example.com/buff.ly/9CzchM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buff.ly/7fMjFlX" TargetMode="External"/><Relationship Id="rId3" Type="http://schemas.openxmlformats.org/officeDocument/2006/relationships/hyperlink" Target="https://example.com/buff.ly/6BWYihl" TargetMode="External"/><Relationship Id="rId7" Type="http://schemas.openxmlformats.org/officeDocument/2006/relationships/hyperlink" Target="https://example.com/buff.ly/2kqKNZG" TargetMode="External"/><Relationship Id="rId2" Type="http://schemas.openxmlformats.org/officeDocument/2006/relationships/hyperlink" Target="https://example.com/buff.ly/2wfSsDx" TargetMode="External"/><Relationship Id="rId1" Type="http://schemas.openxmlformats.org/officeDocument/2006/relationships/hyperlink" Target="https://example.com/buff.ly/1wsZEOQ" TargetMode="External"/><Relationship Id="rId6" Type="http://schemas.openxmlformats.org/officeDocument/2006/relationships/hyperlink" Target="https://example.com/buff.ly/5ThhTQw" TargetMode="External"/><Relationship Id="rId5" Type="http://schemas.openxmlformats.org/officeDocument/2006/relationships/hyperlink" Target="https://example.com/buff.ly/8OBkdDT" TargetMode="External"/><Relationship Id="rId4" Type="http://schemas.openxmlformats.org/officeDocument/2006/relationships/hyperlink" Target="https://example.com/buff.ly/5ojrpTp" TargetMode="External"/><Relationship Id="rId9" Type="http://schemas.openxmlformats.org/officeDocument/2006/relationships/hyperlink" Target="https://example.com/buff.ly/7DGMDG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buff.ly/6DfqBAX" TargetMode="External"/><Relationship Id="rId3" Type="http://schemas.openxmlformats.org/officeDocument/2006/relationships/hyperlink" Target="https://example.com/buff.ly/1ZWEDaJ" TargetMode="External"/><Relationship Id="rId7" Type="http://schemas.openxmlformats.org/officeDocument/2006/relationships/hyperlink" Target="https://example.com/buff.ly/4VWwWTZ" TargetMode="External"/><Relationship Id="rId2" Type="http://schemas.openxmlformats.org/officeDocument/2006/relationships/hyperlink" Target="https://example.com/buff.ly/2wfSsDx" TargetMode="External"/><Relationship Id="rId1" Type="http://schemas.openxmlformats.org/officeDocument/2006/relationships/hyperlink" Target="https://example.com/buff.ly/1wsZEOQ" TargetMode="External"/><Relationship Id="rId6" Type="http://schemas.openxmlformats.org/officeDocument/2006/relationships/hyperlink" Target="https://example.com/buff.ly/1ejCGeM" TargetMode="External"/><Relationship Id="rId5" Type="http://schemas.openxmlformats.org/officeDocument/2006/relationships/hyperlink" Target="https://example.com/buff.ly/2nZNpxi" TargetMode="External"/><Relationship Id="rId4" Type="http://schemas.openxmlformats.org/officeDocument/2006/relationships/hyperlink" Target="https://example.com/buff.ly/1dQdpoH" TargetMode="External"/><Relationship Id="rId9" Type="http://schemas.openxmlformats.org/officeDocument/2006/relationships/hyperlink" Target="https://example.com/buff.ly/3qkxLJ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buff.ly/9AyIEVH" TargetMode="External"/><Relationship Id="rId3" Type="http://schemas.openxmlformats.org/officeDocument/2006/relationships/hyperlink" Target="https://example.com/buff.ly/1FSEiAv" TargetMode="External"/><Relationship Id="rId7" Type="http://schemas.openxmlformats.org/officeDocument/2006/relationships/hyperlink" Target="https://example.com/buff.ly/3hacVrA" TargetMode="External"/><Relationship Id="rId2" Type="http://schemas.openxmlformats.org/officeDocument/2006/relationships/hyperlink" Target="https://example.com/buff.ly/2wfSsDx" TargetMode="External"/><Relationship Id="rId1" Type="http://schemas.openxmlformats.org/officeDocument/2006/relationships/hyperlink" Target="https://example.com/buff.ly/1wsZEOQ" TargetMode="External"/><Relationship Id="rId6" Type="http://schemas.openxmlformats.org/officeDocument/2006/relationships/hyperlink" Target="https://example.com/buff.ly/1iVPtXU" TargetMode="External"/><Relationship Id="rId5" Type="http://schemas.openxmlformats.org/officeDocument/2006/relationships/hyperlink" Target="https://example.com/buff.ly/4tngruW" TargetMode="External"/><Relationship Id="rId10" Type="http://schemas.openxmlformats.org/officeDocument/2006/relationships/hyperlink" Target="https://example.com/buff.ly/7ZHactD" TargetMode="External"/><Relationship Id="rId4" Type="http://schemas.openxmlformats.org/officeDocument/2006/relationships/hyperlink" Target="https://example.com/buff.ly/8oqTSAI" TargetMode="External"/><Relationship Id="rId9" Type="http://schemas.openxmlformats.org/officeDocument/2006/relationships/hyperlink" Target="https://example.com/buff.ly/6OHIPLp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buff.ly/7nXniCC" TargetMode="External"/><Relationship Id="rId3" Type="http://schemas.openxmlformats.org/officeDocument/2006/relationships/hyperlink" Target="https://example.com/buff.ly/5xqHQpL" TargetMode="External"/><Relationship Id="rId7" Type="http://schemas.openxmlformats.org/officeDocument/2006/relationships/hyperlink" Target="https://example.com/buff.ly/4CTQySN" TargetMode="External"/><Relationship Id="rId2" Type="http://schemas.openxmlformats.org/officeDocument/2006/relationships/hyperlink" Target="https://example.com/buff.ly/3eACtDR" TargetMode="External"/><Relationship Id="rId1" Type="http://schemas.openxmlformats.org/officeDocument/2006/relationships/hyperlink" Target="https://example.com/buff.ly/1wsZEOQ" TargetMode="External"/><Relationship Id="rId6" Type="http://schemas.openxmlformats.org/officeDocument/2006/relationships/hyperlink" Target="https://example.com/buff.ly/6diznpz" TargetMode="External"/><Relationship Id="rId5" Type="http://schemas.openxmlformats.org/officeDocument/2006/relationships/hyperlink" Target="https://example.com/buff.ly/7OjBspE" TargetMode="External"/><Relationship Id="rId4" Type="http://schemas.openxmlformats.org/officeDocument/2006/relationships/hyperlink" Target="https://example.com/buff.ly/3iPoj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41D8-A2AB-4DF2-A45B-53F0EB382053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34.5" x14ac:dyDescent="0.55000000000000004">
      <c r="A1" s="15" t="s">
        <v>3</v>
      </c>
    </row>
    <row r="3" spans="1:2" x14ac:dyDescent="0.25">
      <c r="A3" s="1" t="s">
        <v>0</v>
      </c>
      <c r="B3" s="16" t="s">
        <v>69</v>
      </c>
    </row>
    <row r="4" spans="1:2" x14ac:dyDescent="0.25">
      <c r="A4" s="1" t="s">
        <v>1</v>
      </c>
      <c r="B4" s="17">
        <v>45474</v>
      </c>
    </row>
    <row r="5" spans="1:2" ht="81.75" customHeight="1" x14ac:dyDescent="0.25">
      <c r="A5" s="1" t="s">
        <v>2</v>
      </c>
      <c r="B5" s="16" t="s">
        <v>67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8A04-1D94-4A6B-8D38-8DF590351D52}">
  <dimension ref="B1:I20"/>
  <sheetViews>
    <sheetView zoomScale="120" zoomScaleNormal="120" workbookViewId="0"/>
  </sheetViews>
  <sheetFormatPr defaultRowHeight="15" x14ac:dyDescent="0.25"/>
  <cols>
    <col min="1" max="1" width="2" customWidth="1"/>
    <col min="2" max="2" width="21.42578125" customWidth="1"/>
    <col min="3" max="3" width="11.5703125" customWidth="1"/>
    <col min="4" max="7" width="15.7109375" customWidth="1"/>
    <col min="8" max="8" width="17.7109375" customWidth="1"/>
    <col min="9" max="9" width="21.28515625" customWidth="1"/>
    <col min="10" max="10" width="3" customWidth="1"/>
  </cols>
  <sheetData>
    <row r="1" spans="2:9" ht="34.5" x14ac:dyDescent="0.55000000000000004">
      <c r="B1" s="15" t="s">
        <v>3</v>
      </c>
    </row>
    <row r="2" spans="2:9" ht="18.75" x14ac:dyDescent="0.3">
      <c r="B2" s="2" t="s">
        <v>36</v>
      </c>
    </row>
    <row r="4" spans="2:9" ht="15.75" thickBot="1" x14ac:dyDescent="0.3">
      <c r="B4" s="11" t="s">
        <v>46</v>
      </c>
      <c r="C4" s="11" t="s">
        <v>45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43</v>
      </c>
      <c r="I4" s="11" t="s">
        <v>44</v>
      </c>
    </row>
    <row r="5" spans="2:9" ht="30" customHeight="1" x14ac:dyDescent="0.25">
      <c r="B5" s="27" t="s">
        <v>40</v>
      </c>
      <c r="C5" s="23">
        <f>COUNT(January!B:B)</f>
        <v>6</v>
      </c>
      <c r="D5" s="12">
        <f>SUM(January!D:D)</f>
        <v>57</v>
      </c>
      <c r="E5" s="12">
        <f>SUM(January!E:E)</f>
        <v>65</v>
      </c>
      <c r="F5" s="12">
        <f>SUM(January!F:F)</f>
        <v>42</v>
      </c>
      <c r="G5" s="12">
        <f>SUM(January!G:G)</f>
        <v>138</v>
      </c>
      <c r="H5" s="12">
        <f>SUM(January!H:H)</f>
        <v>87169</v>
      </c>
      <c r="I5" s="25">
        <f>AVERAGE(January!J:J)</f>
        <v>3.4647248602519775E-3</v>
      </c>
    </row>
    <row r="6" spans="2:9" ht="15.75" customHeight="1" thickBot="1" x14ac:dyDescent="0.3">
      <c r="B6" s="28"/>
      <c r="C6" s="24"/>
      <c r="D6" s="20">
        <f>AVERAGE(January!D:D)</f>
        <v>9.5</v>
      </c>
      <c r="E6" s="20">
        <f>AVERAGE(January!E:E)</f>
        <v>10.833333333333334</v>
      </c>
      <c r="F6" s="20">
        <f>AVERAGE(January!F:F)</f>
        <v>7</v>
      </c>
      <c r="G6" s="20">
        <f>AVERAGE(January!G:G)</f>
        <v>23</v>
      </c>
      <c r="H6" s="20">
        <f>AVERAGE(January!H:H)</f>
        <v>14528.166666666666</v>
      </c>
      <c r="I6" s="26"/>
    </row>
    <row r="7" spans="2:9" ht="30" customHeight="1" x14ac:dyDescent="0.25">
      <c r="B7" s="27" t="s">
        <v>41</v>
      </c>
      <c r="C7" s="23">
        <f>COUNT(February!B:B)</f>
        <v>5</v>
      </c>
      <c r="D7" s="12">
        <f>SUM(February!D:D)</f>
        <v>35</v>
      </c>
      <c r="E7" s="12">
        <f>SUM(February!E:E)</f>
        <v>34</v>
      </c>
      <c r="F7" s="12">
        <f>SUM(February!F:F)</f>
        <v>18</v>
      </c>
      <c r="G7" s="12">
        <f>SUM(February!G:G)</f>
        <v>106</v>
      </c>
      <c r="H7" s="12">
        <f>SUM(February!H:H)</f>
        <v>73021</v>
      </c>
      <c r="I7" s="25">
        <f>AVERAGE(February!J:J)</f>
        <v>2.6430161927793556E-3</v>
      </c>
    </row>
    <row r="8" spans="2:9" ht="15.75" customHeight="1" thickBot="1" x14ac:dyDescent="0.3">
      <c r="B8" s="28"/>
      <c r="C8" s="24"/>
      <c r="D8" s="20">
        <f>AVERAGE(February!D:D)</f>
        <v>7</v>
      </c>
      <c r="E8" s="20">
        <f>AVERAGE(February!E:E)</f>
        <v>6.8</v>
      </c>
      <c r="F8" s="20">
        <f>AVERAGE(February!F:F)</f>
        <v>3.6</v>
      </c>
      <c r="G8" s="20">
        <f>AVERAGE(February!G:G)</f>
        <v>21.2</v>
      </c>
      <c r="H8" s="20">
        <f>AVERAGE(February!H:H)</f>
        <v>14604.2</v>
      </c>
      <c r="I8" s="26"/>
    </row>
    <row r="9" spans="2:9" ht="30" customHeight="1" x14ac:dyDescent="0.25">
      <c r="B9" s="27" t="s">
        <v>42</v>
      </c>
      <c r="C9" s="23">
        <f>COUNT(March!B:B)</f>
        <v>9</v>
      </c>
      <c r="D9" s="12">
        <f>SUM(March!D:D)</f>
        <v>88</v>
      </c>
      <c r="E9" s="12">
        <f>SUM(March!E:E)</f>
        <v>95</v>
      </c>
      <c r="F9" s="12">
        <f>SUM(March!F:F)</f>
        <v>45</v>
      </c>
      <c r="G9" s="12">
        <f>SUM(March!G:G)</f>
        <v>273</v>
      </c>
      <c r="H9" s="12">
        <f>SUM(March!H:H)</f>
        <v>131667</v>
      </c>
      <c r="I9" s="25">
        <f>AVERAGE(March!J:J)</f>
        <v>3.8043618724866069E-3</v>
      </c>
    </row>
    <row r="10" spans="2:9" ht="16.5" customHeight="1" thickBot="1" x14ac:dyDescent="0.3">
      <c r="B10" s="28"/>
      <c r="C10" s="24"/>
      <c r="D10" s="20">
        <f>AVERAGE(March!D:D)</f>
        <v>9.7777777777777786</v>
      </c>
      <c r="E10" s="20">
        <f>AVERAGE(March!E:E)</f>
        <v>10.555555555555555</v>
      </c>
      <c r="F10" s="20">
        <f>AVERAGE(March!F:F)</f>
        <v>5</v>
      </c>
      <c r="G10" s="20">
        <f>AVERAGE(March!G:G)</f>
        <v>30.333333333333332</v>
      </c>
      <c r="H10" s="20">
        <f>AVERAGE(March!H:H)</f>
        <v>14629.666666666666</v>
      </c>
      <c r="I10" s="26"/>
    </row>
    <row r="11" spans="2:9" ht="30" customHeight="1" x14ac:dyDescent="0.25">
      <c r="B11" s="27" t="s">
        <v>37</v>
      </c>
      <c r="C11" s="23">
        <f>COUNT(April!B:B)</f>
        <v>9</v>
      </c>
      <c r="D11" s="12">
        <f>SUM(April!D:D)</f>
        <v>89</v>
      </c>
      <c r="E11" s="12">
        <f>SUM(April!E:E)</f>
        <v>117</v>
      </c>
      <c r="F11" s="12">
        <f>SUM(April!F:F)</f>
        <v>69</v>
      </c>
      <c r="G11" s="12">
        <f>SUM(April!G:G)</f>
        <v>231</v>
      </c>
      <c r="H11" s="12">
        <f>SUM(April!H:H)</f>
        <v>132223</v>
      </c>
      <c r="I11" s="25">
        <f>AVERAGE(April!J:J)</f>
        <v>3.8271573980066531E-3</v>
      </c>
    </row>
    <row r="12" spans="2:9" ht="16.5" customHeight="1" thickBot="1" x14ac:dyDescent="0.3">
      <c r="B12" s="28"/>
      <c r="C12" s="24"/>
      <c r="D12" s="20">
        <f>AVERAGE(April!D:D)</f>
        <v>9.8888888888888893</v>
      </c>
      <c r="E12" s="20">
        <f>AVERAGE(April!E:E)</f>
        <v>13</v>
      </c>
      <c r="F12" s="20">
        <f>AVERAGE(April!F:F)</f>
        <v>7.666666666666667</v>
      </c>
      <c r="G12" s="20">
        <f>AVERAGE(April!G:G)</f>
        <v>25.666666666666668</v>
      </c>
      <c r="H12" s="20">
        <f>AVERAGE(April!H:H)</f>
        <v>14691.444444444445</v>
      </c>
      <c r="I12" s="26"/>
    </row>
    <row r="13" spans="2:9" ht="30" customHeight="1" x14ac:dyDescent="0.25">
      <c r="B13" s="27" t="s">
        <v>38</v>
      </c>
      <c r="C13" s="23">
        <f>COUNT(May!B:B)</f>
        <v>10</v>
      </c>
      <c r="D13" s="12">
        <f>SUM(May!D:D)</f>
        <v>103</v>
      </c>
      <c r="E13" s="12">
        <f>SUM(May!E:E)</f>
        <v>131</v>
      </c>
      <c r="F13" s="12">
        <f>SUM(May!F:F)</f>
        <v>80</v>
      </c>
      <c r="G13" s="12">
        <f>SUM(May!G:G)</f>
        <v>262</v>
      </c>
      <c r="H13" s="12">
        <f>SUM(May!H:H)</f>
        <v>147416</v>
      </c>
      <c r="I13" s="25">
        <f>AVERAGE(May!J:J)</f>
        <v>3.9075731527896092E-3</v>
      </c>
    </row>
    <row r="14" spans="2:9" ht="15.75" customHeight="1" thickBot="1" x14ac:dyDescent="0.3">
      <c r="B14" s="28"/>
      <c r="C14" s="24"/>
      <c r="D14" s="20">
        <f>AVERAGE(May!D:D)</f>
        <v>10.3</v>
      </c>
      <c r="E14" s="20">
        <f>AVERAGE(May!E:E)</f>
        <v>13.1</v>
      </c>
      <c r="F14" s="20">
        <f>AVERAGE(May!F:F)</f>
        <v>8</v>
      </c>
      <c r="G14" s="20">
        <f>AVERAGE(May!G:G)</f>
        <v>26.2</v>
      </c>
      <c r="H14" s="20">
        <f>AVERAGE(May!H:H)</f>
        <v>14741.6</v>
      </c>
      <c r="I14" s="26"/>
    </row>
    <row r="15" spans="2:9" ht="30" customHeight="1" x14ac:dyDescent="0.25">
      <c r="B15" s="27" t="s">
        <v>39</v>
      </c>
      <c r="C15" s="23">
        <f>COUNT(June!B:B)</f>
        <v>8</v>
      </c>
      <c r="D15" s="12">
        <f>SUM(June!D:D)</f>
        <v>94</v>
      </c>
      <c r="E15" s="12">
        <f>SUM(June!E:E)</f>
        <v>109</v>
      </c>
      <c r="F15" s="12">
        <f>SUM(June!F:F)</f>
        <v>62</v>
      </c>
      <c r="G15" s="12">
        <f>SUM(June!G:G)</f>
        <v>267</v>
      </c>
      <c r="H15" s="12">
        <f>SUM(June!H:H)</f>
        <v>118122</v>
      </c>
      <c r="I15" s="25">
        <f>AVERAGE(June!J:J)</f>
        <v>4.5041181217071041E-3</v>
      </c>
    </row>
    <row r="16" spans="2:9" ht="15.75" customHeight="1" thickBot="1" x14ac:dyDescent="0.3">
      <c r="B16" s="28"/>
      <c r="C16" s="24"/>
      <c r="D16" s="20">
        <f>AVERAGE(June!D:D)</f>
        <v>11.75</v>
      </c>
      <c r="E16" s="20">
        <f>AVERAGE(June!E:E)</f>
        <v>13.625</v>
      </c>
      <c r="F16" s="20">
        <f>AVERAGE(June!F:F)</f>
        <v>7.75</v>
      </c>
      <c r="G16" s="20">
        <f>AVERAGE(June!G:G)</f>
        <v>33.375</v>
      </c>
      <c r="H16" s="20">
        <f>AVERAGE(June!H:H)</f>
        <v>14765.25</v>
      </c>
      <c r="I16" s="26"/>
    </row>
    <row r="17" spans="2:9" ht="15.75" customHeight="1" x14ac:dyDescent="0.25"/>
    <row r="18" spans="2:9" ht="15.75" thickBot="1" x14ac:dyDescent="0.3">
      <c r="C18" s="14"/>
      <c r="I18" s="13"/>
    </row>
    <row r="19" spans="2:9" ht="23.25" customHeight="1" x14ac:dyDescent="0.25">
      <c r="B19" s="21" t="s">
        <v>65</v>
      </c>
      <c r="C19" s="23">
        <f>COUNT(January:June!B:B)</f>
        <v>47</v>
      </c>
      <c r="D19" s="12">
        <f>SUM(January:June!D:D)</f>
        <v>466</v>
      </c>
      <c r="E19" s="12">
        <f>SUM(January:June!E:E)</f>
        <v>551</v>
      </c>
      <c r="F19" s="12">
        <f>SUM(January:June!F:F)</f>
        <v>316</v>
      </c>
      <c r="G19" s="12">
        <f>SUM(January:June!G:G)</f>
        <v>1277</v>
      </c>
      <c r="H19" s="12">
        <f>SUM(January:June!H:H)</f>
        <v>689618</v>
      </c>
      <c r="I19" s="25">
        <f>AVERAGE(January:June!J:J)</f>
        <v>3.7828889374766144E-3</v>
      </c>
    </row>
    <row r="20" spans="2:9" ht="16.5" customHeight="1" thickBot="1" x14ac:dyDescent="0.3">
      <c r="B20" s="22"/>
      <c r="C20" s="24"/>
      <c r="D20" s="20">
        <f>AVERAGE(January:June!D:D)</f>
        <v>9.914893617021276</v>
      </c>
      <c r="E20" s="20">
        <f>AVERAGE(January:June!E:E)</f>
        <v>11.723404255319149</v>
      </c>
      <c r="F20" s="20">
        <f>AVERAGE(January:June!F:F)</f>
        <v>6.7234042553191493</v>
      </c>
      <c r="G20" s="20">
        <f>AVERAGE(January:June!G:G)</f>
        <v>27.170212765957448</v>
      </c>
      <c r="H20" s="20">
        <f>AVERAGE(January:June!H:H)</f>
        <v>14672.723404255319</v>
      </c>
      <c r="I20" s="26"/>
    </row>
  </sheetData>
  <mergeCells count="21">
    <mergeCell ref="B11:B12"/>
    <mergeCell ref="B7:B8"/>
    <mergeCell ref="B9:B10"/>
    <mergeCell ref="B13:B14"/>
    <mergeCell ref="B15:B16"/>
    <mergeCell ref="B19:B20"/>
    <mergeCell ref="C19:C20"/>
    <mergeCell ref="I19:I20"/>
    <mergeCell ref="B5:B6"/>
    <mergeCell ref="C9:C10"/>
    <mergeCell ref="I9:I10"/>
    <mergeCell ref="C7:C8"/>
    <mergeCell ref="I7:I8"/>
    <mergeCell ref="C5:C6"/>
    <mergeCell ref="I5:I6"/>
    <mergeCell ref="I11:I12"/>
    <mergeCell ref="I13:I14"/>
    <mergeCell ref="I15:I16"/>
    <mergeCell ref="C11:C12"/>
    <mergeCell ref="C13:C14"/>
    <mergeCell ref="C15:C16"/>
  </mergeCells>
  <hyperlinks>
    <hyperlink ref="B5:B6" location="January!A1" tooltip="View monthly posts" display="JANUARY" xr:uid="{E90E0648-FDDE-4468-9BA0-C522B46F5EF0}"/>
    <hyperlink ref="B7:B8" location="February!A1" tooltip="View monthly posts" display="FEBRUARY" xr:uid="{053FFD86-9D3F-4F2B-B1BA-FB89DFE5FF9F}"/>
    <hyperlink ref="B9:B10" location="March!A1" tooltip="View monthly posts" display="MARCH" xr:uid="{CBCA2440-B866-45DC-AE72-BEFE3DE56155}"/>
    <hyperlink ref="B11:B12" location="April!A1" tooltip="View monthly posts" display="APRIL" xr:uid="{46B63DD2-30F1-4610-AD23-2A60F8D9A1A0}"/>
    <hyperlink ref="B13:B14" location="May!A1" tooltip="View monthly posts" display="MAY" xr:uid="{C2F079C5-8CDB-47A7-B9E2-29F6DE34A97B}"/>
    <hyperlink ref="B15:B16" location="June!A1" tooltip="View monthly posts" display="JUNE" xr:uid="{7295053A-3CD0-4E6A-9B35-C975458816F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DF7-4755-46EA-93DA-7EFD40E9851D}">
  <dimension ref="B1:J11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5" t="s">
        <v>3</v>
      </c>
    </row>
    <row r="2" spans="2:10" ht="18.75" x14ac:dyDescent="0.3">
      <c r="B2" s="2" t="s">
        <v>68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45292.6483912037</v>
      </c>
      <c r="C5" s="18" t="s">
        <v>59</v>
      </c>
      <c r="D5" s="4">
        <v>7</v>
      </c>
      <c r="E5" s="4">
        <v>6</v>
      </c>
      <c r="F5" s="4">
        <v>5</v>
      </c>
      <c r="G5" s="4">
        <v>23</v>
      </c>
      <c r="H5" s="4">
        <v>14506</v>
      </c>
      <c r="I5" s="4">
        <f>SUM(D5:G5)</f>
        <v>41</v>
      </c>
      <c r="J5" s="10">
        <f>I5/H5</f>
        <v>2.8264166551771682E-3</v>
      </c>
    </row>
    <row r="6" spans="2:10" x14ac:dyDescent="0.25">
      <c r="B6" s="6">
        <v>45294.799687500003</v>
      </c>
      <c r="C6" s="19" t="s">
        <v>60</v>
      </c>
      <c r="D6" s="8">
        <v>10</v>
      </c>
      <c r="E6" s="8">
        <v>12</v>
      </c>
      <c r="F6" s="8">
        <v>9</v>
      </c>
      <c r="G6" s="8">
        <v>22</v>
      </c>
      <c r="H6" s="8">
        <v>14502</v>
      </c>
      <c r="I6" s="8">
        <f>SUM(D6:G6)</f>
        <v>53</v>
      </c>
      <c r="J6" s="9">
        <f>I6/H6</f>
        <v>3.6546683216108124E-3</v>
      </c>
    </row>
    <row r="7" spans="2:10" x14ac:dyDescent="0.25">
      <c r="B7" s="5">
        <v>45297.967523148145</v>
      </c>
      <c r="C7" s="18" t="s">
        <v>61</v>
      </c>
      <c r="D7" s="4">
        <v>12</v>
      </c>
      <c r="E7" s="4">
        <v>13</v>
      </c>
      <c r="F7" s="4">
        <v>7</v>
      </c>
      <c r="G7" s="4">
        <v>26</v>
      </c>
      <c r="H7" s="4">
        <v>14527</v>
      </c>
      <c r="I7" s="4">
        <f t="shared" ref="I7:I10" si="0">SUM(D7:G7)</f>
        <v>58</v>
      </c>
      <c r="J7" s="10">
        <f t="shared" ref="J7:J10" si="1">I7/H7</f>
        <v>3.9925655675638466E-3</v>
      </c>
    </row>
    <row r="8" spans="2:10" x14ac:dyDescent="0.25">
      <c r="B8" s="6">
        <v>45300.196412037039</v>
      </c>
      <c r="C8" s="19" t="s">
        <v>62</v>
      </c>
      <c r="D8" s="8">
        <v>12</v>
      </c>
      <c r="E8" s="8">
        <v>14</v>
      </c>
      <c r="F8" s="8">
        <v>11</v>
      </c>
      <c r="G8" s="8">
        <v>29</v>
      </c>
      <c r="H8" s="8">
        <v>14533</v>
      </c>
      <c r="I8" s="8">
        <f t="shared" si="0"/>
        <v>66</v>
      </c>
      <c r="J8" s="9">
        <f t="shared" si="1"/>
        <v>4.5413885639578886E-3</v>
      </c>
    </row>
    <row r="9" spans="2:10" x14ac:dyDescent="0.25">
      <c r="B9" s="5">
        <v>45309.595138888886</v>
      </c>
      <c r="C9" s="18" t="s">
        <v>63</v>
      </c>
      <c r="D9" s="4">
        <v>10</v>
      </c>
      <c r="E9" s="4">
        <v>12</v>
      </c>
      <c r="F9" s="4">
        <v>5</v>
      </c>
      <c r="G9" s="4">
        <v>21</v>
      </c>
      <c r="H9" s="4">
        <v>14545</v>
      </c>
      <c r="I9" s="4">
        <f t="shared" si="0"/>
        <v>48</v>
      </c>
      <c r="J9" s="10">
        <f t="shared" si="1"/>
        <v>3.300103128222757E-3</v>
      </c>
    </row>
    <row r="10" spans="2:10" x14ac:dyDescent="0.25">
      <c r="B10" s="6">
        <v>45311.102361111109</v>
      </c>
      <c r="C10" s="19" t="s">
        <v>64</v>
      </c>
      <c r="D10" s="8">
        <v>6</v>
      </c>
      <c r="E10" s="8">
        <v>8</v>
      </c>
      <c r="F10" s="8">
        <v>5</v>
      </c>
      <c r="G10" s="8">
        <v>17</v>
      </c>
      <c r="H10" s="8">
        <v>14556</v>
      </c>
      <c r="I10" s="8">
        <f t="shared" si="0"/>
        <v>36</v>
      </c>
      <c r="J10" s="9">
        <f t="shared" si="1"/>
        <v>2.4732069249793899E-3</v>
      </c>
    </row>
    <row r="11" spans="2:10" x14ac:dyDescent="0.25">
      <c r="B11" s="6"/>
      <c r="C11" s="7"/>
      <c r="D11" s="8"/>
      <c r="E11" s="8"/>
      <c r="F11" s="8"/>
      <c r="G11" s="8"/>
      <c r="H11" s="8"/>
      <c r="I11" s="8"/>
      <c r="J11" s="9"/>
    </row>
  </sheetData>
  <hyperlinks>
    <hyperlink ref="C5" r:id="rId1" xr:uid="{BA1BE43D-F5DF-46BE-A28B-0ABFEB5A77A7}"/>
    <hyperlink ref="C6" r:id="rId2" xr:uid="{0F6F84D1-B0F6-49EC-B3F1-CBE93104EA86}"/>
    <hyperlink ref="C7" r:id="rId3" xr:uid="{5EAD33E6-B7E3-445C-8144-972E65B63B96}"/>
    <hyperlink ref="C8" r:id="rId4" xr:uid="{7FF029B1-DFED-4D3F-B053-772E515E578B}"/>
    <hyperlink ref="C9" r:id="rId5" xr:uid="{4A8C6DF8-3E35-4EE5-A19D-4DA5035FA883}"/>
    <hyperlink ref="C10" r:id="rId6" xr:uid="{144CE856-4735-4960-9D89-D1F75AF1393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53FB-87B9-43E6-BFF1-C68910A5AA66}">
  <dimension ref="B1:J10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5" t="s">
        <v>3</v>
      </c>
    </row>
    <row r="2" spans="2:10" ht="18.75" x14ac:dyDescent="0.3">
      <c r="B2" s="2" t="s">
        <v>58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45323.600729166668</v>
      </c>
      <c r="C5" s="18" t="s">
        <v>59</v>
      </c>
      <c r="D5" s="4">
        <v>6</v>
      </c>
      <c r="E5" s="4">
        <v>6</v>
      </c>
      <c r="F5" s="4">
        <v>7</v>
      </c>
      <c r="G5" s="4">
        <v>18</v>
      </c>
      <c r="H5" s="4">
        <v>14603</v>
      </c>
      <c r="I5" s="4">
        <f>SUM(D5:G5)</f>
        <v>37</v>
      </c>
      <c r="J5" s="10">
        <f>I5/H5</f>
        <v>2.5337259467232759E-3</v>
      </c>
    </row>
    <row r="6" spans="2:10" x14ac:dyDescent="0.25">
      <c r="B6" s="6">
        <v>45325.177476851852</v>
      </c>
      <c r="C6" s="19" t="s">
        <v>60</v>
      </c>
      <c r="D6" s="8">
        <v>7</v>
      </c>
      <c r="E6" s="8">
        <v>4</v>
      </c>
      <c r="F6" s="8">
        <v>4</v>
      </c>
      <c r="G6" s="8">
        <v>24</v>
      </c>
      <c r="H6" s="8">
        <v>14601</v>
      </c>
      <c r="I6" s="8">
        <f>SUM(D6:G6)</f>
        <v>39</v>
      </c>
      <c r="J6" s="9">
        <f>I6/H6</f>
        <v>2.6710499280871171E-3</v>
      </c>
    </row>
    <row r="7" spans="2:10" x14ac:dyDescent="0.25">
      <c r="B7" s="5">
        <v>45327.973067129627</v>
      </c>
      <c r="C7" s="18" t="s">
        <v>55</v>
      </c>
      <c r="D7" s="4">
        <v>9</v>
      </c>
      <c r="E7" s="4">
        <v>6</v>
      </c>
      <c r="F7" s="4">
        <v>1</v>
      </c>
      <c r="G7" s="4">
        <v>24</v>
      </c>
      <c r="H7" s="4">
        <v>14615</v>
      </c>
      <c r="I7" s="4">
        <f t="shared" ref="I7:I10" si="0">SUM(D7:G7)</f>
        <v>40</v>
      </c>
      <c r="J7" s="10">
        <f t="shared" ref="J7:J9" si="1">I7/H7</f>
        <v>2.7369141293191925E-3</v>
      </c>
    </row>
    <row r="8" spans="2:10" x14ac:dyDescent="0.25">
      <c r="B8" s="6">
        <v>45332.198240740741</v>
      </c>
      <c r="C8" s="19" t="s">
        <v>56</v>
      </c>
      <c r="D8" s="8">
        <v>2</v>
      </c>
      <c r="E8" s="8">
        <v>3</v>
      </c>
      <c r="F8" s="8">
        <v>2</v>
      </c>
      <c r="G8" s="8">
        <v>8</v>
      </c>
      <c r="H8" s="8">
        <v>14600</v>
      </c>
      <c r="I8" s="8">
        <f t="shared" si="0"/>
        <v>15</v>
      </c>
      <c r="J8" s="9">
        <f t="shared" si="1"/>
        <v>1.0273972602739725E-3</v>
      </c>
    </row>
    <row r="9" spans="2:10" x14ac:dyDescent="0.25">
      <c r="B9" s="5">
        <v>45342.378495370373</v>
      </c>
      <c r="C9" s="18" t="s">
        <v>57</v>
      </c>
      <c r="D9" s="4">
        <v>11</v>
      </c>
      <c r="E9" s="4">
        <v>15</v>
      </c>
      <c r="F9" s="4">
        <v>4</v>
      </c>
      <c r="G9" s="4">
        <v>32</v>
      </c>
      <c r="H9" s="4">
        <v>14602</v>
      </c>
      <c r="I9" s="4">
        <f t="shared" si="0"/>
        <v>62</v>
      </c>
      <c r="J9" s="10">
        <f t="shared" si="1"/>
        <v>4.2459936994932203E-3</v>
      </c>
    </row>
    <row r="10" spans="2:10" x14ac:dyDescent="0.25">
      <c r="C10" s="7"/>
      <c r="I10" s="8"/>
      <c r="J10" s="9"/>
    </row>
  </sheetData>
  <hyperlinks>
    <hyperlink ref="C5" r:id="rId1" xr:uid="{45D4529E-C3D5-4FAD-9AA5-60C606EB3E96}"/>
    <hyperlink ref="C6" r:id="rId2" xr:uid="{1B922410-F324-45EC-86D6-2AD1FE140A93}"/>
    <hyperlink ref="C7" r:id="rId3" xr:uid="{ECEA7D25-B96E-4B3B-8D76-55C6CDC932AC}"/>
    <hyperlink ref="C8" r:id="rId4" xr:uid="{72D09A3F-FB17-4895-B3BE-14F21A4E9FF8}"/>
    <hyperlink ref="C9" r:id="rId5" xr:uid="{D956C5F3-3187-4B96-8A31-E5F20137107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17A-D241-4C92-987E-125BAB48EB51}">
  <dimension ref="B1:J13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5" t="s">
        <v>3</v>
      </c>
    </row>
    <row r="2" spans="2:10" ht="18.75" x14ac:dyDescent="0.3">
      <c r="B2" s="2" t="s">
        <v>47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45352.45521990741</v>
      </c>
      <c r="C5" s="18" t="s">
        <v>59</v>
      </c>
      <c r="D5" s="4">
        <v>8</v>
      </c>
      <c r="E5" s="4">
        <v>11</v>
      </c>
      <c r="F5" s="4">
        <v>8</v>
      </c>
      <c r="G5" s="4">
        <v>28</v>
      </c>
      <c r="H5" s="4">
        <v>14604</v>
      </c>
      <c r="I5" s="4">
        <f>SUM(D5:G5)</f>
        <v>55</v>
      </c>
      <c r="J5" s="10">
        <f>I5/H5</f>
        <v>3.7660914817858123E-3</v>
      </c>
    </row>
    <row r="6" spans="2:10" x14ac:dyDescent="0.25">
      <c r="B6" s="6">
        <v>45354.347951388889</v>
      </c>
      <c r="C6" s="19" t="s">
        <v>60</v>
      </c>
      <c r="D6" s="8">
        <v>11</v>
      </c>
      <c r="E6" s="8">
        <v>12</v>
      </c>
      <c r="F6" s="8">
        <v>5</v>
      </c>
      <c r="G6" s="8">
        <v>30</v>
      </c>
      <c r="H6" s="8">
        <v>14609</v>
      </c>
      <c r="I6" s="8">
        <f>SUM(D6:G6)</f>
        <v>58</v>
      </c>
      <c r="J6" s="9">
        <f>I6/H6</f>
        <v>3.9701553836676024E-3</v>
      </c>
    </row>
    <row r="7" spans="2:10" x14ac:dyDescent="0.25">
      <c r="B7" s="5">
        <v>45360.511250000003</v>
      </c>
      <c r="C7" s="18" t="s">
        <v>48</v>
      </c>
      <c r="D7" s="4">
        <v>6</v>
      </c>
      <c r="E7" s="4">
        <v>7</v>
      </c>
      <c r="F7" s="4">
        <v>4</v>
      </c>
      <c r="G7" s="4">
        <v>19</v>
      </c>
      <c r="H7" s="4">
        <v>14604</v>
      </c>
      <c r="I7" s="4">
        <f t="shared" ref="I7:I10" si="0">SUM(D7:G7)</f>
        <v>36</v>
      </c>
      <c r="J7" s="10">
        <f t="shared" ref="J7:J10" si="1">I7/H7</f>
        <v>2.4650780608052587E-3</v>
      </c>
    </row>
    <row r="8" spans="2:10" x14ac:dyDescent="0.25">
      <c r="B8" s="6">
        <v>45362.871817129628</v>
      </c>
      <c r="C8" s="19" t="s">
        <v>49</v>
      </c>
      <c r="D8" s="8">
        <v>10</v>
      </c>
      <c r="E8" s="8">
        <v>10</v>
      </c>
      <c r="F8" s="8">
        <v>5</v>
      </c>
      <c r="G8" s="8">
        <v>25</v>
      </c>
      <c r="H8" s="8">
        <v>14613</v>
      </c>
      <c r="I8" s="8">
        <f t="shared" si="0"/>
        <v>50</v>
      </c>
      <c r="J8" s="9">
        <f t="shared" si="1"/>
        <v>3.4216108944090879E-3</v>
      </c>
    </row>
    <row r="9" spans="2:10" x14ac:dyDescent="0.25">
      <c r="B9" s="5">
        <v>45364.807025462964</v>
      </c>
      <c r="C9" s="18" t="s">
        <v>50</v>
      </c>
      <c r="D9" s="4">
        <v>12</v>
      </c>
      <c r="E9" s="4">
        <v>9</v>
      </c>
      <c r="F9" s="4">
        <v>6</v>
      </c>
      <c r="G9" s="4">
        <v>31</v>
      </c>
      <c r="H9" s="4">
        <v>14615</v>
      </c>
      <c r="I9" s="4">
        <f t="shared" si="0"/>
        <v>58</v>
      </c>
      <c r="J9" s="10">
        <f t="shared" si="1"/>
        <v>3.9685254875128292E-3</v>
      </c>
    </row>
    <row r="10" spans="2:10" x14ac:dyDescent="0.25">
      <c r="B10" s="6">
        <v>45369.047650462962</v>
      </c>
      <c r="C10" s="19" t="s">
        <v>51</v>
      </c>
      <c r="D10" s="8">
        <v>12</v>
      </c>
      <c r="E10" s="8">
        <v>10</v>
      </c>
      <c r="F10" s="8">
        <v>5</v>
      </c>
      <c r="G10" s="8">
        <v>47</v>
      </c>
      <c r="H10" s="8">
        <v>14646</v>
      </c>
      <c r="I10" s="8">
        <f t="shared" si="0"/>
        <v>74</v>
      </c>
      <c r="J10" s="9">
        <f t="shared" si="1"/>
        <v>5.0525740816605219E-3</v>
      </c>
    </row>
    <row r="11" spans="2:10" x14ac:dyDescent="0.25">
      <c r="B11" s="5">
        <v>45371.360162037039</v>
      </c>
      <c r="C11" s="18" t="s">
        <v>52</v>
      </c>
      <c r="D11" s="4">
        <v>9</v>
      </c>
      <c r="E11" s="4">
        <v>13</v>
      </c>
      <c r="F11" s="4">
        <v>4</v>
      </c>
      <c r="G11" s="4">
        <v>33</v>
      </c>
      <c r="H11" s="4">
        <v>14641</v>
      </c>
      <c r="I11" s="4">
        <f>SUM(D11:G11)</f>
        <v>59</v>
      </c>
      <c r="J11" s="10">
        <f>I11/H11</f>
        <v>4.029779386653917E-3</v>
      </c>
    </row>
    <row r="12" spans="2:10" x14ac:dyDescent="0.25">
      <c r="B12" s="6">
        <v>45373.359120370369</v>
      </c>
      <c r="C12" s="19" t="s">
        <v>53</v>
      </c>
      <c r="D12" s="8">
        <v>8</v>
      </c>
      <c r="E12" s="8">
        <v>9</v>
      </c>
      <c r="F12" s="8">
        <v>2</v>
      </c>
      <c r="G12" s="8">
        <v>23</v>
      </c>
      <c r="H12" s="8">
        <v>14649</v>
      </c>
      <c r="I12" s="8">
        <f>SUM(D12:G12)</f>
        <v>42</v>
      </c>
      <c r="J12" s="9">
        <f>I12/H12</f>
        <v>2.8670899037476962E-3</v>
      </c>
    </row>
    <row r="13" spans="2:10" x14ac:dyDescent="0.25">
      <c r="B13" s="5">
        <v>45379.537118055552</v>
      </c>
      <c r="C13" s="18" t="s">
        <v>54</v>
      </c>
      <c r="D13" s="4">
        <v>12</v>
      </c>
      <c r="E13" s="4">
        <v>14</v>
      </c>
      <c r="F13" s="4">
        <v>6</v>
      </c>
      <c r="G13" s="4">
        <v>37</v>
      </c>
      <c r="H13" s="4">
        <v>14686</v>
      </c>
      <c r="I13" s="4">
        <f t="shared" ref="I13" si="2">SUM(D13:G13)</f>
        <v>69</v>
      </c>
      <c r="J13" s="10">
        <f t="shared" ref="J13" si="3">I13/H13</f>
        <v>4.6983521721367287E-3</v>
      </c>
    </row>
  </sheetData>
  <hyperlinks>
    <hyperlink ref="C5" r:id="rId1" xr:uid="{3BDCDCE9-1D0A-4AC9-B218-B778F14C0CE6}"/>
    <hyperlink ref="C6" r:id="rId2" xr:uid="{A4AA1A96-B287-49B7-920C-934A7F370793}"/>
    <hyperlink ref="C7" r:id="rId3" xr:uid="{303F4B9F-CC0E-4AAB-9269-225006DDAF91}"/>
    <hyperlink ref="C8" r:id="rId4" xr:uid="{D18751CF-93CC-47C3-BAE9-CF30CB151275}"/>
    <hyperlink ref="C9" r:id="rId5" xr:uid="{6F66E658-2307-4CA7-8219-F8738A02B14A}"/>
    <hyperlink ref="C10" r:id="rId6" xr:uid="{4B96375F-953F-4629-94F0-9EE918BCC6CE}"/>
    <hyperlink ref="C11" r:id="rId7" xr:uid="{3087741D-5A3D-4A54-966B-BFBC788AC18B}"/>
    <hyperlink ref="C12" r:id="rId8" xr:uid="{9EFE18C7-9E29-45ED-9381-E7FD639A5A05}"/>
    <hyperlink ref="C13" r:id="rId9" xr:uid="{DE609F13-6063-4672-A3F5-2066687CB40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97C8-C08B-4429-A193-EF11009E5C36}">
  <dimension ref="B1:J13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5" t="s">
        <v>3</v>
      </c>
    </row>
    <row r="2" spans="2:10" ht="18.75" x14ac:dyDescent="0.3">
      <c r="B2" s="2" t="s">
        <v>11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45383.548854166664</v>
      </c>
      <c r="C5" s="18" t="s">
        <v>59</v>
      </c>
      <c r="D5" s="4">
        <v>9</v>
      </c>
      <c r="E5" s="4">
        <v>16</v>
      </c>
      <c r="F5" s="4">
        <v>13</v>
      </c>
      <c r="G5" s="4">
        <v>24</v>
      </c>
      <c r="H5" s="4">
        <v>14680</v>
      </c>
      <c r="I5" s="4">
        <f>SUM(D5:G5)</f>
        <v>62</v>
      </c>
      <c r="J5" s="10">
        <f>I5/H5</f>
        <v>4.2234332425068119E-3</v>
      </c>
    </row>
    <row r="6" spans="2:10" x14ac:dyDescent="0.25">
      <c r="B6" s="6">
        <v>45385.631481481483</v>
      </c>
      <c r="C6" s="19" t="s">
        <v>60</v>
      </c>
      <c r="D6" s="8">
        <v>11</v>
      </c>
      <c r="E6" s="8">
        <v>22</v>
      </c>
      <c r="F6" s="8">
        <v>5</v>
      </c>
      <c r="G6" s="8">
        <v>38</v>
      </c>
      <c r="H6" s="8">
        <v>14667</v>
      </c>
      <c r="I6" s="8">
        <f>SUM(D6:G6)</f>
        <v>76</v>
      </c>
      <c r="J6" s="9">
        <f>I6/H6</f>
        <v>5.1817004158996385E-3</v>
      </c>
    </row>
    <row r="7" spans="2:10" x14ac:dyDescent="0.25">
      <c r="B7" s="5">
        <v>45389.002766203703</v>
      </c>
      <c r="C7" s="18" t="s">
        <v>14</v>
      </c>
      <c r="D7" s="4">
        <v>11</v>
      </c>
      <c r="E7" s="4">
        <v>17</v>
      </c>
      <c r="F7" s="4">
        <v>8</v>
      </c>
      <c r="G7" s="4">
        <v>36</v>
      </c>
      <c r="H7" s="4">
        <v>14705</v>
      </c>
      <c r="I7" s="4">
        <f t="shared" ref="I7:I10" si="0">SUM(D7:G7)</f>
        <v>72</v>
      </c>
      <c r="J7" s="10">
        <f t="shared" ref="J7:J10" si="1">I7/H7</f>
        <v>4.8962937776266579E-3</v>
      </c>
    </row>
    <row r="8" spans="2:10" x14ac:dyDescent="0.25">
      <c r="B8" s="6">
        <v>45390.953958333332</v>
      </c>
      <c r="C8" s="19" t="s">
        <v>15</v>
      </c>
      <c r="D8" s="8">
        <v>5</v>
      </c>
      <c r="E8" s="8">
        <v>7</v>
      </c>
      <c r="F8" s="8">
        <v>4</v>
      </c>
      <c r="G8" s="8">
        <v>14</v>
      </c>
      <c r="H8" s="8">
        <v>14702</v>
      </c>
      <c r="I8" s="8">
        <f t="shared" si="0"/>
        <v>30</v>
      </c>
      <c r="J8" s="9">
        <f t="shared" si="1"/>
        <v>2.0405387022173855E-3</v>
      </c>
    </row>
    <row r="9" spans="2:10" x14ac:dyDescent="0.25">
      <c r="B9" s="5">
        <v>45393.182106481479</v>
      </c>
      <c r="C9" s="18" t="s">
        <v>16</v>
      </c>
      <c r="D9" s="4">
        <v>8</v>
      </c>
      <c r="E9" s="4">
        <v>10</v>
      </c>
      <c r="F9" s="4">
        <v>6</v>
      </c>
      <c r="G9" s="4">
        <v>28</v>
      </c>
      <c r="H9" s="4">
        <v>14665</v>
      </c>
      <c r="I9" s="4">
        <f t="shared" si="0"/>
        <v>52</v>
      </c>
      <c r="J9" s="10">
        <f t="shared" si="1"/>
        <v>3.5458574838049778E-3</v>
      </c>
    </row>
    <row r="10" spans="2:10" x14ac:dyDescent="0.25">
      <c r="B10" s="6">
        <v>45398.628078703703</v>
      </c>
      <c r="C10" s="19" t="s">
        <v>17</v>
      </c>
      <c r="D10" s="8">
        <v>13</v>
      </c>
      <c r="E10" s="8">
        <v>10</v>
      </c>
      <c r="F10" s="8">
        <v>14</v>
      </c>
      <c r="G10" s="8">
        <v>22</v>
      </c>
      <c r="H10" s="8">
        <v>14698</v>
      </c>
      <c r="I10" s="8">
        <f t="shared" si="0"/>
        <v>59</v>
      </c>
      <c r="J10" s="9">
        <f t="shared" si="1"/>
        <v>4.0141515852496939E-3</v>
      </c>
    </row>
    <row r="11" spans="2:10" x14ac:dyDescent="0.25">
      <c r="B11" s="5">
        <v>45404.559224537035</v>
      </c>
      <c r="C11" s="18" t="s">
        <v>18</v>
      </c>
      <c r="D11" s="4">
        <v>9</v>
      </c>
      <c r="E11" s="4">
        <v>20</v>
      </c>
      <c r="F11" s="4">
        <v>12</v>
      </c>
      <c r="G11" s="4">
        <v>26</v>
      </c>
      <c r="H11" s="4">
        <v>14700</v>
      </c>
      <c r="I11" s="4">
        <f>SUM(D11:G11)</f>
        <v>67</v>
      </c>
      <c r="J11" s="10">
        <f>I11/H11</f>
        <v>4.5578231292517004E-3</v>
      </c>
    </row>
    <row r="12" spans="2:10" x14ac:dyDescent="0.25">
      <c r="B12" s="6">
        <v>45408.09070601852</v>
      </c>
      <c r="C12" s="19" t="s">
        <v>19</v>
      </c>
      <c r="D12" s="8">
        <v>11</v>
      </c>
      <c r="E12" s="8">
        <v>0</v>
      </c>
      <c r="F12" s="8">
        <v>0</v>
      </c>
      <c r="G12" s="8">
        <v>13</v>
      </c>
      <c r="H12" s="8">
        <v>14700</v>
      </c>
      <c r="I12" s="8">
        <f>SUM(D12:G12)</f>
        <v>24</v>
      </c>
      <c r="J12" s="9">
        <f>I12/H12</f>
        <v>1.6326530612244899E-3</v>
      </c>
    </row>
    <row r="13" spans="2:10" x14ac:dyDescent="0.25">
      <c r="B13" s="5">
        <v>45410.445717592593</v>
      </c>
      <c r="C13" s="18" t="s">
        <v>20</v>
      </c>
      <c r="D13" s="4">
        <v>12</v>
      </c>
      <c r="E13" s="4">
        <v>15</v>
      </c>
      <c r="F13" s="4">
        <v>7</v>
      </c>
      <c r="G13" s="4">
        <v>30</v>
      </c>
      <c r="H13" s="4">
        <v>14706</v>
      </c>
      <c r="I13" s="4">
        <f t="shared" ref="I13" si="2">SUM(D13:G13)</f>
        <v>64</v>
      </c>
      <c r="J13" s="10">
        <f t="shared" ref="J13" si="3">I13/H13</f>
        <v>4.3519651842785258E-3</v>
      </c>
    </row>
  </sheetData>
  <hyperlinks>
    <hyperlink ref="C5" r:id="rId1" xr:uid="{97F1A580-E1D6-4649-864E-224627F377C0}"/>
    <hyperlink ref="C6" r:id="rId2" xr:uid="{30BACEA1-5BA3-4A6B-AB08-83227F814C0F}"/>
    <hyperlink ref="C7" r:id="rId3" xr:uid="{092A6712-E39D-4222-9812-3FC820504AA8}"/>
    <hyperlink ref="C8" r:id="rId4" xr:uid="{48BEEE1E-E8F0-400C-B18A-6F9CD80B8B9D}"/>
    <hyperlink ref="C9" r:id="rId5" xr:uid="{401E0C32-1C5C-4B63-B2AA-A17E09EB032F}"/>
    <hyperlink ref="C10" r:id="rId6" xr:uid="{8EC82D72-8254-4958-AE24-F22F7571BC55}"/>
    <hyperlink ref="C11" r:id="rId7" xr:uid="{AB0B2326-DC69-4FAE-9697-661545A13538}"/>
    <hyperlink ref="C12" r:id="rId8" xr:uid="{57CA5590-5733-4E0F-814F-8F06AB998AA0}"/>
    <hyperlink ref="C13" r:id="rId9" xr:uid="{FC65CBED-40D1-42B9-BAD0-4C959440AF4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4247-F27D-429E-BDD0-5658169DCDD4}">
  <dimension ref="B1:J14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5" t="s">
        <v>3</v>
      </c>
    </row>
    <row r="2" spans="2:10" ht="18.75" x14ac:dyDescent="0.3">
      <c r="B2" s="2" t="s">
        <v>12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45413.585925925923</v>
      </c>
      <c r="C5" s="18" t="s">
        <v>59</v>
      </c>
      <c r="D5" s="4">
        <v>10</v>
      </c>
      <c r="E5" s="4">
        <v>13</v>
      </c>
      <c r="F5" s="4">
        <v>10</v>
      </c>
      <c r="G5" s="4">
        <v>25</v>
      </c>
      <c r="H5" s="4">
        <v>14708</v>
      </c>
      <c r="I5" s="4">
        <f>SUM(D5:G5)</f>
        <v>58</v>
      </c>
      <c r="J5" s="10">
        <f>I5/H5</f>
        <v>3.9434321457710092E-3</v>
      </c>
    </row>
    <row r="6" spans="2:10" x14ac:dyDescent="0.25">
      <c r="B6" s="6">
        <v>45415.399872685186</v>
      </c>
      <c r="C6" s="19" t="s">
        <v>60</v>
      </c>
      <c r="D6" s="8">
        <v>17</v>
      </c>
      <c r="E6" s="8">
        <v>20</v>
      </c>
      <c r="F6" s="8">
        <v>11</v>
      </c>
      <c r="G6" s="8">
        <v>27</v>
      </c>
      <c r="H6" s="8">
        <v>14729</v>
      </c>
      <c r="I6" s="8">
        <f>SUM(D6:G6)</f>
        <v>75</v>
      </c>
      <c r="J6" s="9">
        <f>I6/H6</f>
        <v>5.0919953832575188E-3</v>
      </c>
    </row>
    <row r="7" spans="2:10" x14ac:dyDescent="0.25">
      <c r="B7" s="5">
        <v>45419.684942129628</v>
      </c>
      <c r="C7" s="18" t="s">
        <v>21</v>
      </c>
      <c r="D7" s="4">
        <v>13</v>
      </c>
      <c r="E7" s="4">
        <v>16</v>
      </c>
      <c r="F7" s="4">
        <v>12</v>
      </c>
      <c r="G7" s="4">
        <v>19</v>
      </c>
      <c r="H7" s="4">
        <v>14726</v>
      </c>
      <c r="I7" s="4">
        <f t="shared" ref="I7:I10" si="0">SUM(D7:G7)</f>
        <v>60</v>
      </c>
      <c r="J7" s="10">
        <f t="shared" ref="J7:J10" si="1">I7/H7</f>
        <v>4.0744261849789487E-3</v>
      </c>
    </row>
    <row r="8" spans="2:10" x14ac:dyDescent="0.25">
      <c r="B8" s="6">
        <v>45421.379467592589</v>
      </c>
      <c r="C8" s="19" t="s">
        <v>22</v>
      </c>
      <c r="D8" s="8">
        <v>11</v>
      </c>
      <c r="E8" s="8">
        <v>14</v>
      </c>
      <c r="F8" s="8">
        <v>8</v>
      </c>
      <c r="G8" s="8">
        <v>37</v>
      </c>
      <c r="H8" s="8">
        <v>14729</v>
      </c>
      <c r="I8" s="8">
        <f t="shared" si="0"/>
        <v>70</v>
      </c>
      <c r="J8" s="9">
        <f t="shared" si="1"/>
        <v>4.7525290243736846E-3</v>
      </c>
    </row>
    <row r="9" spans="2:10" x14ac:dyDescent="0.25">
      <c r="B9" s="5">
        <v>45423.245439814818</v>
      </c>
      <c r="C9" s="18" t="s">
        <v>23</v>
      </c>
      <c r="D9" s="4">
        <v>11</v>
      </c>
      <c r="E9" s="4">
        <v>17</v>
      </c>
      <c r="F9" s="4">
        <v>9</v>
      </c>
      <c r="G9" s="4">
        <v>22</v>
      </c>
      <c r="H9" s="4">
        <v>14735</v>
      </c>
      <c r="I9" s="4">
        <f t="shared" si="0"/>
        <v>59</v>
      </c>
      <c r="J9" s="10">
        <f t="shared" si="1"/>
        <v>4.0040719375636236E-3</v>
      </c>
    </row>
    <row r="10" spans="2:10" x14ac:dyDescent="0.25">
      <c r="B10" s="6">
        <v>45431.542430555557</v>
      </c>
      <c r="C10" s="19" t="s">
        <v>24</v>
      </c>
      <c r="D10" s="8">
        <v>15</v>
      </c>
      <c r="E10" s="8">
        <v>18</v>
      </c>
      <c r="F10" s="8">
        <v>12</v>
      </c>
      <c r="G10" s="8">
        <v>31</v>
      </c>
      <c r="H10" s="8">
        <v>14769</v>
      </c>
      <c r="I10" s="8">
        <f t="shared" si="0"/>
        <v>76</v>
      </c>
      <c r="J10" s="9">
        <f t="shared" si="1"/>
        <v>5.1459137382354929E-3</v>
      </c>
    </row>
    <row r="11" spans="2:10" x14ac:dyDescent="0.25">
      <c r="B11" s="5">
        <v>45433.218680555554</v>
      </c>
      <c r="C11" s="18" t="s">
        <v>25</v>
      </c>
      <c r="D11" s="4">
        <v>9</v>
      </c>
      <c r="E11" s="4">
        <v>13</v>
      </c>
      <c r="F11" s="4">
        <v>1</v>
      </c>
      <c r="G11" s="4">
        <v>35</v>
      </c>
      <c r="H11" s="4">
        <v>14757</v>
      </c>
      <c r="I11" s="4">
        <f>SUM(D11:G11)</f>
        <v>58</v>
      </c>
      <c r="J11" s="10">
        <f>I11/H11</f>
        <v>3.9303381446093378E-3</v>
      </c>
    </row>
    <row r="12" spans="2:10" x14ac:dyDescent="0.25">
      <c r="B12" s="6">
        <v>45435.496736111112</v>
      </c>
      <c r="C12" s="19" t="s">
        <v>26</v>
      </c>
      <c r="D12" s="8">
        <v>6</v>
      </c>
      <c r="E12" s="8">
        <v>3</v>
      </c>
      <c r="F12" s="8">
        <v>7</v>
      </c>
      <c r="G12" s="8">
        <v>34</v>
      </c>
      <c r="H12" s="8">
        <v>14756</v>
      </c>
      <c r="I12" s="8">
        <f>SUM(D12:G12)</f>
        <v>50</v>
      </c>
      <c r="J12" s="9">
        <f>I12/H12</f>
        <v>3.3884521550555705E-3</v>
      </c>
    </row>
    <row r="13" spans="2:10" x14ac:dyDescent="0.25">
      <c r="B13" s="5">
        <v>45439.488530092596</v>
      </c>
      <c r="C13" s="18" t="s">
        <v>27</v>
      </c>
      <c r="D13" s="4">
        <v>6</v>
      </c>
      <c r="E13" s="4">
        <v>7</v>
      </c>
      <c r="F13" s="4">
        <v>9</v>
      </c>
      <c r="G13" s="4">
        <v>11</v>
      </c>
      <c r="H13" s="4">
        <v>14750</v>
      </c>
      <c r="I13" s="4">
        <f t="shared" ref="I13:I14" si="2">SUM(D13:G13)</f>
        <v>33</v>
      </c>
      <c r="J13" s="10">
        <f t="shared" ref="J13:J14" si="3">I13/H13</f>
        <v>2.2372881355932203E-3</v>
      </c>
    </row>
    <row r="14" spans="2:10" x14ac:dyDescent="0.25">
      <c r="B14" s="6">
        <v>45442.771168981482</v>
      </c>
      <c r="C14" s="19" t="s">
        <v>28</v>
      </c>
      <c r="D14" s="8">
        <v>5</v>
      </c>
      <c r="E14" s="8">
        <v>10</v>
      </c>
      <c r="F14" s="8">
        <v>1</v>
      </c>
      <c r="G14" s="8">
        <v>21</v>
      </c>
      <c r="H14" s="8">
        <v>14757</v>
      </c>
      <c r="I14" s="8">
        <f t="shared" si="2"/>
        <v>37</v>
      </c>
      <c r="J14" s="9">
        <f t="shared" si="3"/>
        <v>2.5072846784576809E-3</v>
      </c>
    </row>
  </sheetData>
  <hyperlinks>
    <hyperlink ref="C5" r:id="rId1" xr:uid="{BA31168A-2D04-46ED-A288-9E18AF24F814}"/>
    <hyperlink ref="C6" r:id="rId2" xr:uid="{595B5D36-A6BA-4085-9C54-C5650A5DAAE2}"/>
    <hyperlink ref="C7" r:id="rId3" xr:uid="{0738AFFE-B354-45F5-97F4-416F70AC3DCB}"/>
    <hyperlink ref="C8" r:id="rId4" xr:uid="{609D27C7-21C2-48FA-B517-EC792E07FFBC}"/>
    <hyperlink ref="C9" r:id="rId5" xr:uid="{F000FEFA-85C6-4371-B5E9-28E49BAC560E}"/>
    <hyperlink ref="C10" r:id="rId6" xr:uid="{0BF1C65E-C732-4D24-AEAB-D36FCD686346}"/>
    <hyperlink ref="C11" r:id="rId7" xr:uid="{EED01F89-2B7E-4A13-8EC0-6C103D7AA3AA}"/>
    <hyperlink ref="C12" r:id="rId8" xr:uid="{A914871B-CDBF-465E-A406-D7DB85B5C6E9}"/>
    <hyperlink ref="C13" r:id="rId9" xr:uid="{DB2DDF6C-9173-45FA-8BBE-5D90FE6627E7}"/>
    <hyperlink ref="C14" r:id="rId10" xr:uid="{E3A4ECC2-B7B6-445C-B9AD-5699A5681ED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71B0-2F93-4057-8430-15086F4A8BB7}">
  <dimension ref="B1:J12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5" t="s">
        <v>3</v>
      </c>
    </row>
    <row r="2" spans="2:10" ht="18.75" x14ac:dyDescent="0.3">
      <c r="B2" s="2" t="s">
        <v>13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45444.42454861111</v>
      </c>
      <c r="C5" s="18" t="s">
        <v>59</v>
      </c>
      <c r="D5" s="4">
        <v>10</v>
      </c>
      <c r="E5" s="4">
        <v>18</v>
      </c>
      <c r="F5" s="4">
        <v>5</v>
      </c>
      <c r="G5" s="4">
        <v>28</v>
      </c>
      <c r="H5" s="4">
        <v>14760</v>
      </c>
      <c r="I5" s="4">
        <f>SUM(D5:G5)</f>
        <v>61</v>
      </c>
      <c r="J5" s="10">
        <f>I5/H5</f>
        <v>4.1327913279132792E-3</v>
      </c>
    </row>
    <row r="6" spans="2:10" x14ac:dyDescent="0.25">
      <c r="B6" s="6">
        <v>45451.10423611111</v>
      </c>
      <c r="C6" s="19" t="s">
        <v>29</v>
      </c>
      <c r="D6" s="8">
        <v>16</v>
      </c>
      <c r="E6" s="8">
        <v>19</v>
      </c>
      <c r="F6" s="8">
        <v>15</v>
      </c>
      <c r="G6" s="8">
        <v>52</v>
      </c>
      <c r="H6" s="8">
        <v>14755</v>
      </c>
      <c r="I6" s="8">
        <f>SUM(D6:G6)</f>
        <v>102</v>
      </c>
      <c r="J6" s="9">
        <f>I6/H6</f>
        <v>6.9129108776685867E-3</v>
      </c>
    </row>
    <row r="7" spans="2:10" x14ac:dyDescent="0.25">
      <c r="B7" s="5">
        <v>45452.93005787037</v>
      </c>
      <c r="C7" s="18" t="s">
        <v>30</v>
      </c>
      <c r="D7" s="4">
        <v>13</v>
      </c>
      <c r="E7" s="4">
        <v>12</v>
      </c>
      <c r="F7" s="4">
        <v>8</v>
      </c>
      <c r="G7" s="4">
        <v>28</v>
      </c>
      <c r="H7" s="4">
        <v>14750</v>
      </c>
      <c r="I7" s="4">
        <f t="shared" ref="I7:I10" si="0">SUM(D7:G7)</f>
        <v>61</v>
      </c>
      <c r="J7" s="10">
        <f t="shared" ref="J7:J10" si="1">I7/H7</f>
        <v>4.1355932203389831E-3</v>
      </c>
    </row>
    <row r="8" spans="2:10" x14ac:dyDescent="0.25">
      <c r="B8" s="6">
        <v>45455.078506944446</v>
      </c>
      <c r="C8" s="19" t="s">
        <v>31</v>
      </c>
      <c r="D8" s="8">
        <v>16</v>
      </c>
      <c r="E8" s="8">
        <v>18</v>
      </c>
      <c r="F8" s="8">
        <v>9</v>
      </c>
      <c r="G8" s="8">
        <v>37</v>
      </c>
      <c r="H8" s="8">
        <v>14761</v>
      </c>
      <c r="I8" s="8">
        <f t="shared" si="0"/>
        <v>80</v>
      </c>
      <c r="J8" s="9">
        <f t="shared" si="1"/>
        <v>5.4196870130749945E-3</v>
      </c>
    </row>
    <row r="9" spans="2:10" x14ac:dyDescent="0.25">
      <c r="B9" s="5">
        <v>45460.622499999998</v>
      </c>
      <c r="C9" s="18" t="s">
        <v>32</v>
      </c>
      <c r="D9" s="4">
        <v>13</v>
      </c>
      <c r="E9" s="4">
        <v>9</v>
      </c>
      <c r="F9" s="4">
        <v>3</v>
      </c>
      <c r="G9" s="4">
        <v>44</v>
      </c>
      <c r="H9" s="4">
        <v>14787</v>
      </c>
      <c r="I9" s="4">
        <f t="shared" si="0"/>
        <v>69</v>
      </c>
      <c r="J9" s="10">
        <f t="shared" si="1"/>
        <v>4.666260904848854E-3</v>
      </c>
    </row>
    <row r="10" spans="2:10" x14ac:dyDescent="0.25">
      <c r="B10" s="6">
        <v>45463.107164351852</v>
      </c>
      <c r="C10" s="19" t="s">
        <v>33</v>
      </c>
      <c r="D10" s="8">
        <v>2</v>
      </c>
      <c r="E10" s="8">
        <v>8</v>
      </c>
      <c r="F10" s="8">
        <v>0</v>
      </c>
      <c r="G10" s="8">
        <v>20</v>
      </c>
      <c r="H10" s="8">
        <v>14772</v>
      </c>
      <c r="I10" s="8">
        <f t="shared" si="0"/>
        <v>30</v>
      </c>
      <c r="J10" s="9">
        <f t="shared" si="1"/>
        <v>2.0308692120227455E-3</v>
      </c>
    </row>
    <row r="11" spans="2:10" x14ac:dyDescent="0.25">
      <c r="B11" s="5">
        <v>45469.191736111112</v>
      </c>
      <c r="C11" s="18" t="s">
        <v>34</v>
      </c>
      <c r="D11" s="4">
        <v>9</v>
      </c>
      <c r="E11" s="4">
        <v>13</v>
      </c>
      <c r="F11" s="4">
        <v>12</v>
      </c>
      <c r="G11" s="4">
        <v>25</v>
      </c>
      <c r="H11" s="4">
        <v>14769</v>
      </c>
      <c r="I11" s="4">
        <f>SUM(D11:G11)</f>
        <v>59</v>
      </c>
      <c r="J11" s="10">
        <f>I11/H11</f>
        <v>3.9948540862617642E-3</v>
      </c>
    </row>
    <row r="12" spans="2:10" x14ac:dyDescent="0.25">
      <c r="B12" s="6">
        <v>45470.998287037037</v>
      </c>
      <c r="C12" s="19" t="s">
        <v>35</v>
      </c>
      <c r="D12" s="8">
        <v>15</v>
      </c>
      <c r="E12" s="8">
        <v>12</v>
      </c>
      <c r="F12" s="8">
        <v>10</v>
      </c>
      <c r="G12" s="8">
        <v>33</v>
      </c>
      <c r="H12" s="8">
        <v>14768</v>
      </c>
      <c r="I12" s="8">
        <f>SUM(D12:G12)</f>
        <v>70</v>
      </c>
      <c r="J12" s="9">
        <f>I12/H12</f>
        <v>4.7399783315276271E-3</v>
      </c>
    </row>
  </sheetData>
  <hyperlinks>
    <hyperlink ref="C5" r:id="rId1" xr:uid="{9A74F88C-90D9-463A-9FCC-CD4A5D748F54}"/>
    <hyperlink ref="C6" r:id="rId2" xr:uid="{953DBE67-49B3-486E-A7FC-BBB5B925F9CA}"/>
    <hyperlink ref="C7" r:id="rId3" xr:uid="{44D5666E-D507-4C28-86DA-8EC526A70254}"/>
    <hyperlink ref="C8" r:id="rId4" xr:uid="{4D35923A-6983-4B54-9639-4834EA39F05C}"/>
    <hyperlink ref="C9" r:id="rId5" xr:uid="{B445D021-2D3B-46FC-B137-B2462F3A178A}"/>
    <hyperlink ref="C10" r:id="rId6" xr:uid="{6CD1BF1F-801A-4610-87FC-4E2C00B0230D}"/>
    <hyperlink ref="C11" r:id="rId7" xr:uid="{D614296F-5F37-4A45-8EF2-1B26A59ADB9D}"/>
    <hyperlink ref="C12" r:id="rId8" xr:uid="{F58C2ABF-1009-4BB8-BA17-3D7DC3F568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Metrics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Case Problem 1</dc:title>
  <dc:creator>Your Name</dc:creator>
  <cp:lastModifiedBy>Patrick Carey</cp:lastModifiedBy>
  <dcterms:created xsi:type="dcterms:W3CDTF">2018-09-24T03:30:38Z</dcterms:created>
  <dcterms:modified xsi:type="dcterms:W3CDTF">2021-12-01T07:52:09Z</dcterms:modified>
</cp:coreProperties>
</file>
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770533B0-CAD3-454F-B3CF-908E60A450FF}" xr6:coauthVersionLast="46" xr6:coauthVersionMax="46" xr10:uidLastSave="{00000000-0000-0000-0000-000000000000}"/>
  <bookViews>
    <workbookView xWindow="-120" yWindow="-120" windowWidth="29040" windowHeight="15840" xr2:uid="{CD74C639-1085-40A2-803D-75B3769D919E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31" i="1"/>
  <c r="A30" i="1"/>
  <c r="A29" i="1"/>
  <c r="A28" i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</calcChain>
</file>

<file path=xl/sharedStrings.xml><?xml version="1.0" encoding="utf-8"?>
<sst xmlns="http://schemas.openxmlformats.org/spreadsheetml/2006/main" count="20" uniqueCount="19">
  <si>
    <t>Symbol</t>
  </si>
  <si>
    <t>Morning Star Rating</t>
  </si>
  <si>
    <t>Expense Ratio</t>
  </si>
  <si>
    <t>Inception</t>
  </si>
  <si>
    <t>Issuers</t>
  </si>
  <si>
    <t>Accounts</t>
  </si>
  <si>
    <t>Turnover</t>
  </si>
  <si>
    <t>Managers</t>
  </si>
  <si>
    <t>Share Class</t>
  </si>
  <si>
    <t>52-Week High</t>
  </si>
  <si>
    <t>30-Day Window</t>
  </si>
  <si>
    <t>Name</t>
  </si>
  <si>
    <t>52-Week Low</t>
  </si>
  <si>
    <t>SNRFD</t>
  </si>
  <si>
    <t>SNRFD Shares</t>
  </si>
  <si>
    <t>Sunrise Fund</t>
  </si>
  <si>
    <t>540+</t>
  </si>
  <si>
    <t>F-1</t>
  </si>
  <si>
    <t>SNRFD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</si>
</sst>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2" borderId="2" xfId="2" applyFont="1" applyBorder="1"/>
    <xf numFmtId="14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0" fontId="0" fillId="2" borderId="2" xfId="2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2" xfId="0" applyNumberFormat="1" applyBorder="1"/>
    <xf numFmtId="0" fontId="2" fillId="0" borderId="1" xfId="1" applyAlignment="1">
      <alignment horizontal="center"/>
    </xf>
  </cellXfs>
  <cellStyles count="3">
    <cellStyle name="40% - Accent2" xfId="2" builtinId="35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4D1-5759-4C74-8D90-544CE3F9A822}">
  <dimension ref="A1:P32"/>
  <sheetViews>
    <sheetView tabSelected="1" zoomScale="120" zoomScaleNormal="120" workbookViewId="0">
      <selection activeCell="A3" sqref="A3"/>
    </sheetView>
  </sheetViews>
  <sheetFormatPr defaultRowHeight="15" x14ac:dyDescent="0.25"/>
  <cols>
    <col min="1" max="3" width="16" customWidth="1"/>
    <col min="5" max="5" width="7.5703125" bestFit="1" customWidth="1"/>
    <col min="6" max="6" width="13.42578125" customWidth="1"/>
    <col min="7" max="7" width="18.5703125" bestFit="1" customWidth="1"/>
    <col min="8" max="8" width="13.5703125" bestFit="1" customWidth="1"/>
    <col min="9" max="9" width="10.28515625" bestFit="1" customWidth="1"/>
    <col min="10" max="10" width="7.140625" bestFit="1" customWidth="1"/>
    <col min="12" max="12" width="9" bestFit="1" customWidth="1"/>
    <col min="13" max="13" width="9.7109375" bestFit="1" customWidth="1"/>
    <col min="14" max="14" width="10.85546875" bestFit="1" customWidth="1"/>
    <col min="15" max="15" width="13.42578125" bestFit="1" customWidth="1"/>
    <col min="16" max="16" width="12.5703125" bestFit="1" customWidth="1"/>
  </cols>
  <sheetData>
    <row r="1" spans="1:16" ht="18" thickBot="1" x14ac:dyDescent="0.35">
      <c r="A1" s="10" t="s">
        <v>10</v>
      </c>
      <c r="B1" s="10"/>
      <c r="C1" s="10"/>
      <c r="E1" s="5" t="s">
        <v>0</v>
      </c>
      <c r="F1" s="5" t="s">
        <v>11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12</v>
      </c>
    </row>
    <row r="2" spans="1:16" ht="15.75" thickTop="1" x14ac:dyDescent="0.25">
      <c r="A2" s="1" t="s">
        <v>18</v>
      </c>
      <c r="B2" s="5" t="s">
        <v>13</v>
      </c>
      <c r="C2" s="5" t="s">
        <v>14</v>
      </c>
      <c r="E2" s="6" t="s">
        <v>13</v>
      </c>
      <c r="F2" s="6" t="s">
        <v>15</v>
      </c>
      <c r="G2" s="6">
        <v>5</v>
      </c>
      <c r="H2" s="7">
        <v>5.1000000000000004E-3</v>
      </c>
      <c r="I2" s="2">
        <v>34902</v>
      </c>
      <c r="J2" s="6" t="s">
        <v>16</v>
      </c>
      <c r="K2" s="4">
        <v>265180</v>
      </c>
      <c r="L2" s="8">
        <v>0.95</v>
      </c>
      <c r="M2" s="6">
        <v>7</v>
      </c>
      <c r="N2" s="6" t="s">
        <v>17</v>
      </c>
      <c r="O2" s="9">
        <v>34.28</v>
      </c>
      <c r="P2" s="9">
        <v>21.55</v>
      </c>
    </row>
    <row r="3" spans="1:16" x14ac:dyDescent="0.25">
      <c r="A3" s="2">
        <f t="shared" ref="A3:A31" si="0">WORKDAY(A4,1)</f>
        <v>45408</v>
      </c>
      <c r="B3" s="3">
        <v>30.25</v>
      </c>
      <c r="C3" s="4">
        <v>21364198.874966547</v>
      </c>
    </row>
    <row r="4" spans="1:16" x14ac:dyDescent="0.25">
      <c r="A4" s="2">
        <f t="shared" si="0"/>
        <v>45407</v>
      </c>
      <c r="B4" s="3">
        <v>30.89</v>
      </c>
      <c r="C4" s="4">
        <v>55967966.84645097</v>
      </c>
    </row>
    <row r="5" spans="1:16" x14ac:dyDescent="0.25">
      <c r="A5" s="2">
        <f t="shared" si="0"/>
        <v>45406</v>
      </c>
      <c r="B5" s="3">
        <v>32.01</v>
      </c>
      <c r="C5" s="4">
        <v>48158441.597704306</v>
      </c>
    </row>
    <row r="6" spans="1:16" x14ac:dyDescent="0.25">
      <c r="A6" s="2">
        <f t="shared" si="0"/>
        <v>45405</v>
      </c>
      <c r="B6" s="3">
        <v>32.200000000000003</v>
      </c>
      <c r="C6" s="4">
        <v>48501786.935414404</v>
      </c>
    </row>
    <row r="7" spans="1:16" x14ac:dyDescent="0.25">
      <c r="A7" s="2">
        <f t="shared" si="0"/>
        <v>45404</v>
      </c>
      <c r="B7" s="3">
        <v>32.880000000000003</v>
      </c>
      <c r="C7" s="4">
        <v>46614951.24887614</v>
      </c>
    </row>
    <row r="8" spans="1:16" x14ac:dyDescent="0.25">
      <c r="A8" s="2">
        <f t="shared" si="0"/>
        <v>45401</v>
      </c>
      <c r="B8" s="3">
        <v>32.729999999999997</v>
      </c>
      <c r="C8" s="4">
        <v>63512535.051053062</v>
      </c>
    </row>
    <row r="9" spans="1:16" x14ac:dyDescent="0.25">
      <c r="A9" s="2">
        <f t="shared" si="0"/>
        <v>45400</v>
      </c>
      <c r="B9" s="3">
        <v>33.36</v>
      </c>
      <c r="C9" s="4">
        <v>27729605.019894265</v>
      </c>
    </row>
    <row r="10" spans="1:16" x14ac:dyDescent="0.25">
      <c r="A10" s="2">
        <f t="shared" si="0"/>
        <v>45399</v>
      </c>
      <c r="B10" s="3">
        <v>33.36</v>
      </c>
      <c r="C10" s="4">
        <v>17518043.128408954</v>
      </c>
    </row>
    <row r="11" spans="1:16" x14ac:dyDescent="0.25">
      <c r="A11" s="2">
        <f t="shared" si="0"/>
        <v>45398</v>
      </c>
      <c r="B11" s="3">
        <v>32.630000000000003</v>
      </c>
      <c r="C11" s="4">
        <v>45424737.694804162</v>
      </c>
    </row>
    <row r="12" spans="1:16" x14ac:dyDescent="0.25">
      <c r="A12" s="2">
        <f t="shared" si="0"/>
        <v>45397</v>
      </c>
      <c r="B12" s="3">
        <v>33.049999999999997</v>
      </c>
      <c r="C12" s="4">
        <v>43336393.74535282</v>
      </c>
    </row>
    <row r="13" spans="1:16" x14ac:dyDescent="0.25">
      <c r="A13" s="2">
        <f t="shared" si="0"/>
        <v>45394</v>
      </c>
      <c r="B13" s="3">
        <v>33.25</v>
      </c>
      <c r="C13" s="4">
        <v>42477817.083022431</v>
      </c>
    </row>
    <row r="14" spans="1:16" x14ac:dyDescent="0.25">
      <c r="A14" s="2">
        <f t="shared" si="0"/>
        <v>45393</v>
      </c>
      <c r="B14" s="3">
        <v>32.950000000000003</v>
      </c>
      <c r="C14" s="4">
        <v>40768781.419403806</v>
      </c>
    </row>
    <row r="15" spans="1:16" x14ac:dyDescent="0.25">
      <c r="A15" s="2">
        <f t="shared" si="0"/>
        <v>45392</v>
      </c>
      <c r="B15" s="3">
        <v>32.590000000000003</v>
      </c>
      <c r="C15" s="4">
        <v>28940595.614296932</v>
      </c>
    </row>
    <row r="16" spans="1:16" x14ac:dyDescent="0.25">
      <c r="A16" s="2">
        <f t="shared" si="0"/>
        <v>45391</v>
      </c>
      <c r="B16" s="3">
        <v>32.57</v>
      </c>
      <c r="C16" s="4">
        <v>44877079.758194283</v>
      </c>
    </row>
    <row r="17" spans="1:3" x14ac:dyDescent="0.25">
      <c r="A17" s="2">
        <f t="shared" si="0"/>
        <v>45390</v>
      </c>
      <c r="B17" s="3">
        <v>31.84</v>
      </c>
      <c r="C17" s="4">
        <v>24076466.860923104</v>
      </c>
    </row>
    <row r="18" spans="1:3" x14ac:dyDescent="0.25">
      <c r="A18" s="2">
        <f t="shared" si="0"/>
        <v>45387</v>
      </c>
      <c r="B18" s="3">
        <v>31.39</v>
      </c>
      <c r="C18" s="4">
        <v>62254981.026426524</v>
      </c>
    </row>
    <row r="19" spans="1:3" x14ac:dyDescent="0.25">
      <c r="A19" s="2">
        <f t="shared" si="0"/>
        <v>45386</v>
      </c>
      <c r="B19" s="3">
        <v>32.35</v>
      </c>
      <c r="C19" s="4">
        <v>38396792.096809588</v>
      </c>
    </row>
    <row r="20" spans="1:3" x14ac:dyDescent="0.25">
      <c r="A20" s="2">
        <f t="shared" si="0"/>
        <v>45385</v>
      </c>
      <c r="B20" s="3">
        <v>32.28</v>
      </c>
      <c r="C20" s="4">
        <v>48042945.31409099</v>
      </c>
    </row>
    <row r="21" spans="1:3" x14ac:dyDescent="0.25">
      <c r="A21" s="2">
        <f t="shared" si="0"/>
        <v>45384</v>
      </c>
      <c r="B21" s="3">
        <v>31.85</v>
      </c>
      <c r="C21" s="4">
        <v>42711356.098638386</v>
      </c>
    </row>
    <row r="22" spans="1:3" x14ac:dyDescent="0.25">
      <c r="A22" s="2">
        <f t="shared" si="0"/>
        <v>45383</v>
      </c>
      <c r="B22" s="3">
        <v>32.22</v>
      </c>
      <c r="C22" s="4">
        <v>43950281.734479398</v>
      </c>
    </row>
    <row r="23" spans="1:3" x14ac:dyDescent="0.25">
      <c r="A23" s="2">
        <f t="shared" si="0"/>
        <v>45380</v>
      </c>
      <c r="B23" s="3">
        <v>31.52</v>
      </c>
      <c r="C23" s="4">
        <v>40509760.049912907</v>
      </c>
    </row>
    <row r="24" spans="1:3" x14ac:dyDescent="0.25">
      <c r="A24" s="2">
        <f t="shared" si="0"/>
        <v>45379</v>
      </c>
      <c r="B24" s="3">
        <v>31.49</v>
      </c>
      <c r="C24" s="4">
        <v>55053474.882197909</v>
      </c>
    </row>
    <row r="25" spans="1:3" x14ac:dyDescent="0.25">
      <c r="A25" s="2">
        <f t="shared" si="0"/>
        <v>45378</v>
      </c>
      <c r="B25" s="3">
        <v>31.24</v>
      </c>
      <c r="C25" s="4">
        <v>50159647.12137571</v>
      </c>
    </row>
    <row r="26" spans="1:3" x14ac:dyDescent="0.25">
      <c r="A26" s="2">
        <f t="shared" si="0"/>
        <v>45377</v>
      </c>
      <c r="B26" s="3">
        <v>31.23</v>
      </c>
      <c r="C26" s="4">
        <v>52848823.836396426</v>
      </c>
    </row>
    <row r="27" spans="1:3" x14ac:dyDescent="0.25">
      <c r="A27" s="2">
        <f t="shared" si="0"/>
        <v>45376</v>
      </c>
      <c r="B27" s="3">
        <v>30.76</v>
      </c>
      <c r="C27" s="4">
        <v>42909116.898033686</v>
      </c>
    </row>
    <row r="28" spans="1:3" x14ac:dyDescent="0.25">
      <c r="A28" s="2">
        <f t="shared" si="0"/>
        <v>45373</v>
      </c>
      <c r="B28" s="3">
        <v>31.04</v>
      </c>
      <c r="C28" s="4">
        <v>28269700.024676587</v>
      </c>
    </row>
    <row r="29" spans="1:3" x14ac:dyDescent="0.25">
      <c r="A29" s="2">
        <f t="shared" si="0"/>
        <v>45372</v>
      </c>
      <c r="B29" s="3">
        <v>31.34</v>
      </c>
      <c r="C29" s="4">
        <v>14241835.669286359</v>
      </c>
    </row>
    <row r="30" spans="1:3" x14ac:dyDescent="0.25">
      <c r="A30" s="2">
        <f t="shared" si="0"/>
        <v>45371</v>
      </c>
      <c r="B30" s="3">
        <v>31.52</v>
      </c>
      <c r="C30" s="4">
        <v>8039014.4027797282</v>
      </c>
    </row>
    <row r="31" spans="1:3" x14ac:dyDescent="0.25">
      <c r="A31" s="2">
        <f>WORKDAY(A32,1)</f>
        <v>45370</v>
      </c>
      <c r="B31" s="3">
        <v>32.01</v>
      </c>
      <c r="C31" s="4">
        <v>31900779.73985035</v>
      </c>
    </row>
    <row r="32" spans="1:3" x14ac:dyDescent="0.25">
      <c r="A32" s="2">
        <v>45369</v>
      </c>
      <c r="B32" s="3">
        <v>32.5</v>
      </c>
      <c r="C32" s="4">
        <v>57862195.627972886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2018-09-24T22:59:40Z</dcterms:created>
  <dcterms:modified xsi:type="dcterms:W3CDTF">2021-07-23T02:24:42Z</dcterms:modified>
</cp:coreProperties>
</file>
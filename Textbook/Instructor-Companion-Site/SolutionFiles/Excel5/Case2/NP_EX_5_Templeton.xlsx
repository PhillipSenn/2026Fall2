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801"/>
  <workbookPr/>
  <mc:AlternateContent xmlns:mc="http://schemas.openxmlformats.org/markup-compatibility/2006">
    <mc:Choice Requires="x15">
      <x15ac:absPath xmlns:x15ac="http://schemas.microsoft.com/office/spreadsheetml/2010/11/ac" url="C:\Users\patri\Documents\Projects\Active\Excel2022\Files_Solutions\Excel5\Case2\"/>
    </mc:Choice>
  </mc:AlternateContent>
  <xr:revisionPtr revIDLastSave="0" documentId="13_ncr:1_{5D5A7D74-0AB6-4095-8EEC-77FBF23D9874}" xr6:coauthVersionLast="46" xr6:coauthVersionMax="46" xr10:uidLastSave="{00000000-0000-0000-0000-000000000000}"/>
  <bookViews>
    <workbookView xWindow="-120" yWindow="-120" windowWidth="29040" windowHeight="15840" xr2:uid="{29A9382C-9411-4EC2-BAF3-F00F6C96F761}"/>
  </bookViews>
  <sheets>
    <sheet name="Documentation" sheetId="1" r:id="rId1"/>
    <sheet name="Statistics" sheetId="2" r:id="rId2"/>
    <sheet name="Fund Lookup" sheetId="4" r:id="rId3"/>
    <sheet name="30-Day Data" sheetId="3" r:id="rId4"/>
  </sheets>
  <externalReferences>
    <externalReference r:id="rId5"/>
    <externalReference r:id="rId6"/>
    <externalReference r:id="rId7"/>
    <externalReference r:id="rId8"/>
    <externalReference r:id="rId9"/>
  </externalReferences>
  <definedNames>
    <definedName name="AIF">'30-Day Data'!$H$4:$H$33</definedName>
    <definedName name="AIF_Date">'30-Day Data'!$G$4:$G$33</definedName>
    <definedName name="AIF_Shares">'30-Day Data'!$I$4:$I$33</definedName>
    <definedName name="Fund_Lookup">'Fund Lookup'!$A$3:$L$8</definedName>
    <definedName name="IHGF">'30-Day Data'!$N$4:$N$33</definedName>
    <definedName name="IHGF_Date">'30-Day Data'!$M$4:$M$33</definedName>
    <definedName name="IHGF_Shares">'30-Day Data'!$O$4:$O$33</definedName>
    <definedName name="LTDX">'30-Day Data'!$K$4:$K$33</definedName>
    <definedName name="LTDX_Date">'30-Day Data'!$J$4:$J$33</definedName>
    <definedName name="LTDX_Shares">'30-Day Data'!$L$4:$L$33</definedName>
    <definedName name="ORTFD">'30-Day Data'!$B$4:$B$33</definedName>
    <definedName name="ORTFD_Date">'30-Day Data'!$A$4:$A$33</definedName>
    <definedName name="ORTFD_Shares">'30-Day Data'!$C$4:$C$33</definedName>
    <definedName name="SNRFD">'30-Day Data'!$E$4:$E$33</definedName>
    <definedName name="SNRFD_Date">'30-Day Data'!$D$4:$D$33</definedName>
    <definedName name="SNRFD_Shares">'30-Day Data'!$F$4:$F$33</definedName>
    <definedName name="Symbol">Statistics!$B$4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6" i="4" l="1"/>
  <c r="C6" i="4"/>
  <c r="D6" i="4"/>
  <c r="E6" i="4"/>
  <c r="F6" i="4"/>
  <c r="G6" i="4"/>
  <c r="H6" i="4"/>
  <c r="I6" i="4"/>
  <c r="J6" i="4"/>
  <c r="K6" i="4"/>
  <c r="L6" i="4"/>
  <c r="A6" i="4"/>
  <c r="G3" i="3"/>
  <c r="H3" i="3"/>
  <c r="I3" i="3"/>
  <c r="G5" i="3"/>
  <c r="H5" i="3"/>
  <c r="I5" i="3"/>
  <c r="G6" i="3"/>
  <c r="H6" i="3"/>
  <c r="I6" i="3"/>
  <c r="G7" i="3"/>
  <c r="H7" i="3"/>
  <c r="I7" i="3"/>
  <c r="G8" i="3"/>
  <c r="H8" i="3"/>
  <c r="I8" i="3"/>
  <c r="G9" i="3"/>
  <c r="H9" i="3"/>
  <c r="I9" i="3"/>
  <c r="G10" i="3"/>
  <c r="H10" i="3"/>
  <c r="I10" i="3"/>
  <c r="G11" i="3"/>
  <c r="H11" i="3"/>
  <c r="I11" i="3"/>
  <c r="G12" i="3"/>
  <c r="H12" i="3"/>
  <c r="I12" i="3"/>
  <c r="G13" i="3"/>
  <c r="H13" i="3"/>
  <c r="I13" i="3"/>
  <c r="G14" i="3"/>
  <c r="H14" i="3"/>
  <c r="I14" i="3"/>
  <c r="G15" i="3"/>
  <c r="H15" i="3"/>
  <c r="I15" i="3"/>
  <c r="G16" i="3"/>
  <c r="H16" i="3"/>
  <c r="I16" i="3"/>
  <c r="G17" i="3"/>
  <c r="H17" i="3"/>
  <c r="I17" i="3"/>
  <c r="G18" i="3"/>
  <c r="H18" i="3"/>
  <c r="I18" i="3"/>
  <c r="G19" i="3"/>
  <c r="H19" i="3"/>
  <c r="I19" i="3"/>
  <c r="G20" i="3"/>
  <c r="H20" i="3"/>
  <c r="I20" i="3"/>
  <c r="G21" i="3"/>
  <c r="H21" i="3"/>
  <c r="I21" i="3"/>
  <c r="G22" i="3"/>
  <c r="H22" i="3"/>
  <c r="I22" i="3"/>
  <c r="G23" i="3"/>
  <c r="H23" i="3"/>
  <c r="I23" i="3"/>
  <c r="G24" i="3"/>
  <c r="H24" i="3"/>
  <c r="I24" i="3"/>
  <c r="G25" i="3"/>
  <c r="H25" i="3"/>
  <c r="I25" i="3"/>
  <c r="G26" i="3"/>
  <c r="H26" i="3"/>
  <c r="I26" i="3"/>
  <c r="G27" i="3"/>
  <c r="H27" i="3"/>
  <c r="I27" i="3"/>
  <c r="G28" i="3"/>
  <c r="H28" i="3"/>
  <c r="I28" i="3"/>
  <c r="G29" i="3"/>
  <c r="H29" i="3"/>
  <c r="I29" i="3"/>
  <c r="G30" i="3"/>
  <c r="H30" i="3"/>
  <c r="I30" i="3"/>
  <c r="G31" i="3"/>
  <c r="H31" i="3"/>
  <c r="I31" i="3"/>
  <c r="G32" i="3"/>
  <c r="H32" i="3"/>
  <c r="I32" i="3"/>
  <c r="G33" i="3"/>
  <c r="H33" i="3"/>
  <c r="I33" i="3"/>
  <c r="H4" i="3"/>
  <c r="I4" i="3"/>
  <c r="G4" i="3"/>
  <c r="F33" i="3"/>
  <c r="E33" i="3"/>
  <c r="D33" i="3"/>
  <c r="F32" i="3"/>
  <c r="E32" i="3"/>
  <c r="D32" i="3"/>
  <c r="F31" i="3"/>
  <c r="E31" i="3"/>
  <c r="D31" i="3"/>
  <c r="F30" i="3"/>
  <c r="E30" i="3"/>
  <c r="D30" i="3"/>
  <c r="F29" i="3"/>
  <c r="E29" i="3"/>
  <c r="D29" i="3"/>
  <c r="F28" i="3"/>
  <c r="E28" i="3"/>
  <c r="D28" i="3"/>
  <c r="F27" i="3"/>
  <c r="E27" i="3"/>
  <c r="D27" i="3"/>
  <c r="F26" i="3"/>
  <c r="E26" i="3"/>
  <c r="D26" i="3"/>
  <c r="F25" i="3"/>
  <c r="E25" i="3"/>
  <c r="D25" i="3"/>
  <c r="F24" i="3"/>
  <c r="E24" i="3"/>
  <c r="D24" i="3"/>
  <c r="F23" i="3"/>
  <c r="E23" i="3"/>
  <c r="D23" i="3"/>
  <c r="F22" i="3"/>
  <c r="E22" i="3"/>
  <c r="D22" i="3"/>
  <c r="F21" i="3"/>
  <c r="E21" i="3"/>
  <c r="D21" i="3"/>
  <c r="F20" i="3"/>
  <c r="E20" i="3"/>
  <c r="D20" i="3"/>
  <c r="F19" i="3"/>
  <c r="E19" i="3"/>
  <c r="D19" i="3"/>
  <c r="F18" i="3"/>
  <c r="E18" i="3"/>
  <c r="D18" i="3"/>
  <c r="F17" i="3"/>
  <c r="E17" i="3"/>
  <c r="D17" i="3"/>
  <c r="F16" i="3"/>
  <c r="E16" i="3"/>
  <c r="D16" i="3"/>
  <c r="F15" i="3"/>
  <c r="E15" i="3"/>
  <c r="D15" i="3"/>
  <c r="F14" i="3"/>
  <c r="E14" i="3"/>
  <c r="D14" i="3"/>
  <c r="F13" i="3"/>
  <c r="E13" i="3"/>
  <c r="D13" i="3"/>
  <c r="F12" i="3"/>
  <c r="E12" i="3"/>
  <c r="D12" i="3"/>
  <c r="F11" i="3"/>
  <c r="E11" i="3"/>
  <c r="D11" i="3"/>
  <c r="F10" i="3"/>
  <c r="E10" i="3"/>
  <c r="D10" i="3"/>
  <c r="F9" i="3"/>
  <c r="E9" i="3"/>
  <c r="D9" i="3"/>
  <c r="F8" i="3"/>
  <c r="E8" i="3"/>
  <c r="D8" i="3"/>
  <c r="F7" i="3"/>
  <c r="E7" i="3"/>
  <c r="D7" i="3"/>
  <c r="F6" i="3"/>
  <c r="E6" i="3"/>
  <c r="D6" i="3"/>
  <c r="F5" i="3"/>
  <c r="E5" i="3"/>
  <c r="D5" i="3"/>
  <c r="F4" i="3"/>
  <c r="E4" i="3"/>
  <c r="D4" i="3"/>
  <c r="F3" i="3"/>
  <c r="E3" i="3"/>
  <c r="D3" i="3"/>
  <c r="L5" i="4"/>
  <c r="K5" i="4"/>
  <c r="J5" i="4"/>
  <c r="I5" i="4"/>
  <c r="H5" i="4"/>
  <c r="G5" i="4"/>
  <c r="F5" i="4"/>
  <c r="E5" i="4"/>
  <c r="D5" i="4"/>
  <c r="C5" i="4"/>
  <c r="B5" i="4"/>
  <c r="A5" i="4"/>
  <c r="C33" i="3"/>
  <c r="B33" i="3"/>
  <c r="A33" i="3"/>
  <c r="C32" i="3"/>
  <c r="B32" i="3"/>
  <c r="A32" i="3"/>
  <c r="C31" i="3"/>
  <c r="B31" i="3"/>
  <c r="A31" i="3"/>
  <c r="C30" i="3"/>
  <c r="B30" i="3"/>
  <c r="A30" i="3"/>
  <c r="C29" i="3"/>
  <c r="B29" i="3"/>
  <c r="A29" i="3"/>
  <c r="C28" i="3"/>
  <c r="B28" i="3"/>
  <c r="A28" i="3"/>
  <c r="C27" i="3"/>
  <c r="B27" i="3"/>
  <c r="A27" i="3"/>
  <c r="C26" i="3"/>
  <c r="B26" i="3"/>
  <c r="A26" i="3"/>
  <c r="C25" i="3"/>
  <c r="B25" i="3"/>
  <c r="A25" i="3"/>
  <c r="C24" i="3"/>
  <c r="B24" i="3"/>
  <c r="A24" i="3"/>
  <c r="C23" i="3"/>
  <c r="B23" i="3"/>
  <c r="A23" i="3"/>
  <c r="C22" i="3"/>
  <c r="B22" i="3"/>
  <c r="A22" i="3"/>
  <c r="C21" i="3"/>
  <c r="B21" i="3"/>
  <c r="A21" i="3"/>
  <c r="C20" i="3"/>
  <c r="B20" i="3"/>
  <c r="A20" i="3"/>
  <c r="C19" i="3"/>
  <c r="B19" i="3"/>
  <c r="A19" i="3"/>
  <c r="C18" i="3"/>
  <c r="B18" i="3"/>
  <c r="A18" i="3"/>
  <c r="C17" i="3"/>
  <c r="B17" i="3"/>
  <c r="A17" i="3"/>
  <c r="C16" i="3"/>
  <c r="B16" i="3"/>
  <c r="A16" i="3"/>
  <c r="C15" i="3"/>
  <c r="B15" i="3"/>
  <c r="A15" i="3"/>
  <c r="C14" i="3"/>
  <c r="B14" i="3"/>
  <c r="A14" i="3"/>
  <c r="C13" i="3"/>
  <c r="B13" i="3"/>
  <c r="A13" i="3"/>
  <c r="C12" i="3"/>
  <c r="B12" i="3"/>
  <c r="A12" i="3"/>
  <c r="C11" i="3"/>
  <c r="B11" i="3"/>
  <c r="A11" i="3"/>
  <c r="C10" i="3"/>
  <c r="B10" i="3"/>
  <c r="A10" i="3"/>
  <c r="C9" i="3"/>
  <c r="B9" i="3"/>
  <c r="A9" i="3"/>
  <c r="C8" i="3"/>
  <c r="B8" i="3"/>
  <c r="A8" i="3"/>
  <c r="C7" i="3"/>
  <c r="B7" i="3"/>
  <c r="A7" i="3"/>
  <c r="C6" i="3"/>
  <c r="B6" i="3"/>
  <c r="A6" i="3"/>
  <c r="C5" i="3"/>
  <c r="B5" i="3"/>
  <c r="A5" i="3"/>
  <c r="C4" i="3"/>
  <c r="B4" i="3"/>
  <c r="A4" i="3"/>
  <c r="C3" i="3"/>
  <c r="B3" i="3"/>
  <c r="A3" i="3"/>
  <c r="L4" i="4"/>
  <c r="K4" i="4"/>
  <c r="J4" i="4"/>
  <c r="I4" i="4"/>
  <c r="H4" i="4"/>
  <c r="G4" i="4"/>
  <c r="F4" i="4"/>
  <c r="E4" i="4"/>
  <c r="D4" i="4"/>
  <c r="C4" i="4"/>
  <c r="B4" i="4"/>
  <c r="A4" i="4"/>
  <c r="O33" i="3"/>
  <c r="N33" i="3"/>
  <c r="M33" i="3"/>
  <c r="O32" i="3"/>
  <c r="N32" i="3"/>
  <c r="M32" i="3"/>
  <c r="O31" i="3"/>
  <c r="N31" i="3"/>
  <c r="M31" i="3"/>
  <c r="O30" i="3"/>
  <c r="N30" i="3"/>
  <c r="M30" i="3"/>
  <c r="O29" i="3"/>
  <c r="N29" i="3"/>
  <c r="M29" i="3"/>
  <c r="O28" i="3"/>
  <c r="N28" i="3"/>
  <c r="M28" i="3"/>
  <c r="O27" i="3"/>
  <c r="N27" i="3"/>
  <c r="M27" i="3"/>
  <c r="O26" i="3"/>
  <c r="N26" i="3"/>
  <c r="M26" i="3"/>
  <c r="O25" i="3"/>
  <c r="N25" i="3"/>
  <c r="M25" i="3"/>
  <c r="O24" i="3"/>
  <c r="N24" i="3"/>
  <c r="M24" i="3"/>
  <c r="O23" i="3"/>
  <c r="N23" i="3"/>
  <c r="M23" i="3"/>
  <c r="O22" i="3"/>
  <c r="N22" i="3"/>
  <c r="M22" i="3"/>
  <c r="O21" i="3"/>
  <c r="N21" i="3"/>
  <c r="M21" i="3"/>
  <c r="O20" i="3"/>
  <c r="N20" i="3"/>
  <c r="M20" i="3"/>
  <c r="O19" i="3"/>
  <c r="N19" i="3"/>
  <c r="M19" i="3"/>
  <c r="O18" i="3"/>
  <c r="N18" i="3"/>
  <c r="M18" i="3"/>
  <c r="O17" i="3"/>
  <c r="N17" i="3"/>
  <c r="M17" i="3"/>
  <c r="O16" i="3"/>
  <c r="N16" i="3"/>
  <c r="M16" i="3"/>
  <c r="O15" i="3"/>
  <c r="N15" i="3"/>
  <c r="M15" i="3"/>
  <c r="O14" i="3"/>
  <c r="N14" i="3"/>
  <c r="M14" i="3"/>
  <c r="O13" i="3"/>
  <c r="N13" i="3"/>
  <c r="M13" i="3"/>
  <c r="O12" i="3"/>
  <c r="N12" i="3"/>
  <c r="M12" i="3"/>
  <c r="O11" i="3"/>
  <c r="N11" i="3"/>
  <c r="M11" i="3"/>
  <c r="O10" i="3"/>
  <c r="N10" i="3"/>
  <c r="M10" i="3"/>
  <c r="O9" i="3"/>
  <c r="N9" i="3"/>
  <c r="M9" i="3"/>
  <c r="O8" i="3"/>
  <c r="N8" i="3"/>
  <c r="M8" i="3"/>
  <c r="O7" i="3"/>
  <c r="N7" i="3"/>
  <c r="M7" i="3"/>
  <c r="O6" i="3"/>
  <c r="N6" i="3"/>
  <c r="M6" i="3"/>
  <c r="O5" i="3"/>
  <c r="N5" i="3"/>
  <c r="M5" i="3"/>
  <c r="O4" i="3"/>
  <c r="N4" i="3"/>
  <c r="M4" i="3"/>
  <c r="O3" i="3"/>
  <c r="N3" i="3"/>
  <c r="M3" i="3"/>
  <c r="L8" i="4"/>
  <c r="K8" i="4"/>
  <c r="J8" i="4"/>
  <c r="I8" i="4"/>
  <c r="H8" i="4"/>
  <c r="G8" i="4"/>
  <c r="F8" i="4"/>
  <c r="E8" i="4"/>
  <c r="D8" i="4"/>
  <c r="C8" i="4"/>
  <c r="B8" i="4"/>
  <c r="A8" i="4"/>
  <c r="L33" i="3"/>
  <c r="K33" i="3"/>
  <c r="J33" i="3"/>
  <c r="L32" i="3"/>
  <c r="K32" i="3"/>
  <c r="J32" i="3"/>
  <c r="L31" i="3"/>
  <c r="K31" i="3"/>
  <c r="J31" i="3"/>
  <c r="L30" i="3"/>
  <c r="K30" i="3"/>
  <c r="J30" i="3"/>
  <c r="L29" i="3"/>
  <c r="K29" i="3"/>
  <c r="J29" i="3"/>
  <c r="L28" i="3"/>
  <c r="K28" i="3"/>
  <c r="J28" i="3"/>
  <c r="L27" i="3"/>
  <c r="K27" i="3"/>
  <c r="J27" i="3"/>
  <c r="L26" i="3"/>
  <c r="K26" i="3"/>
  <c r="J26" i="3"/>
  <c r="L25" i="3"/>
  <c r="K25" i="3"/>
  <c r="J25" i="3"/>
  <c r="L24" i="3"/>
  <c r="K24" i="3"/>
  <c r="J24" i="3"/>
  <c r="L23" i="3"/>
  <c r="K23" i="3"/>
  <c r="J23" i="3"/>
  <c r="L22" i="3"/>
  <c r="K22" i="3"/>
  <c r="J22" i="3"/>
  <c r="L21" i="3"/>
  <c r="K21" i="3"/>
  <c r="J21" i="3"/>
  <c r="L20" i="3"/>
  <c r="K20" i="3"/>
  <c r="J20" i="3"/>
  <c r="L19" i="3"/>
  <c r="K19" i="3"/>
  <c r="J19" i="3"/>
  <c r="L18" i="3"/>
  <c r="K18" i="3"/>
  <c r="J18" i="3"/>
  <c r="L17" i="3"/>
  <c r="K17" i="3"/>
  <c r="J17" i="3"/>
  <c r="L16" i="3"/>
  <c r="K16" i="3"/>
  <c r="J16" i="3"/>
  <c r="L15" i="3"/>
  <c r="K15" i="3"/>
  <c r="J15" i="3"/>
  <c r="L14" i="3"/>
  <c r="K14" i="3"/>
  <c r="J14" i="3"/>
  <c r="L13" i="3"/>
  <c r="K13" i="3"/>
  <c r="J13" i="3"/>
  <c r="L12" i="3"/>
  <c r="K12" i="3"/>
  <c r="J12" i="3"/>
  <c r="L11" i="3"/>
  <c r="K11" i="3"/>
  <c r="J11" i="3"/>
  <c r="L10" i="3"/>
  <c r="K10" i="3"/>
  <c r="J10" i="3"/>
  <c r="L9" i="3"/>
  <c r="K9" i="3"/>
  <c r="J9" i="3"/>
  <c r="L8" i="3"/>
  <c r="K8" i="3"/>
  <c r="J8" i="3"/>
  <c r="L7" i="3"/>
  <c r="K7" i="3"/>
  <c r="J7" i="3"/>
  <c r="L6" i="3"/>
  <c r="K6" i="3"/>
  <c r="J6" i="3"/>
  <c r="L5" i="3"/>
  <c r="K5" i="3"/>
  <c r="J5" i="3"/>
  <c r="L4" i="3"/>
  <c r="K4" i="3"/>
  <c r="J4" i="3"/>
  <c r="L3" i="3"/>
  <c r="K3" i="3"/>
  <c r="J3" i="3"/>
  <c r="L7" i="4"/>
  <c r="K7" i="4"/>
  <c r="J7" i="4"/>
  <c r="I7" i="4"/>
  <c r="H7" i="4"/>
  <c r="G7" i="4"/>
  <c r="F7" i="4"/>
  <c r="E7" i="4"/>
  <c r="D7" i="4"/>
  <c r="C7" i="4"/>
  <c r="B7" i="4"/>
  <c r="A7" i="4"/>
  <c r="B15" i="2" l="1"/>
  <c r="B9" i="2"/>
  <c r="B7" i="2"/>
  <c r="B14" i="2"/>
  <c r="B4" i="1"/>
  <c r="B21" i="2"/>
  <c r="B20" i="2"/>
  <c r="B19" i="2"/>
  <c r="B18" i="2"/>
  <c r="B8" i="2" l="1"/>
  <c r="B10" i="2"/>
  <c r="B11" i="2"/>
  <c r="B12" i="2"/>
  <c r="B5" i="2"/>
  <c r="B13" i="2"/>
  <c r="B6" i="2"/>
</calcChain>
</file>

<file path=xl/sharedStrings.xml><?xml version="1.0" encoding="utf-8"?>
<sst xmlns="http://schemas.openxmlformats.org/spreadsheetml/2006/main" count="76" uniqueCount="59">
  <si>
    <t>Author</t>
  </si>
  <si>
    <t>Date</t>
  </si>
  <si>
    <t>Purpose</t>
  </si>
  <si>
    <t>Templeton Investments</t>
  </si>
  <si>
    <t>To generate summary statistics on investment fund data retrieved from external workbooks</t>
  </si>
  <si>
    <t>Symbol</t>
  </si>
  <si>
    <t>Overview</t>
  </si>
  <si>
    <t>Name</t>
  </si>
  <si>
    <t>Morning Star Rating</t>
  </si>
  <si>
    <t>Expense Ratio</t>
  </si>
  <si>
    <t>Inception</t>
  </si>
  <si>
    <t>Issuers</t>
  </si>
  <si>
    <t>Accounts</t>
  </si>
  <si>
    <t>Turnover</t>
  </si>
  <si>
    <t>Managers</t>
  </si>
  <si>
    <t>Share Class</t>
  </si>
  <si>
    <t>52-Week High</t>
  </si>
  <si>
    <t>52-Week Low</t>
  </si>
  <si>
    <t>30-Day Summary</t>
  </si>
  <si>
    <t>30-Day Low</t>
  </si>
  <si>
    <t>30-Day High</t>
  </si>
  <si>
    <t>30-Day Average</t>
  </si>
  <si>
    <t>Average Shares</t>
  </si>
  <si>
    <t>Enter ORTFD, SNRFD, AIF, LTDX, or IHGF</t>
  </si>
  <si>
    <t>Named Ranges</t>
  </si>
  <si>
    <t>John Riegel</t>
  </si>
  <si>
    <t>IHGF</t>
  </si>
  <si>
    <t>ORTFD</t>
  </si>
  <si>
    <t>SNRFD</t>
  </si>
  <si>
    <t>AIF</t>
  </si>
  <si>
    <t>LTDX</t>
  </si>
  <si>
    <t>='30-Day Data'!$H$4:$H$33</t>
  </si>
  <si>
    <t>AIF_Date</t>
  </si>
  <si>
    <t>='30-Day Data'!$G$4:$G$33</t>
  </si>
  <si>
    <t>AIF_Shares</t>
  </si>
  <si>
    <t>='30-Day Data'!$I$4:$I$33</t>
  </si>
  <si>
    <t>Fund_Lookup</t>
  </si>
  <si>
    <t>='Fund Lookup'!$A$3:$L$8</t>
  </si>
  <si>
    <t>='30-Day Data'!$N$4:$N$33</t>
  </si>
  <si>
    <t>IHGF_Date</t>
  </si>
  <si>
    <t>='30-Day Data'!$M$4:$M$33</t>
  </si>
  <si>
    <t>IHGF_Shares</t>
  </si>
  <si>
    <t>='30-Day Data'!$O$4:$O$33</t>
  </si>
  <si>
    <t>='30-Day Data'!$K$4:$K$33</t>
  </si>
  <si>
    <t>LTDX_Date</t>
  </si>
  <si>
    <t>='30-Day Data'!$J$4:$J$33</t>
  </si>
  <si>
    <t>LTDX_Shares</t>
  </si>
  <si>
    <t>='30-Day Data'!$L$4:$L$33</t>
  </si>
  <si>
    <t>='30-Day Data'!$B$4:$B$33</t>
  </si>
  <si>
    <t>ORTFD_Date</t>
  </si>
  <si>
    <t>='30-Day Data'!$A$4:$A$33</t>
  </si>
  <si>
    <t>ORTFD_Shares</t>
  </si>
  <si>
    <t>='30-Day Data'!$C$4:$C$33</t>
  </si>
  <si>
    <t>='30-Day Data'!$E$4:$E$33</t>
  </si>
  <si>
    <t>SNRFD_Date</t>
  </si>
  <si>
    <t>='30-Day Data'!$D$4:$D$33</t>
  </si>
  <si>
    <t>SNRFD_Shares</t>
  </si>
  <si>
    <t>='30-Day Data'!$F$4:$F$33</t>
  </si>
  <si>
    <t>=Statistics!$B$4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</si>
</sst>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(* #,##0_);_(* \(#,##0\);_(* &quot;-&quot;??_);_(@_)"/>
    <numFmt numFmtId="165" formatCode="&quot;$&quot;#,##0.00"/>
  </numFmts>
  <fonts count="1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3"/>
      <color theme="3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theme="0"/>
      <name val="Calibri"/>
      <family val="2"/>
      <scheme val="minor"/>
    </font>
    <font>
      <sz val="12"/>
      <color theme="7"/>
      <name val="Calibri"/>
      <family val="2"/>
      <scheme val="minor"/>
    </font>
    <font>
      <sz val="22"/>
      <color theme="7"/>
      <name val="Bauhaus 93"/>
      <family val="5"/>
    </font>
    <font>
      <sz val="12"/>
      <color theme="0"/>
      <name val="Calibri"/>
      <family val="2"/>
      <scheme val="minor"/>
    </font>
    <font>
      <b/>
      <sz val="13"/>
      <color theme="7"/>
      <name val="Calibri"/>
      <family val="2"/>
      <scheme val="minor"/>
    </font>
    <font>
      <i/>
      <sz val="11"/>
      <color theme="9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5" tint="0.59999389629810485"/>
        <bgColor indexed="65"/>
      </patternFill>
    </fill>
    <fill>
      <patternFill patternType="solid">
        <fgColor theme="7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 tint="0.59999389629810485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 tint="0.49998474074526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7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2" fillId="0" borderId="1" applyNumberFormat="0" applyFill="0" applyAlignment="0" applyProtection="0"/>
    <xf numFmtId="0" fontId="3" fillId="0" borderId="0" applyNumberFormat="0" applyFill="0" applyBorder="0" applyAlignment="0" applyProtection="0"/>
    <xf numFmtId="0" fontId="1" fillId="2" borderId="0" applyNumberFormat="0" applyBorder="0" applyAlignment="0" applyProtection="0"/>
  </cellStyleXfs>
  <cellXfs count="30">
    <xf numFmtId="0" fontId="0" fillId="0" borderId="0" xfId="0"/>
    <xf numFmtId="0" fontId="6" fillId="0" borderId="0" xfId="0" applyFont="1"/>
    <xf numFmtId="0" fontId="7" fillId="3" borderId="2" xfId="0" applyFont="1" applyFill="1" applyBorder="1" applyAlignment="1">
      <alignment horizontal="left" vertical="top" wrapText="1"/>
    </xf>
    <xf numFmtId="0" fontId="5" fillId="5" borderId="2" xfId="0" applyFont="1" applyFill="1" applyBorder="1" applyAlignment="1">
      <alignment horizontal="left" vertical="top" wrapText="1"/>
    </xf>
    <xf numFmtId="14" fontId="5" fillId="5" borderId="2" xfId="0" applyNumberFormat="1" applyFont="1" applyFill="1" applyBorder="1" applyAlignment="1">
      <alignment horizontal="left" vertical="top" wrapText="1"/>
    </xf>
    <xf numFmtId="0" fontId="4" fillId="3" borderId="4" xfId="0" applyFont="1" applyFill="1" applyBorder="1" applyAlignment="1">
      <alignment horizontal="left" indent="1"/>
    </xf>
    <xf numFmtId="0" fontId="4" fillId="3" borderId="6" xfId="0" applyFont="1" applyFill="1" applyBorder="1" applyAlignment="1">
      <alignment horizontal="left" indent="1"/>
    </xf>
    <xf numFmtId="0" fontId="4" fillId="3" borderId="8" xfId="0" applyFont="1" applyFill="1" applyBorder="1" applyAlignment="1">
      <alignment horizontal="left" indent="1"/>
    </xf>
    <xf numFmtId="0" fontId="0" fillId="2" borderId="2" xfId="6" applyFont="1" applyBorder="1" applyAlignment="1">
      <alignment horizontal="center"/>
    </xf>
    <xf numFmtId="0" fontId="0" fillId="0" borderId="2" xfId="0" applyBorder="1"/>
    <xf numFmtId="10" fontId="0" fillId="0" borderId="2" xfId="3" applyNumberFormat="1" applyFont="1" applyBorder="1"/>
    <xf numFmtId="164" fontId="0" fillId="0" borderId="2" xfId="1" applyNumberFormat="1" applyFont="1" applyBorder="1"/>
    <xf numFmtId="9" fontId="0" fillId="0" borderId="2" xfId="3" applyFont="1" applyBorder="1"/>
    <xf numFmtId="165" fontId="0" fillId="0" borderId="2" xfId="2" applyNumberFormat="1" applyFont="1" applyBorder="1"/>
    <xf numFmtId="14" fontId="0" fillId="0" borderId="2" xfId="0" applyNumberFormat="1" applyBorder="1"/>
    <xf numFmtId="165" fontId="0" fillId="0" borderId="2" xfId="0" applyNumberFormat="1" applyBorder="1"/>
    <xf numFmtId="3" fontId="0" fillId="0" borderId="2" xfId="0" applyNumberFormat="1" applyBorder="1"/>
    <xf numFmtId="0" fontId="0" fillId="4" borderId="7" xfId="0" applyFill="1" applyBorder="1" applyAlignment="1">
      <alignment horizontal="left" indent="1"/>
    </xf>
    <xf numFmtId="10" fontId="0" fillId="4" borderId="7" xfId="3" applyNumberFormat="1" applyFont="1" applyFill="1" applyBorder="1" applyAlignment="1">
      <alignment horizontal="left" indent="1"/>
    </xf>
    <xf numFmtId="14" fontId="0" fillId="4" borderId="7" xfId="0" applyNumberFormat="1" applyFill="1" applyBorder="1" applyAlignment="1">
      <alignment horizontal="left" indent="1"/>
    </xf>
    <xf numFmtId="9" fontId="0" fillId="4" borderId="7" xfId="3" applyFont="1" applyFill="1" applyBorder="1" applyAlignment="1">
      <alignment horizontal="left" indent="1"/>
    </xf>
    <xf numFmtId="165" fontId="0" fillId="4" borderId="7" xfId="0" applyNumberFormat="1" applyFill="1" applyBorder="1" applyAlignment="1">
      <alignment horizontal="left" indent="1"/>
    </xf>
    <xf numFmtId="165" fontId="0" fillId="4" borderId="9" xfId="0" applyNumberFormat="1" applyFill="1" applyBorder="1" applyAlignment="1">
      <alignment horizontal="left" indent="1"/>
    </xf>
    <xf numFmtId="3" fontId="0" fillId="4" borderId="7" xfId="1" applyNumberFormat="1" applyFont="1" applyFill="1" applyBorder="1" applyAlignment="1">
      <alignment horizontal="left" indent="1"/>
    </xf>
    <xf numFmtId="165" fontId="0" fillId="4" borderId="5" xfId="0" applyNumberFormat="1" applyFill="1" applyBorder="1" applyAlignment="1">
      <alignment horizontal="left" indent="1"/>
    </xf>
    <xf numFmtId="3" fontId="0" fillId="4" borderId="9" xfId="1" applyNumberFormat="1" applyFont="1" applyFill="1" applyBorder="1" applyAlignment="1">
      <alignment horizontal="left" indent="1"/>
    </xf>
    <xf numFmtId="0" fontId="9" fillId="0" borderId="0" xfId="5" applyFont="1"/>
    <xf numFmtId="0" fontId="0" fillId="6" borderId="3" xfId="0" applyFill="1" applyBorder="1" applyAlignment="1">
      <alignment horizontal="left" indent="1"/>
    </xf>
    <xf numFmtId="0" fontId="7" fillId="3" borderId="0" xfId="0" applyFont="1" applyFill="1" applyBorder="1" applyAlignment="1">
      <alignment horizontal="center" vertical="top" wrapText="1"/>
    </xf>
    <xf numFmtId="0" fontId="8" fillId="0" borderId="0" xfId="4" applyFont="1" applyBorder="1" applyAlignment="1">
      <alignment horizontal="center"/>
    </xf>
  </cellXfs>
  <cellStyles count="7">
    <cellStyle name="40% - Accent2" xfId="6" builtinId="35"/>
    <cellStyle name="Comma" xfId="1" builtinId="3"/>
    <cellStyle name="Currency" xfId="2" builtinId="4"/>
    <cellStyle name="Explanatory Text" xfId="5" builtinId="53"/>
    <cellStyle name="Heading 2" xfId="4" builtinId="17"/>
    <cellStyle name="Normal" xfId="0" builtinId="0"/>
    <cellStyle name="Percent" xfId="3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4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3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2.xml"/><Relationship Id="rId11" Type="http://schemas.openxmlformats.org/officeDocument/2006/relationships/styles" Target="styles.xml"/><Relationship Id="rId5" Type="http://schemas.openxmlformats.org/officeDocument/2006/relationships/externalLink" Target="externalLinks/externalLink1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95250</xdr:colOff>
      <xdr:row>3</xdr:row>
      <xdr:rowOff>23812</xdr:rowOff>
    </xdr:from>
    <xdr:to>
      <xdr:col>2</xdr:col>
      <xdr:colOff>404813</xdr:colOff>
      <xdr:row>4</xdr:row>
      <xdr:rowOff>0</xdr:rowOff>
    </xdr:to>
    <xdr:sp macro="" textlink="">
      <xdr:nvSpPr>
        <xdr:cNvPr id="2" name="Arrow: Left 1">
          <a:extLst>
            <a:ext uri="{FF2B5EF4-FFF2-40B4-BE49-F238E27FC236}">
              <a16:creationId xmlns:a16="http://schemas.microsoft.com/office/drawing/2014/main" id="{C738068B-C7FC-437B-B166-63EEB3A66574}"/>
            </a:ext>
          </a:extLst>
        </xdr:cNvPr>
        <xdr:cNvSpPr/>
      </xdr:nvSpPr>
      <xdr:spPr>
        <a:xfrm>
          <a:off x="3905250" y="873125"/>
          <a:ext cx="309563" cy="166688"/>
        </a:xfrm>
        <a:prstGeom prst="leftArrow">
          <a:avLst/>
        </a:prstGeom>
      </xdr:spPr>
      <xdr:style>
        <a:lnRef idx="2">
          <a:schemeClr val="accent6">
            <a:shade val="50000"/>
          </a:schemeClr>
        </a:lnRef>
        <a:fillRef idx="1">
          <a:schemeClr val="accent6"/>
        </a:fillRef>
        <a:effectRef idx="0">
          <a:schemeClr val="accent6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Support_EX_5_Fund01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Support_EX_5_Fund02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Support_EX_5_Fund04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Support_EX_5_Fund05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Support_EX_5_Fund03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ummary"/>
      <sheetName val="Support_EX_5_Fund01"/>
    </sheetNames>
    <sheetDataSet>
      <sheetData sheetId="0">
        <row r="2">
          <cell r="A2" t="str">
            <v>ORTFD Date</v>
          </cell>
          <cell r="B2" t="str">
            <v>ORTFD</v>
          </cell>
          <cell r="C2" t="str">
            <v>ORTFD Shares</v>
          </cell>
          <cell r="E2" t="str">
            <v>ORTFD</v>
          </cell>
          <cell r="F2" t="str">
            <v>Ortus Fund</v>
          </cell>
          <cell r="G2">
            <v>3</v>
          </cell>
          <cell r="H2">
            <v>4.4999999999999997E-3</v>
          </cell>
          <cell r="I2">
            <v>36022</v>
          </cell>
          <cell r="J2" t="str">
            <v>395+</v>
          </cell>
          <cell r="K2">
            <v>178478</v>
          </cell>
          <cell r="L2">
            <v>0.68</v>
          </cell>
          <cell r="M2">
            <v>4</v>
          </cell>
          <cell r="N2" t="str">
            <v>F-2</v>
          </cell>
          <cell r="O2">
            <v>45.28</v>
          </cell>
          <cell r="P2">
            <v>37.26</v>
          </cell>
        </row>
        <row r="3">
          <cell r="A3">
            <v>45408</v>
          </cell>
          <cell r="B3">
            <v>42.62</v>
          </cell>
          <cell r="C3">
            <v>27786842</v>
          </cell>
        </row>
        <row r="4">
          <cell r="A4">
            <v>45407</v>
          </cell>
          <cell r="B4">
            <v>42.57</v>
          </cell>
          <cell r="C4">
            <v>55050917</v>
          </cell>
        </row>
        <row r="5">
          <cell r="A5">
            <v>45406</v>
          </cell>
          <cell r="B5">
            <v>42.66</v>
          </cell>
          <cell r="C5">
            <v>47436713</v>
          </cell>
        </row>
        <row r="6">
          <cell r="A6">
            <v>45405</v>
          </cell>
          <cell r="B6">
            <v>42.83</v>
          </cell>
          <cell r="C6">
            <v>34573745</v>
          </cell>
        </row>
        <row r="7">
          <cell r="A7">
            <v>45404</v>
          </cell>
          <cell r="B7">
            <v>43.36</v>
          </cell>
          <cell r="C7">
            <v>39279594</v>
          </cell>
        </row>
        <row r="8">
          <cell r="A8">
            <v>45401</v>
          </cell>
          <cell r="B8">
            <v>43.26</v>
          </cell>
          <cell r="C8">
            <v>43377797</v>
          </cell>
        </row>
        <row r="9">
          <cell r="A9">
            <v>45400</v>
          </cell>
          <cell r="B9">
            <v>43.39</v>
          </cell>
          <cell r="C9">
            <v>44511498</v>
          </cell>
        </row>
        <row r="10">
          <cell r="A10">
            <v>45399</v>
          </cell>
          <cell r="B10">
            <v>43.55</v>
          </cell>
          <cell r="C10">
            <v>56107531</v>
          </cell>
        </row>
        <row r="11">
          <cell r="A11">
            <v>45398</v>
          </cell>
          <cell r="B11">
            <v>43.86</v>
          </cell>
          <cell r="C11">
            <v>48384008</v>
          </cell>
        </row>
        <row r="12">
          <cell r="A12">
            <v>45397</v>
          </cell>
          <cell r="B12">
            <v>44.04</v>
          </cell>
          <cell r="C12">
            <v>40563737</v>
          </cell>
        </row>
        <row r="13">
          <cell r="A13">
            <v>45394</v>
          </cell>
          <cell r="B13">
            <v>44</v>
          </cell>
          <cell r="C13">
            <v>47410027</v>
          </cell>
        </row>
        <row r="14">
          <cell r="A14">
            <v>45393</v>
          </cell>
          <cell r="B14">
            <v>43.85</v>
          </cell>
          <cell r="C14">
            <v>51701667</v>
          </cell>
        </row>
        <row r="15">
          <cell r="A15">
            <v>45392</v>
          </cell>
          <cell r="B15">
            <v>43.64</v>
          </cell>
          <cell r="C15">
            <v>34682930</v>
          </cell>
        </row>
        <row r="16">
          <cell r="A16">
            <v>45391</v>
          </cell>
          <cell r="B16">
            <v>43.87</v>
          </cell>
          <cell r="C16">
            <v>29754820</v>
          </cell>
        </row>
        <row r="17">
          <cell r="A17">
            <v>45390</v>
          </cell>
          <cell r="B17">
            <v>44.03</v>
          </cell>
          <cell r="C17">
            <v>35884767</v>
          </cell>
        </row>
        <row r="18">
          <cell r="A18">
            <v>45387</v>
          </cell>
          <cell r="B18">
            <v>43.71</v>
          </cell>
          <cell r="C18">
            <v>58788323</v>
          </cell>
        </row>
        <row r="19">
          <cell r="A19">
            <v>45386</v>
          </cell>
          <cell r="B19">
            <v>43.69</v>
          </cell>
          <cell r="C19">
            <v>44657382</v>
          </cell>
        </row>
        <row r="20">
          <cell r="A20">
            <v>45385</v>
          </cell>
          <cell r="B20">
            <v>43.8</v>
          </cell>
          <cell r="C20">
            <v>51316576</v>
          </cell>
        </row>
        <row r="21">
          <cell r="A21">
            <v>45384</v>
          </cell>
          <cell r="B21">
            <v>44.32</v>
          </cell>
          <cell r="C21">
            <v>45693277</v>
          </cell>
        </row>
        <row r="22">
          <cell r="A22">
            <v>45383</v>
          </cell>
          <cell r="B22">
            <v>44.28</v>
          </cell>
          <cell r="C22">
            <v>36867496</v>
          </cell>
        </row>
        <row r="23">
          <cell r="A23">
            <v>45380</v>
          </cell>
          <cell r="B23">
            <v>44.11</v>
          </cell>
          <cell r="C23">
            <v>37916416</v>
          </cell>
        </row>
        <row r="24">
          <cell r="A24">
            <v>45379</v>
          </cell>
          <cell r="B24">
            <v>43.42</v>
          </cell>
          <cell r="C24">
            <v>44090432</v>
          </cell>
        </row>
        <row r="25">
          <cell r="A25">
            <v>45378</v>
          </cell>
          <cell r="B25">
            <v>43.45</v>
          </cell>
          <cell r="C25">
            <v>56267128</v>
          </cell>
        </row>
        <row r="26">
          <cell r="A26">
            <v>45377</v>
          </cell>
          <cell r="B26">
            <v>43.42</v>
          </cell>
          <cell r="C26">
            <v>56943822</v>
          </cell>
        </row>
        <row r="27">
          <cell r="A27">
            <v>45376</v>
          </cell>
          <cell r="B27">
            <v>43.3</v>
          </cell>
          <cell r="C27">
            <v>61030567</v>
          </cell>
        </row>
        <row r="28">
          <cell r="A28">
            <v>45373</v>
          </cell>
          <cell r="B28">
            <v>43.27</v>
          </cell>
          <cell r="C28">
            <v>49433154</v>
          </cell>
        </row>
        <row r="29">
          <cell r="A29">
            <v>45372</v>
          </cell>
          <cell r="B29">
            <v>43.36</v>
          </cell>
          <cell r="C29">
            <v>33944506</v>
          </cell>
        </row>
        <row r="30">
          <cell r="A30">
            <v>45371</v>
          </cell>
          <cell r="B30">
            <v>43.52</v>
          </cell>
          <cell r="C30">
            <v>63107768</v>
          </cell>
        </row>
        <row r="31">
          <cell r="A31">
            <v>45370</v>
          </cell>
          <cell r="B31">
            <v>43.48</v>
          </cell>
          <cell r="C31">
            <v>48012900</v>
          </cell>
        </row>
        <row r="32">
          <cell r="A32">
            <v>45369</v>
          </cell>
          <cell r="B32">
            <v>43.44</v>
          </cell>
          <cell r="C32">
            <v>18326850</v>
          </cell>
        </row>
      </sheetData>
      <sheetData sheetId="1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ummary"/>
      <sheetName val="Support_EX_5_Fund02"/>
    </sheetNames>
    <sheetDataSet>
      <sheetData sheetId="0">
        <row r="2">
          <cell r="A2" t="str">
            <v>SNRFD Date</v>
          </cell>
          <cell r="B2" t="str">
            <v>SNRFD</v>
          </cell>
          <cell r="C2" t="str">
            <v>SNRFD Shares</v>
          </cell>
          <cell r="E2" t="str">
            <v>SNRFD</v>
          </cell>
          <cell r="F2" t="str">
            <v>Sunrise Fund</v>
          </cell>
          <cell r="G2">
            <v>5</v>
          </cell>
          <cell r="H2">
            <v>5.1000000000000004E-3</v>
          </cell>
          <cell r="I2">
            <v>34902</v>
          </cell>
          <cell r="J2" t="str">
            <v>540+</v>
          </cell>
          <cell r="K2">
            <v>265180</v>
          </cell>
          <cell r="L2">
            <v>0.95</v>
          </cell>
          <cell r="M2">
            <v>7</v>
          </cell>
          <cell r="N2" t="str">
            <v>F-1</v>
          </cell>
          <cell r="O2">
            <v>34.28</v>
          </cell>
          <cell r="P2">
            <v>21.55</v>
          </cell>
        </row>
        <row r="3">
          <cell r="A3">
            <v>45408</v>
          </cell>
          <cell r="B3">
            <v>30.25</v>
          </cell>
          <cell r="C3">
            <v>21364198.874966547</v>
          </cell>
        </row>
        <row r="4">
          <cell r="A4">
            <v>45407</v>
          </cell>
          <cell r="B4">
            <v>30.89</v>
          </cell>
          <cell r="C4">
            <v>55967966.84645097</v>
          </cell>
        </row>
        <row r="5">
          <cell r="A5">
            <v>45406</v>
          </cell>
          <cell r="B5">
            <v>32.01</v>
          </cell>
          <cell r="C5">
            <v>48158441.597704306</v>
          </cell>
        </row>
        <row r="6">
          <cell r="A6">
            <v>45405</v>
          </cell>
          <cell r="B6">
            <v>32.200000000000003</v>
          </cell>
          <cell r="C6">
            <v>48501786.935414404</v>
          </cell>
        </row>
        <row r="7">
          <cell r="A7">
            <v>45404</v>
          </cell>
          <cell r="B7">
            <v>32.880000000000003</v>
          </cell>
          <cell r="C7">
            <v>46614951.24887614</v>
          </cell>
        </row>
        <row r="8">
          <cell r="A8">
            <v>45401</v>
          </cell>
          <cell r="B8">
            <v>32.729999999999997</v>
          </cell>
          <cell r="C8">
            <v>63512535.051053062</v>
          </cell>
        </row>
        <row r="9">
          <cell r="A9">
            <v>45400</v>
          </cell>
          <cell r="B9">
            <v>33.36</v>
          </cell>
          <cell r="C9">
            <v>27729605.019894265</v>
          </cell>
        </row>
        <row r="10">
          <cell r="A10">
            <v>45399</v>
          </cell>
          <cell r="B10">
            <v>33.36</v>
          </cell>
          <cell r="C10">
            <v>17518043.128408954</v>
          </cell>
        </row>
        <row r="11">
          <cell r="A11">
            <v>45398</v>
          </cell>
          <cell r="B11">
            <v>32.630000000000003</v>
          </cell>
          <cell r="C11">
            <v>45424737.694804162</v>
          </cell>
        </row>
        <row r="12">
          <cell r="A12">
            <v>45397</v>
          </cell>
          <cell r="B12">
            <v>33.049999999999997</v>
          </cell>
          <cell r="C12">
            <v>43336393.74535282</v>
          </cell>
        </row>
        <row r="13">
          <cell r="A13">
            <v>45394</v>
          </cell>
          <cell r="B13">
            <v>33.25</v>
          </cell>
          <cell r="C13">
            <v>42477817.083022431</v>
          </cell>
        </row>
        <row r="14">
          <cell r="A14">
            <v>45393</v>
          </cell>
          <cell r="B14">
            <v>32.950000000000003</v>
          </cell>
          <cell r="C14">
            <v>40768781.419403806</v>
          </cell>
        </row>
        <row r="15">
          <cell r="A15">
            <v>45392</v>
          </cell>
          <cell r="B15">
            <v>32.590000000000003</v>
          </cell>
          <cell r="C15">
            <v>28940595.614296932</v>
          </cell>
        </row>
        <row r="16">
          <cell r="A16">
            <v>45391</v>
          </cell>
          <cell r="B16">
            <v>32.57</v>
          </cell>
          <cell r="C16">
            <v>44877079.758194283</v>
          </cell>
        </row>
        <row r="17">
          <cell r="A17">
            <v>45390</v>
          </cell>
          <cell r="B17">
            <v>31.84</v>
          </cell>
          <cell r="C17">
            <v>24076466.860923104</v>
          </cell>
        </row>
        <row r="18">
          <cell r="A18">
            <v>45387</v>
          </cell>
          <cell r="B18">
            <v>31.39</v>
          </cell>
          <cell r="C18">
            <v>62254981.026426524</v>
          </cell>
        </row>
        <row r="19">
          <cell r="A19">
            <v>45386</v>
          </cell>
          <cell r="B19">
            <v>32.35</v>
          </cell>
          <cell r="C19">
            <v>38396792.096809588</v>
          </cell>
        </row>
        <row r="20">
          <cell r="A20">
            <v>45385</v>
          </cell>
          <cell r="B20">
            <v>32.28</v>
          </cell>
          <cell r="C20">
            <v>48042945.31409099</v>
          </cell>
        </row>
        <row r="21">
          <cell r="A21">
            <v>45384</v>
          </cell>
          <cell r="B21">
            <v>31.85</v>
          </cell>
          <cell r="C21">
            <v>42711356.098638386</v>
          </cell>
        </row>
        <row r="22">
          <cell r="A22">
            <v>45383</v>
          </cell>
          <cell r="B22">
            <v>32.22</v>
          </cell>
          <cell r="C22">
            <v>43950281.734479398</v>
          </cell>
        </row>
        <row r="23">
          <cell r="A23">
            <v>45380</v>
          </cell>
          <cell r="B23">
            <v>31.52</v>
          </cell>
          <cell r="C23">
            <v>40509760.049912907</v>
          </cell>
        </row>
        <row r="24">
          <cell r="A24">
            <v>45379</v>
          </cell>
          <cell r="B24">
            <v>31.49</v>
          </cell>
          <cell r="C24">
            <v>55053474.882197909</v>
          </cell>
        </row>
        <row r="25">
          <cell r="A25">
            <v>45378</v>
          </cell>
          <cell r="B25">
            <v>31.24</v>
          </cell>
          <cell r="C25">
            <v>50159647.12137571</v>
          </cell>
        </row>
        <row r="26">
          <cell r="A26">
            <v>45377</v>
          </cell>
          <cell r="B26">
            <v>31.23</v>
          </cell>
          <cell r="C26">
            <v>52848823.836396426</v>
          </cell>
        </row>
        <row r="27">
          <cell r="A27">
            <v>45376</v>
          </cell>
          <cell r="B27">
            <v>30.76</v>
          </cell>
          <cell r="C27">
            <v>42909116.898033686</v>
          </cell>
        </row>
        <row r="28">
          <cell r="A28">
            <v>45373</v>
          </cell>
          <cell r="B28">
            <v>31.04</v>
          </cell>
          <cell r="C28">
            <v>28269700.024676587</v>
          </cell>
        </row>
        <row r="29">
          <cell r="A29">
            <v>45372</v>
          </cell>
          <cell r="B29">
            <v>31.34</v>
          </cell>
          <cell r="C29">
            <v>14241835.669286359</v>
          </cell>
        </row>
        <row r="30">
          <cell r="A30">
            <v>45371</v>
          </cell>
          <cell r="B30">
            <v>31.52</v>
          </cell>
          <cell r="C30">
            <v>8039014.4027797282</v>
          </cell>
        </row>
        <row r="31">
          <cell r="A31">
            <v>45370</v>
          </cell>
          <cell r="B31">
            <v>32.01</v>
          </cell>
          <cell r="C31">
            <v>31900779.73985035</v>
          </cell>
        </row>
        <row r="32">
          <cell r="A32">
            <v>45369</v>
          </cell>
          <cell r="B32">
            <v>32.5</v>
          </cell>
          <cell r="C32">
            <v>57862195.627972886</v>
          </cell>
        </row>
      </sheetData>
      <sheetData sheetId="1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ummary"/>
    </sheetNames>
    <sheetDataSet>
      <sheetData sheetId="0">
        <row r="2">
          <cell r="A2" t="str">
            <v>LTDX Date</v>
          </cell>
          <cell r="B2" t="str">
            <v>LTDX</v>
          </cell>
          <cell r="C2" t="str">
            <v>LTDX Shares</v>
          </cell>
          <cell r="E2" t="str">
            <v>LTDX</v>
          </cell>
          <cell r="F2" t="str">
            <v>Limited Diversified Fund</v>
          </cell>
          <cell r="G2">
            <v>3</v>
          </cell>
          <cell r="H2">
            <v>7.1000000000000004E-3</v>
          </cell>
          <cell r="I2">
            <v>40269</v>
          </cell>
          <cell r="J2" t="str">
            <v>378+</v>
          </cell>
          <cell r="K2">
            <v>243001</v>
          </cell>
          <cell r="L2">
            <v>0.84</v>
          </cell>
          <cell r="M2">
            <v>5</v>
          </cell>
          <cell r="N2" t="str">
            <v>F-3</v>
          </cell>
          <cell r="O2">
            <v>42.55</v>
          </cell>
          <cell r="P2">
            <v>28.14</v>
          </cell>
        </row>
        <row r="3">
          <cell r="A3">
            <v>45408</v>
          </cell>
          <cell r="B3">
            <v>29.81</v>
          </cell>
          <cell r="C3">
            <v>38776625</v>
          </cell>
        </row>
        <row r="4">
          <cell r="A4">
            <v>45407</v>
          </cell>
          <cell r="B4">
            <v>29.63</v>
          </cell>
          <cell r="C4">
            <v>48309325</v>
          </cell>
        </row>
        <row r="5">
          <cell r="A5">
            <v>45406</v>
          </cell>
          <cell r="B5">
            <v>30.209999999999997</v>
          </cell>
          <cell r="C5">
            <v>27385596</v>
          </cell>
        </row>
        <row r="6">
          <cell r="A6">
            <v>45405</v>
          </cell>
          <cell r="B6">
            <v>32.44</v>
          </cell>
          <cell r="C6">
            <v>38928483</v>
          </cell>
        </row>
        <row r="7">
          <cell r="A7">
            <v>45404</v>
          </cell>
          <cell r="B7">
            <v>34.229999999999997</v>
          </cell>
          <cell r="C7">
            <v>42199451</v>
          </cell>
        </row>
        <row r="8">
          <cell r="A8">
            <v>45401</v>
          </cell>
          <cell r="B8">
            <v>35.019999999999996</v>
          </cell>
          <cell r="C8">
            <v>42351574</v>
          </cell>
        </row>
        <row r="9">
          <cell r="A9">
            <v>45400</v>
          </cell>
          <cell r="B9">
            <v>35.589999999999996</v>
          </cell>
          <cell r="C9">
            <v>40967003</v>
          </cell>
        </row>
        <row r="10">
          <cell r="A10">
            <v>45399</v>
          </cell>
          <cell r="B10">
            <v>34.869999999999997</v>
          </cell>
          <cell r="C10">
            <v>17497075</v>
          </cell>
        </row>
        <row r="11">
          <cell r="A11">
            <v>45398</v>
          </cell>
          <cell r="B11">
            <v>34.29</v>
          </cell>
          <cell r="C11">
            <v>18318793</v>
          </cell>
        </row>
        <row r="12">
          <cell r="A12">
            <v>45397</v>
          </cell>
          <cell r="B12">
            <v>35.119999999999997</v>
          </cell>
          <cell r="C12">
            <v>37361584</v>
          </cell>
        </row>
        <row r="13">
          <cell r="A13">
            <v>45394</v>
          </cell>
          <cell r="B13">
            <v>33.239999999999995</v>
          </cell>
          <cell r="C13">
            <v>49436367</v>
          </cell>
        </row>
        <row r="14">
          <cell r="A14">
            <v>45393</v>
          </cell>
          <cell r="B14">
            <v>33.399999999999991</v>
          </cell>
          <cell r="C14">
            <v>36078273</v>
          </cell>
        </row>
        <row r="15">
          <cell r="A15">
            <v>45392</v>
          </cell>
          <cell r="B15">
            <v>33.689999999999991</v>
          </cell>
          <cell r="C15">
            <v>30697275</v>
          </cell>
        </row>
        <row r="16">
          <cell r="A16">
            <v>45391</v>
          </cell>
          <cell r="B16">
            <v>32.859999999999992</v>
          </cell>
          <cell r="C16">
            <v>32810610</v>
          </cell>
        </row>
        <row r="17">
          <cell r="A17">
            <v>45390</v>
          </cell>
          <cell r="B17">
            <v>34.859999999999992</v>
          </cell>
          <cell r="C17">
            <v>35576862</v>
          </cell>
        </row>
        <row r="18">
          <cell r="A18">
            <v>45387</v>
          </cell>
          <cell r="B18">
            <v>36.159999999999989</v>
          </cell>
          <cell r="C18">
            <v>23629341</v>
          </cell>
        </row>
        <row r="19">
          <cell r="A19">
            <v>45386</v>
          </cell>
          <cell r="B19">
            <v>36.86999999999999</v>
          </cell>
          <cell r="C19">
            <v>31886507</v>
          </cell>
        </row>
        <row r="20">
          <cell r="A20">
            <v>45385</v>
          </cell>
          <cell r="B20">
            <v>38.089999999999989</v>
          </cell>
          <cell r="C20">
            <v>34974533</v>
          </cell>
        </row>
        <row r="21">
          <cell r="A21">
            <v>45384</v>
          </cell>
          <cell r="B21">
            <v>38.179999999999993</v>
          </cell>
          <cell r="C21">
            <v>29212145</v>
          </cell>
        </row>
        <row r="22">
          <cell r="A22">
            <v>45383</v>
          </cell>
          <cell r="B22">
            <v>40.159999999999989</v>
          </cell>
          <cell r="C22">
            <v>32235043</v>
          </cell>
        </row>
        <row r="23">
          <cell r="A23">
            <v>45380</v>
          </cell>
          <cell r="B23">
            <v>38.239999999999988</v>
          </cell>
          <cell r="C23">
            <v>42152171</v>
          </cell>
        </row>
        <row r="24">
          <cell r="A24">
            <v>45379</v>
          </cell>
          <cell r="B24">
            <v>36.779999999999987</v>
          </cell>
          <cell r="C24">
            <v>33645473</v>
          </cell>
        </row>
        <row r="25">
          <cell r="A25">
            <v>45378</v>
          </cell>
          <cell r="B25">
            <v>39.789999999999985</v>
          </cell>
          <cell r="C25">
            <v>44474720</v>
          </cell>
        </row>
        <row r="26">
          <cell r="A26">
            <v>45377</v>
          </cell>
          <cell r="B26">
            <v>38.829999999999984</v>
          </cell>
          <cell r="C26">
            <v>34627088</v>
          </cell>
        </row>
        <row r="27">
          <cell r="A27">
            <v>45376</v>
          </cell>
          <cell r="B27">
            <v>38.309999999999981</v>
          </cell>
          <cell r="C27">
            <v>32512685</v>
          </cell>
        </row>
        <row r="28">
          <cell r="A28">
            <v>45373</v>
          </cell>
          <cell r="B28">
            <v>39.59999999999998</v>
          </cell>
          <cell r="C28">
            <v>28071859</v>
          </cell>
        </row>
        <row r="29">
          <cell r="A29">
            <v>45372</v>
          </cell>
          <cell r="B29">
            <v>38.66999999999998</v>
          </cell>
          <cell r="C29">
            <v>34719138</v>
          </cell>
        </row>
        <row r="30">
          <cell r="A30">
            <v>45371</v>
          </cell>
          <cell r="B30">
            <v>38.159999999999982</v>
          </cell>
          <cell r="C30">
            <v>41199675</v>
          </cell>
        </row>
        <row r="31">
          <cell r="A31">
            <v>45370</v>
          </cell>
          <cell r="B31">
            <v>40.019999999999982</v>
          </cell>
          <cell r="C31">
            <v>42285871</v>
          </cell>
        </row>
        <row r="32">
          <cell r="A32">
            <v>45369</v>
          </cell>
          <cell r="B32">
            <v>39.009999999999984</v>
          </cell>
          <cell r="C32">
            <v>29576643</v>
          </cell>
        </row>
      </sheetData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ummary"/>
      <sheetName val="Support_EX_5_Fund05"/>
    </sheetNames>
    <sheetDataSet>
      <sheetData sheetId="0">
        <row r="2">
          <cell r="A2" t="str">
            <v>IHGF Date</v>
          </cell>
          <cell r="B2" t="str">
            <v>IHGF</v>
          </cell>
          <cell r="C2" t="str">
            <v>IHGF Shares</v>
          </cell>
          <cell r="E2" t="str">
            <v>IHGF</v>
          </cell>
          <cell r="F2" t="str">
            <v>International High Growth</v>
          </cell>
          <cell r="G2">
            <v>4</v>
          </cell>
          <cell r="H2">
            <v>9.2999999999999992E-3</v>
          </cell>
          <cell r="I2">
            <v>42369</v>
          </cell>
          <cell r="J2" t="str">
            <v>410+</v>
          </cell>
          <cell r="K2">
            <v>311249</v>
          </cell>
          <cell r="L2">
            <v>0.94</v>
          </cell>
          <cell r="M2">
            <v>12</v>
          </cell>
          <cell r="N2" t="str">
            <v>F-2</v>
          </cell>
          <cell r="O2">
            <v>59.21</v>
          </cell>
          <cell r="P2">
            <v>33.479999999999997</v>
          </cell>
        </row>
        <row r="3">
          <cell r="A3">
            <v>45408</v>
          </cell>
          <cell r="B3">
            <v>50.42</v>
          </cell>
          <cell r="C3">
            <v>72546491</v>
          </cell>
        </row>
        <row r="4">
          <cell r="A4">
            <v>45407</v>
          </cell>
          <cell r="B4">
            <v>50.370000000000005</v>
          </cell>
          <cell r="C4">
            <v>52009644</v>
          </cell>
        </row>
        <row r="5">
          <cell r="A5">
            <v>45406</v>
          </cell>
          <cell r="B5">
            <v>48.510000000000005</v>
          </cell>
          <cell r="C5">
            <v>63530126</v>
          </cell>
        </row>
        <row r="6">
          <cell r="A6">
            <v>45405</v>
          </cell>
          <cell r="B6">
            <v>50.24</v>
          </cell>
          <cell r="C6">
            <v>62138052</v>
          </cell>
        </row>
        <row r="7">
          <cell r="A7">
            <v>45404</v>
          </cell>
          <cell r="B7">
            <v>47.940000000000005</v>
          </cell>
          <cell r="C7">
            <v>46173661</v>
          </cell>
        </row>
        <row r="8">
          <cell r="A8">
            <v>45401</v>
          </cell>
          <cell r="B8">
            <v>46.750000000000007</v>
          </cell>
          <cell r="C8">
            <v>56086470</v>
          </cell>
        </row>
        <row r="9">
          <cell r="A9">
            <v>45400</v>
          </cell>
          <cell r="B9">
            <v>45.77000000000001</v>
          </cell>
          <cell r="C9">
            <v>65699108</v>
          </cell>
        </row>
        <row r="10">
          <cell r="A10">
            <v>45399</v>
          </cell>
          <cell r="B10">
            <v>49.590000000000011</v>
          </cell>
          <cell r="C10">
            <v>44246199</v>
          </cell>
        </row>
        <row r="11">
          <cell r="A11">
            <v>45398</v>
          </cell>
          <cell r="B11">
            <v>52.52000000000001</v>
          </cell>
          <cell r="C11">
            <v>46356454</v>
          </cell>
        </row>
        <row r="12">
          <cell r="A12">
            <v>45397</v>
          </cell>
          <cell r="B12">
            <v>50.860000000000014</v>
          </cell>
          <cell r="C12">
            <v>58675984</v>
          </cell>
        </row>
        <row r="13">
          <cell r="A13">
            <v>45394</v>
          </cell>
          <cell r="B13">
            <v>48.380000000000017</v>
          </cell>
          <cell r="C13">
            <v>45818214</v>
          </cell>
        </row>
        <row r="14">
          <cell r="A14">
            <v>45393</v>
          </cell>
          <cell r="B14">
            <v>50.280000000000015</v>
          </cell>
          <cell r="C14">
            <v>60764587</v>
          </cell>
        </row>
        <row r="15">
          <cell r="A15">
            <v>45392</v>
          </cell>
          <cell r="B15">
            <v>49.490000000000016</v>
          </cell>
          <cell r="C15">
            <v>51982012</v>
          </cell>
        </row>
        <row r="16">
          <cell r="A16">
            <v>45391</v>
          </cell>
          <cell r="B16">
            <v>47.950000000000017</v>
          </cell>
          <cell r="C16">
            <v>55489999</v>
          </cell>
        </row>
        <row r="17">
          <cell r="A17">
            <v>45390</v>
          </cell>
          <cell r="B17">
            <v>47.840000000000018</v>
          </cell>
          <cell r="C17">
            <v>49879675</v>
          </cell>
        </row>
        <row r="18">
          <cell r="A18">
            <v>45387</v>
          </cell>
          <cell r="B18">
            <v>45.97000000000002</v>
          </cell>
          <cell r="C18">
            <v>55352604</v>
          </cell>
        </row>
        <row r="19">
          <cell r="A19">
            <v>45386</v>
          </cell>
          <cell r="B19">
            <v>43.90000000000002</v>
          </cell>
          <cell r="C19">
            <v>43125721</v>
          </cell>
        </row>
        <row r="20">
          <cell r="A20">
            <v>45385</v>
          </cell>
          <cell r="B20">
            <v>49.000000000000021</v>
          </cell>
          <cell r="C20">
            <v>57153337</v>
          </cell>
        </row>
        <row r="21">
          <cell r="A21">
            <v>45384</v>
          </cell>
          <cell r="B21">
            <v>47.810000000000024</v>
          </cell>
          <cell r="C21">
            <v>55648488</v>
          </cell>
        </row>
        <row r="22">
          <cell r="A22">
            <v>45383</v>
          </cell>
          <cell r="B22">
            <v>46.260000000000026</v>
          </cell>
          <cell r="C22">
            <v>65144478</v>
          </cell>
        </row>
        <row r="23">
          <cell r="A23">
            <v>45380</v>
          </cell>
          <cell r="B23">
            <v>48.220000000000027</v>
          </cell>
          <cell r="C23">
            <v>31966957</v>
          </cell>
        </row>
        <row r="24">
          <cell r="A24">
            <v>45379</v>
          </cell>
          <cell r="B24">
            <v>48.430000000000028</v>
          </cell>
          <cell r="C24">
            <v>59511612</v>
          </cell>
        </row>
        <row r="25">
          <cell r="A25">
            <v>45378</v>
          </cell>
          <cell r="B25">
            <v>46.640000000000029</v>
          </cell>
          <cell r="C25">
            <v>59382850</v>
          </cell>
        </row>
        <row r="26">
          <cell r="A26">
            <v>45377</v>
          </cell>
          <cell r="B26">
            <v>46.260000000000026</v>
          </cell>
          <cell r="C26">
            <v>53824759</v>
          </cell>
        </row>
        <row r="27">
          <cell r="A27">
            <v>45376</v>
          </cell>
          <cell r="B27">
            <v>44.800000000000026</v>
          </cell>
          <cell r="C27">
            <v>63858444</v>
          </cell>
        </row>
        <row r="28">
          <cell r="A28">
            <v>45373</v>
          </cell>
          <cell r="B28">
            <v>45.270000000000024</v>
          </cell>
          <cell r="C28">
            <v>54105911</v>
          </cell>
        </row>
        <row r="29">
          <cell r="A29">
            <v>45372</v>
          </cell>
          <cell r="B29">
            <v>47.340000000000025</v>
          </cell>
          <cell r="C29">
            <v>55605481</v>
          </cell>
        </row>
        <row r="30">
          <cell r="A30">
            <v>45371</v>
          </cell>
          <cell r="B30">
            <v>45.050000000000026</v>
          </cell>
          <cell r="C30">
            <v>57010053</v>
          </cell>
        </row>
        <row r="31">
          <cell r="A31">
            <v>45370</v>
          </cell>
          <cell r="B31">
            <v>44.240000000000023</v>
          </cell>
          <cell r="C31">
            <v>56552043</v>
          </cell>
        </row>
        <row r="32">
          <cell r="A32">
            <v>45369</v>
          </cell>
          <cell r="B32">
            <v>44.140000000000022</v>
          </cell>
          <cell r="C32">
            <v>63645794</v>
          </cell>
        </row>
      </sheetData>
      <sheetData sheetId="1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ummary"/>
      <sheetName val="Sheet1"/>
      <sheetName val="Support_EX_5_Fund03"/>
    </sheetNames>
    <sheetDataSet>
      <sheetData sheetId="0">
        <row r="2">
          <cell r="A2" t="str">
            <v>AIF Date</v>
          </cell>
          <cell r="B2" t="str">
            <v>AIF</v>
          </cell>
          <cell r="C2" t="str">
            <v>AIF Shares</v>
          </cell>
          <cell r="E2" t="str">
            <v>AIF</v>
          </cell>
          <cell r="F2" t="str">
            <v>American Investment Fund</v>
          </cell>
          <cell r="G2">
            <v>4</v>
          </cell>
          <cell r="H2">
            <v>7.3000000000000001E-3</v>
          </cell>
          <cell r="I2">
            <v>38596</v>
          </cell>
          <cell r="J2" t="str">
            <v>225+</v>
          </cell>
          <cell r="K2">
            <v>211205</v>
          </cell>
          <cell r="L2">
            <v>0.78</v>
          </cell>
          <cell r="M2">
            <v>8</v>
          </cell>
          <cell r="N2" t="str">
            <v>F-1</v>
          </cell>
          <cell r="O2">
            <v>66.209999999999994</v>
          </cell>
          <cell r="P2">
            <v>41.27</v>
          </cell>
        </row>
        <row r="3">
          <cell r="A3">
            <v>45408</v>
          </cell>
          <cell r="B3">
            <v>45.27</v>
          </cell>
          <cell r="C3">
            <v>24878019</v>
          </cell>
        </row>
        <row r="4">
          <cell r="A4">
            <v>45407</v>
          </cell>
          <cell r="B4">
            <v>45.49</v>
          </cell>
          <cell r="C4">
            <v>36503390</v>
          </cell>
        </row>
        <row r="5">
          <cell r="A5">
            <v>45406</v>
          </cell>
          <cell r="B5">
            <v>45.43</v>
          </cell>
          <cell r="C5">
            <v>36975069</v>
          </cell>
        </row>
        <row r="6">
          <cell r="A6">
            <v>45405</v>
          </cell>
          <cell r="B6">
            <v>47.1</v>
          </cell>
          <cell r="C6">
            <v>46351758</v>
          </cell>
        </row>
        <row r="7">
          <cell r="A7">
            <v>45404</v>
          </cell>
          <cell r="B7">
            <v>47.32</v>
          </cell>
          <cell r="C7">
            <v>36970464</v>
          </cell>
        </row>
        <row r="8">
          <cell r="A8">
            <v>45401</v>
          </cell>
          <cell r="B8">
            <v>49.03</v>
          </cell>
          <cell r="C8">
            <v>47800395</v>
          </cell>
        </row>
        <row r="9">
          <cell r="A9">
            <v>45400</v>
          </cell>
          <cell r="B9">
            <v>48.75</v>
          </cell>
          <cell r="C9">
            <v>33975920</v>
          </cell>
        </row>
        <row r="10">
          <cell r="A10">
            <v>45399</v>
          </cell>
          <cell r="B10">
            <v>50.39</v>
          </cell>
          <cell r="C10">
            <v>51764273</v>
          </cell>
        </row>
        <row r="11">
          <cell r="A11">
            <v>45398</v>
          </cell>
          <cell r="B11">
            <v>51.96</v>
          </cell>
          <cell r="C11">
            <v>51530931</v>
          </cell>
        </row>
        <row r="12">
          <cell r="A12">
            <v>45397</v>
          </cell>
          <cell r="B12">
            <v>52.34</v>
          </cell>
          <cell r="C12">
            <v>33726651</v>
          </cell>
        </row>
        <row r="13">
          <cell r="A13">
            <v>45394</v>
          </cell>
          <cell r="B13">
            <v>52.800000000000004</v>
          </cell>
          <cell r="C13">
            <v>38292943</v>
          </cell>
        </row>
        <row r="14">
          <cell r="A14">
            <v>45393</v>
          </cell>
          <cell r="B14">
            <v>52.470000000000006</v>
          </cell>
          <cell r="C14">
            <v>37889242</v>
          </cell>
        </row>
        <row r="15">
          <cell r="A15">
            <v>45392</v>
          </cell>
          <cell r="B15">
            <v>50.930000000000007</v>
          </cell>
          <cell r="C15">
            <v>59390805</v>
          </cell>
        </row>
        <row r="16">
          <cell r="A16">
            <v>45391</v>
          </cell>
          <cell r="B16">
            <v>50.030000000000008</v>
          </cell>
          <cell r="C16">
            <v>43956796</v>
          </cell>
        </row>
        <row r="17">
          <cell r="A17">
            <v>45390</v>
          </cell>
          <cell r="B17">
            <v>48.980000000000011</v>
          </cell>
          <cell r="C17">
            <v>45239871</v>
          </cell>
        </row>
        <row r="18">
          <cell r="A18">
            <v>45387</v>
          </cell>
          <cell r="B18">
            <v>49.350000000000009</v>
          </cell>
          <cell r="C18">
            <v>49970636</v>
          </cell>
        </row>
        <row r="19">
          <cell r="A19">
            <v>45386</v>
          </cell>
          <cell r="B19">
            <v>50.45000000000001</v>
          </cell>
          <cell r="C19">
            <v>42991806</v>
          </cell>
        </row>
        <row r="20">
          <cell r="A20">
            <v>45385</v>
          </cell>
          <cell r="B20">
            <v>50.330000000000013</v>
          </cell>
          <cell r="C20">
            <v>41906315</v>
          </cell>
        </row>
        <row r="21">
          <cell r="A21">
            <v>45384</v>
          </cell>
          <cell r="B21">
            <v>52.090000000000011</v>
          </cell>
          <cell r="C21">
            <v>33678273</v>
          </cell>
        </row>
        <row r="22">
          <cell r="A22">
            <v>45383</v>
          </cell>
          <cell r="B22">
            <v>52.430000000000014</v>
          </cell>
          <cell r="C22">
            <v>37401351</v>
          </cell>
        </row>
        <row r="23">
          <cell r="A23">
            <v>45380</v>
          </cell>
          <cell r="B23">
            <v>53.610000000000014</v>
          </cell>
          <cell r="C23">
            <v>35279810</v>
          </cell>
        </row>
        <row r="24">
          <cell r="A24">
            <v>45379</v>
          </cell>
          <cell r="B24">
            <v>54.870000000000012</v>
          </cell>
          <cell r="C24">
            <v>36888189</v>
          </cell>
        </row>
        <row r="25">
          <cell r="A25">
            <v>45378</v>
          </cell>
          <cell r="B25">
            <v>56.360000000000014</v>
          </cell>
          <cell r="C25">
            <v>53988552</v>
          </cell>
        </row>
        <row r="26">
          <cell r="A26">
            <v>45377</v>
          </cell>
          <cell r="B26">
            <v>55.77000000000001</v>
          </cell>
          <cell r="C26">
            <v>37271513</v>
          </cell>
        </row>
        <row r="27">
          <cell r="A27">
            <v>45376</v>
          </cell>
          <cell r="B27">
            <v>58.790000000000013</v>
          </cell>
          <cell r="C27">
            <v>45297235</v>
          </cell>
        </row>
        <row r="28">
          <cell r="A28">
            <v>45373</v>
          </cell>
          <cell r="B28">
            <v>58.610000000000014</v>
          </cell>
          <cell r="C28">
            <v>45580635</v>
          </cell>
        </row>
        <row r="29">
          <cell r="A29">
            <v>45372</v>
          </cell>
          <cell r="B29">
            <v>60.570000000000014</v>
          </cell>
          <cell r="C29">
            <v>49371496</v>
          </cell>
        </row>
        <row r="30">
          <cell r="A30">
            <v>45371</v>
          </cell>
          <cell r="B30">
            <v>61.420000000000016</v>
          </cell>
          <cell r="C30">
            <v>41885885</v>
          </cell>
        </row>
        <row r="31">
          <cell r="A31">
            <v>45370</v>
          </cell>
          <cell r="B31">
            <v>62.560000000000016</v>
          </cell>
          <cell r="C31">
            <v>37175508</v>
          </cell>
        </row>
        <row r="32">
          <cell r="A32">
            <v>45369</v>
          </cell>
          <cell r="B32">
            <v>63.270000000000017</v>
          </cell>
          <cell r="C32">
            <v>32449423</v>
          </cell>
        </row>
      </sheetData>
      <sheetData sheetId="1" refreshError="1"/>
      <sheetData sheetId="2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 2007-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798917-0877-483B-8D3F-8CDB89F801A3}">
  <dimension ref="A1:B24"/>
  <sheetViews>
    <sheetView tabSelected="1" zoomScale="120" zoomScaleNormal="120" workbookViewId="0">
      <selection activeCell="B3" sqref="B3"/>
    </sheetView>
  </sheetViews>
  <sheetFormatPr defaultRowHeight="15" x14ac:dyDescent="0.25"/>
  <cols>
    <col min="1" max="1" width="16" customWidth="1"/>
    <col min="2" max="2" width="36.7109375" customWidth="1"/>
    <col min="3" max="3" width="3.28515625" customWidth="1"/>
    <col min="4" max="4" width="19.140625" customWidth="1"/>
    <col min="5" max="5" width="30.7109375" customWidth="1"/>
  </cols>
  <sheetData>
    <row r="1" spans="1:2" ht="33.75" x14ac:dyDescent="0.6">
      <c r="A1" s="1" t="s">
        <v>3</v>
      </c>
    </row>
    <row r="3" spans="1:2" ht="15.75" x14ac:dyDescent="0.25">
      <c r="A3" s="2" t="s">
        <v>0</v>
      </c>
      <c r="B3" s="3" t="s">
        <v>25</v>
      </c>
    </row>
    <row r="4" spans="1:2" ht="15.75" x14ac:dyDescent="0.25">
      <c r="A4" s="2" t="s">
        <v>1</v>
      </c>
      <c r="B4" s="4">
        <f ca="1">TODAY()</f>
        <v>44399</v>
      </c>
    </row>
    <row r="5" spans="1:2" ht="52.5" customHeight="1" x14ac:dyDescent="0.25">
      <c r="A5" s="2" t="s">
        <v>2</v>
      </c>
      <c r="B5" s="3" t="s">
        <v>4</v>
      </c>
    </row>
    <row r="7" spans="1:2" ht="15.75" x14ac:dyDescent="0.25">
      <c r="A7" s="28" t="s">
        <v>24</v>
      </c>
      <c r="B7" s="28"/>
    </row>
    <row r="8" spans="1:2" x14ac:dyDescent="0.25">
      <c r="A8" t="s">
        <v>29</v>
      </c>
      <c r="B8" t="s">
        <v>31</v>
      </c>
    </row>
    <row r="9" spans="1:2" x14ac:dyDescent="0.25">
      <c r="A9" t="s">
        <v>32</v>
      </c>
      <c r="B9" t="s">
        <v>33</v>
      </c>
    </row>
    <row r="10" spans="1:2" x14ac:dyDescent="0.25">
      <c r="A10" t="s">
        <v>34</v>
      </c>
      <c r="B10" t="s">
        <v>35</v>
      </c>
    </row>
    <row r="11" spans="1:2" x14ac:dyDescent="0.25">
      <c r="A11" t="s">
        <v>36</v>
      </c>
      <c r="B11" t="s">
        <v>37</v>
      </c>
    </row>
    <row r="12" spans="1:2" x14ac:dyDescent="0.25">
      <c r="A12" t="s">
        <v>26</v>
      </c>
      <c r="B12" t="s">
        <v>38</v>
      </c>
    </row>
    <row r="13" spans="1:2" x14ac:dyDescent="0.25">
      <c r="A13" t="s">
        <v>39</v>
      </c>
      <c r="B13" t="s">
        <v>40</v>
      </c>
    </row>
    <row r="14" spans="1:2" x14ac:dyDescent="0.25">
      <c r="A14" t="s">
        <v>41</v>
      </c>
      <c r="B14" t="s">
        <v>42</v>
      </c>
    </row>
    <row r="15" spans="1:2" x14ac:dyDescent="0.25">
      <c r="A15" t="s">
        <v>30</v>
      </c>
      <c r="B15" t="s">
        <v>43</v>
      </c>
    </row>
    <row r="16" spans="1:2" x14ac:dyDescent="0.25">
      <c r="A16" t="s">
        <v>44</v>
      </c>
      <c r="B16" t="s">
        <v>45</v>
      </c>
    </row>
    <row r="17" spans="1:2" x14ac:dyDescent="0.25">
      <c r="A17" t="s">
        <v>46</v>
      </c>
      <c r="B17" t="s">
        <v>47</v>
      </c>
    </row>
    <row r="18" spans="1:2" x14ac:dyDescent="0.25">
      <c r="A18" t="s">
        <v>27</v>
      </c>
      <c r="B18" t="s">
        <v>48</v>
      </c>
    </row>
    <row r="19" spans="1:2" x14ac:dyDescent="0.25">
      <c r="A19" t="s">
        <v>49</v>
      </c>
      <c r="B19" t="s">
        <v>50</v>
      </c>
    </row>
    <row r="20" spans="1:2" x14ac:dyDescent="0.25">
      <c r="A20" t="s">
        <v>51</v>
      </c>
      <c r="B20" t="s">
        <v>52</v>
      </c>
    </row>
    <row r="21" spans="1:2" x14ac:dyDescent="0.25">
      <c r="A21" t="s">
        <v>28</v>
      </c>
      <c r="B21" t="s">
        <v>53</v>
      </c>
    </row>
    <row r="22" spans="1:2" x14ac:dyDescent="0.25">
      <c r="A22" t="s">
        <v>54</v>
      </c>
      <c r="B22" t="s">
        <v>55</v>
      </c>
    </row>
    <row r="23" spans="1:2" x14ac:dyDescent="0.25">
      <c r="A23" t="s">
        <v>56</v>
      </c>
      <c r="B23" t="s">
        <v>57</v>
      </c>
    </row>
    <row r="24" spans="1:2" x14ac:dyDescent="0.25">
      <c r="A24" t="s">
        <v>5</v>
      </c>
      <c r="B24" t="s">
        <v>58</v>
      </c>
    </row>
  </sheetData>
  <mergeCells count="1">
    <mergeCell ref="A7:B7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E8A992-74CE-4755-A454-23230BB1EADC}">
  <dimension ref="A1:D21"/>
  <sheetViews>
    <sheetView zoomScale="120" zoomScaleNormal="120" workbookViewId="0">
      <selection activeCell="A2" sqref="A2"/>
    </sheetView>
  </sheetViews>
  <sheetFormatPr defaultRowHeight="15" x14ac:dyDescent="0.25"/>
  <cols>
    <col min="1" max="1" width="20.42578125" customWidth="1"/>
    <col min="2" max="2" width="26.7109375" customWidth="1"/>
    <col min="3" max="3" width="7.42578125" customWidth="1"/>
  </cols>
  <sheetData>
    <row r="1" spans="1:4" ht="33.75" x14ac:dyDescent="0.6">
      <c r="A1" s="1" t="s">
        <v>3</v>
      </c>
    </row>
    <row r="3" spans="1:4" ht="18" thickBot="1" x14ac:dyDescent="0.35">
      <c r="A3" s="29" t="s">
        <v>6</v>
      </c>
      <c r="B3" s="29"/>
    </row>
    <row r="4" spans="1:4" ht="15.75" thickBot="1" x14ac:dyDescent="0.3">
      <c r="A4" s="5" t="s">
        <v>5</v>
      </c>
      <c r="B4" s="27" t="s">
        <v>26</v>
      </c>
      <c r="D4" s="26" t="s">
        <v>23</v>
      </c>
    </row>
    <row r="5" spans="1:4" x14ac:dyDescent="0.25">
      <c r="A5" s="6" t="s">
        <v>7</v>
      </c>
      <c r="B5" s="17" t="str">
        <f>VLOOKUP(Symbol, Fund_Lookup, 2, FALSE)</f>
        <v>International High Growth</v>
      </c>
    </row>
    <row r="6" spans="1:4" x14ac:dyDescent="0.25">
      <c r="A6" s="6" t="s">
        <v>8</v>
      </c>
      <c r="B6" s="17">
        <f>VLOOKUP(Symbol, Fund_Lookup, 3, FALSE)</f>
        <v>4</v>
      </c>
    </row>
    <row r="7" spans="1:4" x14ac:dyDescent="0.25">
      <c r="A7" s="6" t="s">
        <v>9</v>
      </c>
      <c r="B7" s="18">
        <f>VLOOKUP(Symbol, Fund_Lookup, 4, FALSE)</f>
        <v>9.2999999999999992E-3</v>
      </c>
    </row>
    <row r="8" spans="1:4" x14ac:dyDescent="0.25">
      <c r="A8" s="6" t="s">
        <v>10</v>
      </c>
      <c r="B8" s="19">
        <f>VLOOKUP(Symbol, Fund_Lookup, 5, FALSE)</f>
        <v>42369</v>
      </c>
    </row>
    <row r="9" spans="1:4" x14ac:dyDescent="0.25">
      <c r="A9" s="6" t="s">
        <v>11</v>
      </c>
      <c r="B9" s="17" t="str">
        <f>VLOOKUP(Symbol, Fund_Lookup, 6, FALSE)</f>
        <v>410+</v>
      </c>
    </row>
    <row r="10" spans="1:4" x14ac:dyDescent="0.25">
      <c r="A10" s="6" t="s">
        <v>12</v>
      </c>
      <c r="B10" s="23">
        <f>VLOOKUP(Symbol, Fund_Lookup, 7, FALSE)</f>
        <v>311249</v>
      </c>
    </row>
    <row r="11" spans="1:4" x14ac:dyDescent="0.25">
      <c r="A11" s="6" t="s">
        <v>13</v>
      </c>
      <c r="B11" s="20">
        <f>VLOOKUP(Symbol, Fund_Lookup, 8, FALSE)</f>
        <v>0.94</v>
      </c>
    </row>
    <row r="12" spans="1:4" x14ac:dyDescent="0.25">
      <c r="A12" s="6" t="s">
        <v>14</v>
      </c>
      <c r="B12" s="17">
        <f>VLOOKUP(Symbol, Fund_Lookup, 9, FALSE)</f>
        <v>12</v>
      </c>
    </row>
    <row r="13" spans="1:4" x14ac:dyDescent="0.25">
      <c r="A13" s="6" t="s">
        <v>15</v>
      </c>
      <c r="B13" s="17" t="str">
        <f>VLOOKUP(Symbol, Fund_Lookup, 10, FALSE)</f>
        <v>F-2</v>
      </c>
    </row>
    <row r="14" spans="1:4" x14ac:dyDescent="0.25">
      <c r="A14" s="6" t="s">
        <v>16</v>
      </c>
      <c r="B14" s="21">
        <f>VLOOKUP(Symbol, Fund_Lookup, 11, FALSE)</f>
        <v>59.21</v>
      </c>
    </row>
    <row r="15" spans="1:4" ht="15.75" thickBot="1" x14ac:dyDescent="0.3">
      <c r="A15" s="7" t="s">
        <v>17</v>
      </c>
      <c r="B15" s="22">
        <f>VLOOKUP(Symbol, Fund_Lookup, 12, FALSE)</f>
        <v>33.479999999999997</v>
      </c>
    </row>
    <row r="17" spans="1:2" ht="18" thickBot="1" x14ac:dyDescent="0.35">
      <c r="A17" s="29" t="s">
        <v>18</v>
      </c>
      <c r="B17" s="29"/>
    </row>
    <row r="18" spans="1:2" x14ac:dyDescent="0.25">
      <c r="A18" s="5" t="s">
        <v>20</v>
      </c>
      <c r="B18" s="24">
        <f ca="1">MAX(INDIRECT(Symbol))</f>
        <v>52.52000000000001</v>
      </c>
    </row>
    <row r="19" spans="1:2" x14ac:dyDescent="0.25">
      <c r="A19" s="6" t="s">
        <v>19</v>
      </c>
      <c r="B19" s="21">
        <f ca="1">MIN(INDIRECT(Symbol))</f>
        <v>43.90000000000002</v>
      </c>
    </row>
    <row r="20" spans="1:2" x14ac:dyDescent="0.25">
      <c r="A20" s="6" t="s">
        <v>21</v>
      </c>
      <c r="B20" s="21">
        <f ca="1">AVERAGE(INDIRECT(Symbol))</f>
        <v>47.674666666666674</v>
      </c>
    </row>
    <row r="21" spans="1:2" ht="15.75" thickBot="1" x14ac:dyDescent="0.3">
      <c r="A21" s="7" t="s">
        <v>22</v>
      </c>
      <c r="B21" s="25">
        <f ca="1">AVERAGE(INDIRECT(Symbol&amp;"_Shares"))</f>
        <v>55442840.266666666</v>
      </c>
    </row>
  </sheetData>
  <mergeCells count="2">
    <mergeCell ref="A3:B3"/>
    <mergeCell ref="A17:B17"/>
  </mergeCells>
  <pageMargins left="0.7" right="0.7" top="0.75" bottom="0.75" header="0.3" footer="0.3"/>
  <pageSetup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E91F72-2F9E-446A-891E-BDC3F81AA738}">
  <dimension ref="A1:L8"/>
  <sheetViews>
    <sheetView zoomScale="120" zoomScaleNormal="120" workbookViewId="0"/>
  </sheetViews>
  <sheetFormatPr defaultRowHeight="15" x14ac:dyDescent="0.25"/>
  <cols>
    <col min="1" max="1" width="11.28515625" customWidth="1"/>
    <col min="2" max="2" width="25.28515625" bestFit="1" customWidth="1"/>
    <col min="3" max="3" width="21.5703125" customWidth="1"/>
    <col min="4" max="4" width="13.5703125" bestFit="1" customWidth="1"/>
    <col min="5" max="9" width="11.28515625" customWidth="1"/>
    <col min="10" max="10" width="12.42578125" customWidth="1"/>
    <col min="11" max="11" width="14.7109375" customWidth="1"/>
    <col min="12" max="12" width="15.7109375" customWidth="1"/>
  </cols>
  <sheetData>
    <row r="1" spans="1:12" ht="33.75" x14ac:dyDescent="0.6">
      <c r="A1" s="1" t="s">
        <v>3</v>
      </c>
    </row>
    <row r="3" spans="1:12" x14ac:dyDescent="0.25">
      <c r="A3" s="8" t="s">
        <v>5</v>
      </c>
      <c r="B3" s="8" t="s">
        <v>7</v>
      </c>
      <c r="C3" s="8" t="s">
        <v>8</v>
      </c>
      <c r="D3" s="8" t="s">
        <v>9</v>
      </c>
      <c r="E3" s="8" t="s">
        <v>10</v>
      </c>
      <c r="F3" s="8" t="s">
        <v>11</v>
      </c>
      <c r="G3" s="8" t="s">
        <v>12</v>
      </c>
      <c r="H3" s="8" t="s">
        <v>13</v>
      </c>
      <c r="I3" s="8" t="s">
        <v>14</v>
      </c>
      <c r="J3" s="8" t="s">
        <v>15</v>
      </c>
      <c r="K3" s="8" t="s">
        <v>16</v>
      </c>
      <c r="L3" s="8" t="s">
        <v>17</v>
      </c>
    </row>
    <row r="4" spans="1:12" x14ac:dyDescent="0.25">
      <c r="A4" s="9" t="str">
        <f>[1]Summary!E2</f>
        <v>ORTFD</v>
      </c>
      <c r="B4" s="9" t="str">
        <f>[1]Summary!F2</f>
        <v>Ortus Fund</v>
      </c>
      <c r="C4" s="9">
        <f>[1]Summary!G2</f>
        <v>3</v>
      </c>
      <c r="D4" s="10">
        <f>[1]Summary!H2</f>
        <v>4.4999999999999997E-3</v>
      </c>
      <c r="E4" s="14">
        <f>[1]Summary!I2</f>
        <v>36022</v>
      </c>
      <c r="F4" s="9" t="str">
        <f>[1]Summary!J2</f>
        <v>395+</v>
      </c>
      <c r="G4" s="11">
        <f>[1]Summary!K2</f>
        <v>178478</v>
      </c>
      <c r="H4" s="12">
        <f>[1]Summary!L2</f>
        <v>0.68</v>
      </c>
      <c r="I4" s="9">
        <f>[1]Summary!M2</f>
        <v>4</v>
      </c>
      <c r="J4" s="9" t="str">
        <f>[1]Summary!N2</f>
        <v>F-2</v>
      </c>
      <c r="K4" s="13">
        <f>[1]Summary!O2</f>
        <v>45.28</v>
      </c>
      <c r="L4" s="13">
        <f>[1]Summary!P2</f>
        <v>37.26</v>
      </c>
    </row>
    <row r="5" spans="1:12" x14ac:dyDescent="0.25">
      <c r="A5" s="9" t="str">
        <f>[2]Summary!E2</f>
        <v>SNRFD</v>
      </c>
      <c r="B5" s="9" t="str">
        <f>[2]Summary!F2</f>
        <v>Sunrise Fund</v>
      </c>
      <c r="C5" s="9">
        <f>[2]Summary!G2</f>
        <v>5</v>
      </c>
      <c r="D5" s="10">
        <f>[2]Summary!H2</f>
        <v>5.1000000000000004E-3</v>
      </c>
      <c r="E5" s="14">
        <f>[2]Summary!I2</f>
        <v>34902</v>
      </c>
      <c r="F5" s="9" t="str">
        <f>[2]Summary!J2</f>
        <v>540+</v>
      </c>
      <c r="G5" s="11">
        <f>[2]Summary!K2</f>
        <v>265180</v>
      </c>
      <c r="H5" s="12">
        <f>[2]Summary!L2</f>
        <v>0.95</v>
      </c>
      <c r="I5" s="9">
        <f>[2]Summary!M2</f>
        <v>7</v>
      </c>
      <c r="J5" s="9" t="str">
        <f>[2]Summary!N2</f>
        <v>F-1</v>
      </c>
      <c r="K5" s="13">
        <f>[2]Summary!O2</f>
        <v>34.28</v>
      </c>
      <c r="L5" s="13">
        <f>[2]Summary!P2</f>
        <v>21.55</v>
      </c>
    </row>
    <row r="6" spans="1:12" x14ac:dyDescent="0.25">
      <c r="A6" s="9" t="str">
        <f>[5]Summary!E2</f>
        <v>AIF</v>
      </c>
      <c r="B6" s="9" t="str">
        <f>[5]Summary!F2</f>
        <v>American Investment Fund</v>
      </c>
      <c r="C6" s="9">
        <f>[5]Summary!G2</f>
        <v>4</v>
      </c>
      <c r="D6" s="10">
        <f>[5]Summary!H2</f>
        <v>7.3000000000000001E-3</v>
      </c>
      <c r="E6" s="14">
        <f>[5]Summary!I2</f>
        <v>38596</v>
      </c>
      <c r="F6" s="9" t="str">
        <f>[5]Summary!J2</f>
        <v>225+</v>
      </c>
      <c r="G6" s="11">
        <f>[5]Summary!K2</f>
        <v>211205</v>
      </c>
      <c r="H6" s="12">
        <f>[5]Summary!L2</f>
        <v>0.78</v>
      </c>
      <c r="I6" s="9">
        <f>[5]Summary!M2</f>
        <v>8</v>
      </c>
      <c r="J6" s="9" t="str">
        <f>[5]Summary!N2</f>
        <v>F-1</v>
      </c>
      <c r="K6" s="13">
        <f>[5]Summary!O2</f>
        <v>66.209999999999994</v>
      </c>
      <c r="L6" s="13">
        <f>[5]Summary!P2</f>
        <v>41.27</v>
      </c>
    </row>
    <row r="7" spans="1:12" x14ac:dyDescent="0.25">
      <c r="A7" s="9" t="str">
        <f>[3]Summary!E2</f>
        <v>LTDX</v>
      </c>
      <c r="B7" s="9" t="str">
        <f>[3]Summary!F2</f>
        <v>Limited Diversified Fund</v>
      </c>
      <c r="C7" s="9">
        <f>[3]Summary!G2</f>
        <v>3</v>
      </c>
      <c r="D7" s="10">
        <f>[3]Summary!H2</f>
        <v>7.1000000000000004E-3</v>
      </c>
      <c r="E7" s="14">
        <f>[3]Summary!I2</f>
        <v>40269</v>
      </c>
      <c r="F7" s="9" t="str">
        <f>[3]Summary!J2</f>
        <v>378+</v>
      </c>
      <c r="G7" s="11">
        <f>[3]Summary!K2</f>
        <v>243001</v>
      </c>
      <c r="H7" s="12">
        <f>[3]Summary!L2</f>
        <v>0.84</v>
      </c>
      <c r="I7" s="9">
        <f>[3]Summary!M2</f>
        <v>5</v>
      </c>
      <c r="J7" s="9" t="str">
        <f>[3]Summary!N2</f>
        <v>F-3</v>
      </c>
      <c r="K7" s="13">
        <f>[3]Summary!O2</f>
        <v>42.55</v>
      </c>
      <c r="L7" s="13">
        <f>[3]Summary!P2</f>
        <v>28.14</v>
      </c>
    </row>
    <row r="8" spans="1:12" x14ac:dyDescent="0.25">
      <c r="A8" s="9" t="str">
        <f>[4]Summary!E2</f>
        <v>IHGF</v>
      </c>
      <c r="B8" s="9" t="str">
        <f>[4]Summary!F2</f>
        <v>International High Growth</v>
      </c>
      <c r="C8" s="9">
        <f>[4]Summary!G2</f>
        <v>4</v>
      </c>
      <c r="D8" s="10">
        <f>[4]Summary!H2</f>
        <v>9.2999999999999992E-3</v>
      </c>
      <c r="E8" s="14">
        <f>[4]Summary!I2</f>
        <v>42369</v>
      </c>
      <c r="F8" s="9" t="str">
        <f>[4]Summary!J2</f>
        <v>410+</v>
      </c>
      <c r="G8" s="11">
        <f>[4]Summary!K2</f>
        <v>311249</v>
      </c>
      <c r="H8" s="12">
        <f>[4]Summary!L2</f>
        <v>0.94</v>
      </c>
      <c r="I8" s="9">
        <f>[4]Summary!M2</f>
        <v>12</v>
      </c>
      <c r="J8" s="9" t="str">
        <f>[4]Summary!N2</f>
        <v>F-2</v>
      </c>
      <c r="K8" s="13">
        <f>[4]Summary!O2</f>
        <v>59.21</v>
      </c>
      <c r="L8" s="13">
        <f>[4]Summary!P2</f>
        <v>33.479999999999997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D21A02-1FBA-4D84-993B-6073930ECBE3}">
  <dimension ref="A1:O33"/>
  <sheetViews>
    <sheetView zoomScale="120" zoomScaleNormal="120" workbookViewId="0"/>
  </sheetViews>
  <sheetFormatPr defaultRowHeight="15" x14ac:dyDescent="0.25"/>
  <cols>
    <col min="1" max="1" width="14.85546875" customWidth="1"/>
    <col min="2" max="3" width="14.28515625" customWidth="1"/>
    <col min="4" max="4" width="14.85546875" customWidth="1"/>
    <col min="5" max="6" width="14.28515625" customWidth="1"/>
    <col min="7" max="7" width="14.85546875" customWidth="1"/>
    <col min="8" max="9" width="14.28515625" customWidth="1"/>
    <col min="10" max="10" width="14.85546875" customWidth="1"/>
    <col min="11" max="12" width="14.28515625" customWidth="1"/>
    <col min="13" max="13" width="14.85546875" customWidth="1"/>
    <col min="14" max="15" width="14.28515625" customWidth="1"/>
  </cols>
  <sheetData>
    <row r="1" spans="1:15" ht="33.75" x14ac:dyDescent="0.6">
      <c r="A1" s="1" t="s">
        <v>3</v>
      </c>
      <c r="D1" s="1"/>
      <c r="G1" s="1"/>
      <c r="J1" s="1"/>
      <c r="M1" s="1"/>
    </row>
    <row r="3" spans="1:15" x14ac:dyDescent="0.25">
      <c r="A3" s="8" t="str">
        <f>[1]Summary!A2</f>
        <v>ORTFD Date</v>
      </c>
      <c r="B3" s="8" t="str">
        <f>[1]Summary!B2</f>
        <v>ORTFD</v>
      </c>
      <c r="C3" s="8" t="str">
        <f>[1]Summary!C2</f>
        <v>ORTFD Shares</v>
      </c>
      <c r="D3" s="8" t="str">
        <f>[2]Summary!A2</f>
        <v>SNRFD Date</v>
      </c>
      <c r="E3" s="8" t="str">
        <f>[2]Summary!B2</f>
        <v>SNRFD</v>
      </c>
      <c r="F3" s="8" t="str">
        <f>[2]Summary!C2</f>
        <v>SNRFD Shares</v>
      </c>
      <c r="G3" s="8" t="str">
        <f>[5]Summary!A2</f>
        <v>AIF Date</v>
      </c>
      <c r="H3" s="8" t="str">
        <f>[5]Summary!B2</f>
        <v>AIF</v>
      </c>
      <c r="I3" s="8" t="str">
        <f>[5]Summary!C2</f>
        <v>AIF Shares</v>
      </c>
      <c r="J3" s="8" t="str">
        <f>[3]Summary!A2</f>
        <v>LTDX Date</v>
      </c>
      <c r="K3" s="8" t="str">
        <f>[3]Summary!B2</f>
        <v>LTDX</v>
      </c>
      <c r="L3" s="8" t="str">
        <f>[3]Summary!C2</f>
        <v>LTDX Shares</v>
      </c>
      <c r="M3" s="8" t="str">
        <f>[4]Summary!A2</f>
        <v>IHGF Date</v>
      </c>
      <c r="N3" s="8" t="str">
        <f>[4]Summary!B2</f>
        <v>IHGF</v>
      </c>
      <c r="O3" s="8" t="str">
        <f>[4]Summary!C2</f>
        <v>IHGF Shares</v>
      </c>
    </row>
    <row r="4" spans="1:15" x14ac:dyDescent="0.25">
      <c r="A4" s="14">
        <f>[1]Summary!A3</f>
        <v>45408</v>
      </c>
      <c r="B4" s="15">
        <f>[1]Summary!B3</f>
        <v>42.62</v>
      </c>
      <c r="C4" s="16">
        <f>[1]Summary!C3</f>
        <v>27786842</v>
      </c>
      <c r="D4" s="14">
        <f>[2]Summary!A3</f>
        <v>45408</v>
      </c>
      <c r="E4" s="15">
        <f>[2]Summary!B3</f>
        <v>30.25</v>
      </c>
      <c r="F4" s="16">
        <f>[2]Summary!C3</f>
        <v>21364198.874966547</v>
      </c>
      <c r="G4" s="14">
        <f>[5]Summary!A3</f>
        <v>45408</v>
      </c>
      <c r="H4" s="15">
        <f>[5]Summary!B3</f>
        <v>45.27</v>
      </c>
      <c r="I4" s="16">
        <f>[5]Summary!C3</f>
        <v>24878019</v>
      </c>
      <c r="J4" s="14">
        <f>[3]Summary!A3</f>
        <v>45408</v>
      </c>
      <c r="K4" s="15">
        <f>[3]Summary!B3</f>
        <v>29.81</v>
      </c>
      <c r="L4" s="16">
        <f>[3]Summary!C3</f>
        <v>38776625</v>
      </c>
      <c r="M4" s="14">
        <f>[4]Summary!A3</f>
        <v>45408</v>
      </c>
      <c r="N4" s="15">
        <f>[4]Summary!B3</f>
        <v>50.42</v>
      </c>
      <c r="O4" s="16">
        <f>[4]Summary!C3</f>
        <v>72546491</v>
      </c>
    </row>
    <row r="5" spans="1:15" x14ac:dyDescent="0.25">
      <c r="A5" s="14">
        <f>[1]Summary!A4</f>
        <v>45407</v>
      </c>
      <c r="B5" s="15">
        <f>[1]Summary!B4</f>
        <v>42.57</v>
      </c>
      <c r="C5" s="16">
        <f>[1]Summary!C4</f>
        <v>55050917</v>
      </c>
      <c r="D5" s="14">
        <f>[2]Summary!A4</f>
        <v>45407</v>
      </c>
      <c r="E5" s="15">
        <f>[2]Summary!B4</f>
        <v>30.89</v>
      </c>
      <c r="F5" s="16">
        <f>[2]Summary!C4</f>
        <v>55967966.84645097</v>
      </c>
      <c r="G5" s="14">
        <f>[5]Summary!A4</f>
        <v>45407</v>
      </c>
      <c r="H5" s="15">
        <f>[5]Summary!B4</f>
        <v>45.49</v>
      </c>
      <c r="I5" s="16">
        <f>[5]Summary!C4</f>
        <v>36503390</v>
      </c>
      <c r="J5" s="14">
        <f>[3]Summary!A4</f>
        <v>45407</v>
      </c>
      <c r="K5" s="15">
        <f>[3]Summary!B4</f>
        <v>29.63</v>
      </c>
      <c r="L5" s="16">
        <f>[3]Summary!C4</f>
        <v>48309325</v>
      </c>
      <c r="M5" s="14">
        <f>[4]Summary!A4</f>
        <v>45407</v>
      </c>
      <c r="N5" s="15">
        <f>[4]Summary!B4</f>
        <v>50.370000000000005</v>
      </c>
      <c r="O5" s="16">
        <f>[4]Summary!C4</f>
        <v>52009644</v>
      </c>
    </row>
    <row r="6" spans="1:15" x14ac:dyDescent="0.25">
      <c r="A6" s="14">
        <f>[1]Summary!A5</f>
        <v>45406</v>
      </c>
      <c r="B6" s="15">
        <f>[1]Summary!B5</f>
        <v>42.66</v>
      </c>
      <c r="C6" s="16">
        <f>[1]Summary!C5</f>
        <v>47436713</v>
      </c>
      <c r="D6" s="14">
        <f>[2]Summary!A5</f>
        <v>45406</v>
      </c>
      <c r="E6" s="15">
        <f>[2]Summary!B5</f>
        <v>32.01</v>
      </c>
      <c r="F6" s="16">
        <f>[2]Summary!C5</f>
        <v>48158441.597704306</v>
      </c>
      <c r="G6" s="14">
        <f>[5]Summary!A5</f>
        <v>45406</v>
      </c>
      <c r="H6" s="15">
        <f>[5]Summary!B5</f>
        <v>45.43</v>
      </c>
      <c r="I6" s="16">
        <f>[5]Summary!C5</f>
        <v>36975069</v>
      </c>
      <c r="J6" s="14">
        <f>[3]Summary!A5</f>
        <v>45406</v>
      </c>
      <c r="K6" s="15">
        <f>[3]Summary!B5</f>
        <v>30.209999999999997</v>
      </c>
      <c r="L6" s="16">
        <f>[3]Summary!C5</f>
        <v>27385596</v>
      </c>
      <c r="M6" s="14">
        <f>[4]Summary!A5</f>
        <v>45406</v>
      </c>
      <c r="N6" s="15">
        <f>[4]Summary!B5</f>
        <v>48.510000000000005</v>
      </c>
      <c r="O6" s="16">
        <f>[4]Summary!C5</f>
        <v>63530126</v>
      </c>
    </row>
    <row r="7" spans="1:15" x14ac:dyDescent="0.25">
      <c r="A7" s="14">
        <f>[1]Summary!A6</f>
        <v>45405</v>
      </c>
      <c r="B7" s="15">
        <f>[1]Summary!B6</f>
        <v>42.83</v>
      </c>
      <c r="C7" s="16">
        <f>[1]Summary!C6</f>
        <v>34573745</v>
      </c>
      <c r="D7" s="14">
        <f>[2]Summary!A6</f>
        <v>45405</v>
      </c>
      <c r="E7" s="15">
        <f>[2]Summary!B6</f>
        <v>32.200000000000003</v>
      </c>
      <c r="F7" s="16">
        <f>[2]Summary!C6</f>
        <v>48501786.935414404</v>
      </c>
      <c r="G7" s="14">
        <f>[5]Summary!A6</f>
        <v>45405</v>
      </c>
      <c r="H7" s="15">
        <f>[5]Summary!B6</f>
        <v>47.1</v>
      </c>
      <c r="I7" s="16">
        <f>[5]Summary!C6</f>
        <v>46351758</v>
      </c>
      <c r="J7" s="14">
        <f>[3]Summary!A6</f>
        <v>45405</v>
      </c>
      <c r="K7" s="15">
        <f>[3]Summary!B6</f>
        <v>32.44</v>
      </c>
      <c r="L7" s="16">
        <f>[3]Summary!C6</f>
        <v>38928483</v>
      </c>
      <c r="M7" s="14">
        <f>[4]Summary!A6</f>
        <v>45405</v>
      </c>
      <c r="N7" s="15">
        <f>[4]Summary!B6</f>
        <v>50.24</v>
      </c>
      <c r="O7" s="16">
        <f>[4]Summary!C6</f>
        <v>62138052</v>
      </c>
    </row>
    <row r="8" spans="1:15" x14ac:dyDescent="0.25">
      <c r="A8" s="14">
        <f>[1]Summary!A7</f>
        <v>45404</v>
      </c>
      <c r="B8" s="15">
        <f>[1]Summary!B7</f>
        <v>43.36</v>
      </c>
      <c r="C8" s="16">
        <f>[1]Summary!C7</f>
        <v>39279594</v>
      </c>
      <c r="D8" s="14">
        <f>[2]Summary!A7</f>
        <v>45404</v>
      </c>
      <c r="E8" s="15">
        <f>[2]Summary!B7</f>
        <v>32.880000000000003</v>
      </c>
      <c r="F8" s="16">
        <f>[2]Summary!C7</f>
        <v>46614951.24887614</v>
      </c>
      <c r="G8" s="14">
        <f>[5]Summary!A7</f>
        <v>45404</v>
      </c>
      <c r="H8" s="15">
        <f>[5]Summary!B7</f>
        <v>47.32</v>
      </c>
      <c r="I8" s="16">
        <f>[5]Summary!C7</f>
        <v>36970464</v>
      </c>
      <c r="J8" s="14">
        <f>[3]Summary!A7</f>
        <v>45404</v>
      </c>
      <c r="K8" s="15">
        <f>[3]Summary!B7</f>
        <v>34.229999999999997</v>
      </c>
      <c r="L8" s="16">
        <f>[3]Summary!C7</f>
        <v>42199451</v>
      </c>
      <c r="M8" s="14">
        <f>[4]Summary!A7</f>
        <v>45404</v>
      </c>
      <c r="N8" s="15">
        <f>[4]Summary!B7</f>
        <v>47.940000000000005</v>
      </c>
      <c r="O8" s="16">
        <f>[4]Summary!C7</f>
        <v>46173661</v>
      </c>
    </row>
    <row r="9" spans="1:15" x14ac:dyDescent="0.25">
      <c r="A9" s="14">
        <f>[1]Summary!A8</f>
        <v>45401</v>
      </c>
      <c r="B9" s="15">
        <f>[1]Summary!B8</f>
        <v>43.26</v>
      </c>
      <c r="C9" s="16">
        <f>[1]Summary!C8</f>
        <v>43377797</v>
      </c>
      <c r="D9" s="14">
        <f>[2]Summary!A8</f>
        <v>45401</v>
      </c>
      <c r="E9" s="15">
        <f>[2]Summary!B8</f>
        <v>32.729999999999997</v>
      </c>
      <c r="F9" s="16">
        <f>[2]Summary!C8</f>
        <v>63512535.051053062</v>
      </c>
      <c r="G9" s="14">
        <f>[5]Summary!A8</f>
        <v>45401</v>
      </c>
      <c r="H9" s="15">
        <f>[5]Summary!B8</f>
        <v>49.03</v>
      </c>
      <c r="I9" s="16">
        <f>[5]Summary!C8</f>
        <v>47800395</v>
      </c>
      <c r="J9" s="14">
        <f>[3]Summary!A8</f>
        <v>45401</v>
      </c>
      <c r="K9" s="15">
        <f>[3]Summary!B8</f>
        <v>35.019999999999996</v>
      </c>
      <c r="L9" s="16">
        <f>[3]Summary!C8</f>
        <v>42351574</v>
      </c>
      <c r="M9" s="14">
        <f>[4]Summary!A8</f>
        <v>45401</v>
      </c>
      <c r="N9" s="15">
        <f>[4]Summary!B8</f>
        <v>46.750000000000007</v>
      </c>
      <c r="O9" s="16">
        <f>[4]Summary!C8</f>
        <v>56086470</v>
      </c>
    </row>
    <row r="10" spans="1:15" x14ac:dyDescent="0.25">
      <c r="A10" s="14">
        <f>[1]Summary!A9</f>
        <v>45400</v>
      </c>
      <c r="B10" s="15">
        <f>[1]Summary!B9</f>
        <v>43.39</v>
      </c>
      <c r="C10" s="16">
        <f>[1]Summary!C9</f>
        <v>44511498</v>
      </c>
      <c r="D10" s="14">
        <f>[2]Summary!A9</f>
        <v>45400</v>
      </c>
      <c r="E10" s="15">
        <f>[2]Summary!B9</f>
        <v>33.36</v>
      </c>
      <c r="F10" s="16">
        <f>[2]Summary!C9</f>
        <v>27729605.019894265</v>
      </c>
      <c r="G10" s="14">
        <f>[5]Summary!A9</f>
        <v>45400</v>
      </c>
      <c r="H10" s="15">
        <f>[5]Summary!B9</f>
        <v>48.75</v>
      </c>
      <c r="I10" s="16">
        <f>[5]Summary!C9</f>
        <v>33975920</v>
      </c>
      <c r="J10" s="14">
        <f>[3]Summary!A9</f>
        <v>45400</v>
      </c>
      <c r="K10" s="15">
        <f>[3]Summary!B9</f>
        <v>35.589999999999996</v>
      </c>
      <c r="L10" s="16">
        <f>[3]Summary!C9</f>
        <v>40967003</v>
      </c>
      <c r="M10" s="14">
        <f>[4]Summary!A9</f>
        <v>45400</v>
      </c>
      <c r="N10" s="15">
        <f>[4]Summary!B9</f>
        <v>45.77000000000001</v>
      </c>
      <c r="O10" s="16">
        <f>[4]Summary!C9</f>
        <v>65699108</v>
      </c>
    </row>
    <row r="11" spans="1:15" x14ac:dyDescent="0.25">
      <c r="A11" s="14">
        <f>[1]Summary!A10</f>
        <v>45399</v>
      </c>
      <c r="B11" s="15">
        <f>[1]Summary!B10</f>
        <v>43.55</v>
      </c>
      <c r="C11" s="16">
        <f>[1]Summary!C10</f>
        <v>56107531</v>
      </c>
      <c r="D11" s="14">
        <f>[2]Summary!A10</f>
        <v>45399</v>
      </c>
      <c r="E11" s="15">
        <f>[2]Summary!B10</f>
        <v>33.36</v>
      </c>
      <c r="F11" s="16">
        <f>[2]Summary!C10</f>
        <v>17518043.128408954</v>
      </c>
      <c r="G11" s="14">
        <f>[5]Summary!A10</f>
        <v>45399</v>
      </c>
      <c r="H11" s="15">
        <f>[5]Summary!B10</f>
        <v>50.39</v>
      </c>
      <c r="I11" s="16">
        <f>[5]Summary!C10</f>
        <v>51764273</v>
      </c>
      <c r="J11" s="14">
        <f>[3]Summary!A10</f>
        <v>45399</v>
      </c>
      <c r="K11" s="15">
        <f>[3]Summary!B10</f>
        <v>34.869999999999997</v>
      </c>
      <c r="L11" s="16">
        <f>[3]Summary!C10</f>
        <v>17497075</v>
      </c>
      <c r="M11" s="14">
        <f>[4]Summary!A10</f>
        <v>45399</v>
      </c>
      <c r="N11" s="15">
        <f>[4]Summary!B10</f>
        <v>49.590000000000011</v>
      </c>
      <c r="O11" s="16">
        <f>[4]Summary!C10</f>
        <v>44246199</v>
      </c>
    </row>
    <row r="12" spans="1:15" x14ac:dyDescent="0.25">
      <c r="A12" s="14">
        <f>[1]Summary!A11</f>
        <v>45398</v>
      </c>
      <c r="B12" s="15">
        <f>[1]Summary!B11</f>
        <v>43.86</v>
      </c>
      <c r="C12" s="16">
        <f>[1]Summary!C11</f>
        <v>48384008</v>
      </c>
      <c r="D12" s="14">
        <f>[2]Summary!A11</f>
        <v>45398</v>
      </c>
      <c r="E12" s="15">
        <f>[2]Summary!B11</f>
        <v>32.630000000000003</v>
      </c>
      <c r="F12" s="16">
        <f>[2]Summary!C11</f>
        <v>45424737.694804162</v>
      </c>
      <c r="G12" s="14">
        <f>[5]Summary!A11</f>
        <v>45398</v>
      </c>
      <c r="H12" s="15">
        <f>[5]Summary!B11</f>
        <v>51.96</v>
      </c>
      <c r="I12" s="16">
        <f>[5]Summary!C11</f>
        <v>51530931</v>
      </c>
      <c r="J12" s="14">
        <f>[3]Summary!A11</f>
        <v>45398</v>
      </c>
      <c r="K12" s="15">
        <f>[3]Summary!B11</f>
        <v>34.29</v>
      </c>
      <c r="L12" s="16">
        <f>[3]Summary!C11</f>
        <v>18318793</v>
      </c>
      <c r="M12" s="14">
        <f>[4]Summary!A11</f>
        <v>45398</v>
      </c>
      <c r="N12" s="15">
        <f>[4]Summary!B11</f>
        <v>52.52000000000001</v>
      </c>
      <c r="O12" s="16">
        <f>[4]Summary!C11</f>
        <v>46356454</v>
      </c>
    </row>
    <row r="13" spans="1:15" x14ac:dyDescent="0.25">
      <c r="A13" s="14">
        <f>[1]Summary!A12</f>
        <v>45397</v>
      </c>
      <c r="B13" s="15">
        <f>[1]Summary!B12</f>
        <v>44.04</v>
      </c>
      <c r="C13" s="16">
        <f>[1]Summary!C12</f>
        <v>40563737</v>
      </c>
      <c r="D13" s="14">
        <f>[2]Summary!A12</f>
        <v>45397</v>
      </c>
      <c r="E13" s="15">
        <f>[2]Summary!B12</f>
        <v>33.049999999999997</v>
      </c>
      <c r="F13" s="16">
        <f>[2]Summary!C12</f>
        <v>43336393.74535282</v>
      </c>
      <c r="G13" s="14">
        <f>[5]Summary!A12</f>
        <v>45397</v>
      </c>
      <c r="H13" s="15">
        <f>[5]Summary!B12</f>
        <v>52.34</v>
      </c>
      <c r="I13" s="16">
        <f>[5]Summary!C12</f>
        <v>33726651</v>
      </c>
      <c r="J13" s="14">
        <f>[3]Summary!A12</f>
        <v>45397</v>
      </c>
      <c r="K13" s="15">
        <f>[3]Summary!B12</f>
        <v>35.119999999999997</v>
      </c>
      <c r="L13" s="16">
        <f>[3]Summary!C12</f>
        <v>37361584</v>
      </c>
      <c r="M13" s="14">
        <f>[4]Summary!A12</f>
        <v>45397</v>
      </c>
      <c r="N13" s="15">
        <f>[4]Summary!B12</f>
        <v>50.860000000000014</v>
      </c>
      <c r="O13" s="16">
        <f>[4]Summary!C12</f>
        <v>58675984</v>
      </c>
    </row>
    <row r="14" spans="1:15" x14ac:dyDescent="0.25">
      <c r="A14" s="14">
        <f>[1]Summary!A13</f>
        <v>45394</v>
      </c>
      <c r="B14" s="15">
        <f>[1]Summary!B13</f>
        <v>44</v>
      </c>
      <c r="C14" s="16">
        <f>[1]Summary!C13</f>
        <v>47410027</v>
      </c>
      <c r="D14" s="14">
        <f>[2]Summary!A13</f>
        <v>45394</v>
      </c>
      <c r="E14" s="15">
        <f>[2]Summary!B13</f>
        <v>33.25</v>
      </c>
      <c r="F14" s="16">
        <f>[2]Summary!C13</f>
        <v>42477817.083022431</v>
      </c>
      <c r="G14" s="14">
        <f>[5]Summary!A13</f>
        <v>45394</v>
      </c>
      <c r="H14" s="15">
        <f>[5]Summary!B13</f>
        <v>52.800000000000004</v>
      </c>
      <c r="I14" s="16">
        <f>[5]Summary!C13</f>
        <v>38292943</v>
      </c>
      <c r="J14" s="14">
        <f>[3]Summary!A13</f>
        <v>45394</v>
      </c>
      <c r="K14" s="15">
        <f>[3]Summary!B13</f>
        <v>33.239999999999995</v>
      </c>
      <c r="L14" s="16">
        <f>[3]Summary!C13</f>
        <v>49436367</v>
      </c>
      <c r="M14" s="14">
        <f>[4]Summary!A13</f>
        <v>45394</v>
      </c>
      <c r="N14" s="15">
        <f>[4]Summary!B13</f>
        <v>48.380000000000017</v>
      </c>
      <c r="O14" s="16">
        <f>[4]Summary!C13</f>
        <v>45818214</v>
      </c>
    </row>
    <row r="15" spans="1:15" x14ac:dyDescent="0.25">
      <c r="A15" s="14">
        <f>[1]Summary!A14</f>
        <v>45393</v>
      </c>
      <c r="B15" s="15">
        <f>[1]Summary!B14</f>
        <v>43.85</v>
      </c>
      <c r="C15" s="16">
        <f>[1]Summary!C14</f>
        <v>51701667</v>
      </c>
      <c r="D15" s="14">
        <f>[2]Summary!A14</f>
        <v>45393</v>
      </c>
      <c r="E15" s="15">
        <f>[2]Summary!B14</f>
        <v>32.950000000000003</v>
      </c>
      <c r="F15" s="16">
        <f>[2]Summary!C14</f>
        <v>40768781.419403806</v>
      </c>
      <c r="G15" s="14">
        <f>[5]Summary!A14</f>
        <v>45393</v>
      </c>
      <c r="H15" s="15">
        <f>[5]Summary!B14</f>
        <v>52.470000000000006</v>
      </c>
      <c r="I15" s="16">
        <f>[5]Summary!C14</f>
        <v>37889242</v>
      </c>
      <c r="J15" s="14">
        <f>[3]Summary!A14</f>
        <v>45393</v>
      </c>
      <c r="K15" s="15">
        <f>[3]Summary!B14</f>
        <v>33.399999999999991</v>
      </c>
      <c r="L15" s="16">
        <f>[3]Summary!C14</f>
        <v>36078273</v>
      </c>
      <c r="M15" s="14">
        <f>[4]Summary!A14</f>
        <v>45393</v>
      </c>
      <c r="N15" s="15">
        <f>[4]Summary!B14</f>
        <v>50.280000000000015</v>
      </c>
      <c r="O15" s="16">
        <f>[4]Summary!C14</f>
        <v>60764587</v>
      </c>
    </row>
    <row r="16" spans="1:15" x14ac:dyDescent="0.25">
      <c r="A16" s="14">
        <f>[1]Summary!A15</f>
        <v>45392</v>
      </c>
      <c r="B16" s="15">
        <f>[1]Summary!B15</f>
        <v>43.64</v>
      </c>
      <c r="C16" s="16">
        <f>[1]Summary!C15</f>
        <v>34682930</v>
      </c>
      <c r="D16" s="14">
        <f>[2]Summary!A15</f>
        <v>45392</v>
      </c>
      <c r="E16" s="15">
        <f>[2]Summary!B15</f>
        <v>32.590000000000003</v>
      </c>
      <c r="F16" s="16">
        <f>[2]Summary!C15</f>
        <v>28940595.614296932</v>
      </c>
      <c r="G16" s="14">
        <f>[5]Summary!A15</f>
        <v>45392</v>
      </c>
      <c r="H16" s="15">
        <f>[5]Summary!B15</f>
        <v>50.930000000000007</v>
      </c>
      <c r="I16" s="16">
        <f>[5]Summary!C15</f>
        <v>59390805</v>
      </c>
      <c r="J16" s="14">
        <f>[3]Summary!A15</f>
        <v>45392</v>
      </c>
      <c r="K16" s="15">
        <f>[3]Summary!B15</f>
        <v>33.689999999999991</v>
      </c>
      <c r="L16" s="16">
        <f>[3]Summary!C15</f>
        <v>30697275</v>
      </c>
      <c r="M16" s="14">
        <f>[4]Summary!A15</f>
        <v>45392</v>
      </c>
      <c r="N16" s="15">
        <f>[4]Summary!B15</f>
        <v>49.490000000000016</v>
      </c>
      <c r="O16" s="16">
        <f>[4]Summary!C15</f>
        <v>51982012</v>
      </c>
    </row>
    <row r="17" spans="1:15" x14ac:dyDescent="0.25">
      <c r="A17" s="14">
        <f>[1]Summary!A16</f>
        <v>45391</v>
      </c>
      <c r="B17" s="15">
        <f>[1]Summary!B16</f>
        <v>43.87</v>
      </c>
      <c r="C17" s="16">
        <f>[1]Summary!C16</f>
        <v>29754820</v>
      </c>
      <c r="D17" s="14">
        <f>[2]Summary!A16</f>
        <v>45391</v>
      </c>
      <c r="E17" s="15">
        <f>[2]Summary!B16</f>
        <v>32.57</v>
      </c>
      <c r="F17" s="16">
        <f>[2]Summary!C16</f>
        <v>44877079.758194283</v>
      </c>
      <c r="G17" s="14">
        <f>[5]Summary!A16</f>
        <v>45391</v>
      </c>
      <c r="H17" s="15">
        <f>[5]Summary!B16</f>
        <v>50.030000000000008</v>
      </c>
      <c r="I17" s="16">
        <f>[5]Summary!C16</f>
        <v>43956796</v>
      </c>
      <c r="J17" s="14">
        <f>[3]Summary!A16</f>
        <v>45391</v>
      </c>
      <c r="K17" s="15">
        <f>[3]Summary!B16</f>
        <v>32.859999999999992</v>
      </c>
      <c r="L17" s="16">
        <f>[3]Summary!C16</f>
        <v>32810610</v>
      </c>
      <c r="M17" s="14">
        <f>[4]Summary!A16</f>
        <v>45391</v>
      </c>
      <c r="N17" s="15">
        <f>[4]Summary!B16</f>
        <v>47.950000000000017</v>
      </c>
      <c r="O17" s="16">
        <f>[4]Summary!C16</f>
        <v>55489999</v>
      </c>
    </row>
    <row r="18" spans="1:15" x14ac:dyDescent="0.25">
      <c r="A18" s="14">
        <f>[1]Summary!A17</f>
        <v>45390</v>
      </c>
      <c r="B18" s="15">
        <f>[1]Summary!B17</f>
        <v>44.03</v>
      </c>
      <c r="C18" s="16">
        <f>[1]Summary!C17</f>
        <v>35884767</v>
      </c>
      <c r="D18" s="14">
        <f>[2]Summary!A17</f>
        <v>45390</v>
      </c>
      <c r="E18" s="15">
        <f>[2]Summary!B17</f>
        <v>31.84</v>
      </c>
      <c r="F18" s="16">
        <f>[2]Summary!C17</f>
        <v>24076466.860923104</v>
      </c>
      <c r="G18" s="14">
        <f>[5]Summary!A17</f>
        <v>45390</v>
      </c>
      <c r="H18" s="15">
        <f>[5]Summary!B17</f>
        <v>48.980000000000011</v>
      </c>
      <c r="I18" s="16">
        <f>[5]Summary!C17</f>
        <v>45239871</v>
      </c>
      <c r="J18" s="14">
        <f>[3]Summary!A17</f>
        <v>45390</v>
      </c>
      <c r="K18" s="15">
        <f>[3]Summary!B17</f>
        <v>34.859999999999992</v>
      </c>
      <c r="L18" s="16">
        <f>[3]Summary!C17</f>
        <v>35576862</v>
      </c>
      <c r="M18" s="14">
        <f>[4]Summary!A17</f>
        <v>45390</v>
      </c>
      <c r="N18" s="15">
        <f>[4]Summary!B17</f>
        <v>47.840000000000018</v>
      </c>
      <c r="O18" s="16">
        <f>[4]Summary!C17</f>
        <v>49879675</v>
      </c>
    </row>
    <row r="19" spans="1:15" x14ac:dyDescent="0.25">
      <c r="A19" s="14">
        <f>[1]Summary!A18</f>
        <v>45387</v>
      </c>
      <c r="B19" s="15">
        <f>[1]Summary!B18</f>
        <v>43.71</v>
      </c>
      <c r="C19" s="16">
        <f>[1]Summary!C18</f>
        <v>58788323</v>
      </c>
      <c r="D19" s="14">
        <f>[2]Summary!A18</f>
        <v>45387</v>
      </c>
      <c r="E19" s="15">
        <f>[2]Summary!B18</f>
        <v>31.39</v>
      </c>
      <c r="F19" s="16">
        <f>[2]Summary!C18</f>
        <v>62254981.026426524</v>
      </c>
      <c r="G19" s="14">
        <f>[5]Summary!A18</f>
        <v>45387</v>
      </c>
      <c r="H19" s="15">
        <f>[5]Summary!B18</f>
        <v>49.350000000000009</v>
      </c>
      <c r="I19" s="16">
        <f>[5]Summary!C18</f>
        <v>49970636</v>
      </c>
      <c r="J19" s="14">
        <f>[3]Summary!A18</f>
        <v>45387</v>
      </c>
      <c r="K19" s="15">
        <f>[3]Summary!B18</f>
        <v>36.159999999999989</v>
      </c>
      <c r="L19" s="16">
        <f>[3]Summary!C18</f>
        <v>23629341</v>
      </c>
      <c r="M19" s="14">
        <f>[4]Summary!A18</f>
        <v>45387</v>
      </c>
      <c r="N19" s="15">
        <f>[4]Summary!B18</f>
        <v>45.97000000000002</v>
      </c>
      <c r="O19" s="16">
        <f>[4]Summary!C18</f>
        <v>55352604</v>
      </c>
    </row>
    <row r="20" spans="1:15" x14ac:dyDescent="0.25">
      <c r="A20" s="14">
        <f>[1]Summary!A19</f>
        <v>45386</v>
      </c>
      <c r="B20" s="15">
        <f>[1]Summary!B19</f>
        <v>43.69</v>
      </c>
      <c r="C20" s="16">
        <f>[1]Summary!C19</f>
        <v>44657382</v>
      </c>
      <c r="D20" s="14">
        <f>[2]Summary!A19</f>
        <v>45386</v>
      </c>
      <c r="E20" s="15">
        <f>[2]Summary!B19</f>
        <v>32.35</v>
      </c>
      <c r="F20" s="16">
        <f>[2]Summary!C19</f>
        <v>38396792.096809588</v>
      </c>
      <c r="G20" s="14">
        <f>[5]Summary!A19</f>
        <v>45386</v>
      </c>
      <c r="H20" s="15">
        <f>[5]Summary!B19</f>
        <v>50.45000000000001</v>
      </c>
      <c r="I20" s="16">
        <f>[5]Summary!C19</f>
        <v>42991806</v>
      </c>
      <c r="J20" s="14">
        <f>[3]Summary!A19</f>
        <v>45386</v>
      </c>
      <c r="K20" s="15">
        <f>[3]Summary!B19</f>
        <v>36.86999999999999</v>
      </c>
      <c r="L20" s="16">
        <f>[3]Summary!C19</f>
        <v>31886507</v>
      </c>
      <c r="M20" s="14">
        <f>[4]Summary!A19</f>
        <v>45386</v>
      </c>
      <c r="N20" s="15">
        <f>[4]Summary!B19</f>
        <v>43.90000000000002</v>
      </c>
      <c r="O20" s="16">
        <f>[4]Summary!C19</f>
        <v>43125721</v>
      </c>
    </row>
    <row r="21" spans="1:15" x14ac:dyDescent="0.25">
      <c r="A21" s="14">
        <f>[1]Summary!A20</f>
        <v>45385</v>
      </c>
      <c r="B21" s="15">
        <f>[1]Summary!B20</f>
        <v>43.8</v>
      </c>
      <c r="C21" s="16">
        <f>[1]Summary!C20</f>
        <v>51316576</v>
      </c>
      <c r="D21" s="14">
        <f>[2]Summary!A20</f>
        <v>45385</v>
      </c>
      <c r="E21" s="15">
        <f>[2]Summary!B20</f>
        <v>32.28</v>
      </c>
      <c r="F21" s="16">
        <f>[2]Summary!C20</f>
        <v>48042945.31409099</v>
      </c>
      <c r="G21" s="14">
        <f>[5]Summary!A20</f>
        <v>45385</v>
      </c>
      <c r="H21" s="15">
        <f>[5]Summary!B20</f>
        <v>50.330000000000013</v>
      </c>
      <c r="I21" s="16">
        <f>[5]Summary!C20</f>
        <v>41906315</v>
      </c>
      <c r="J21" s="14">
        <f>[3]Summary!A20</f>
        <v>45385</v>
      </c>
      <c r="K21" s="15">
        <f>[3]Summary!B20</f>
        <v>38.089999999999989</v>
      </c>
      <c r="L21" s="16">
        <f>[3]Summary!C20</f>
        <v>34974533</v>
      </c>
      <c r="M21" s="14">
        <f>[4]Summary!A20</f>
        <v>45385</v>
      </c>
      <c r="N21" s="15">
        <f>[4]Summary!B20</f>
        <v>49.000000000000021</v>
      </c>
      <c r="O21" s="16">
        <f>[4]Summary!C20</f>
        <v>57153337</v>
      </c>
    </row>
    <row r="22" spans="1:15" x14ac:dyDescent="0.25">
      <c r="A22" s="14">
        <f>[1]Summary!A21</f>
        <v>45384</v>
      </c>
      <c r="B22" s="15">
        <f>[1]Summary!B21</f>
        <v>44.32</v>
      </c>
      <c r="C22" s="16">
        <f>[1]Summary!C21</f>
        <v>45693277</v>
      </c>
      <c r="D22" s="14">
        <f>[2]Summary!A21</f>
        <v>45384</v>
      </c>
      <c r="E22" s="15">
        <f>[2]Summary!B21</f>
        <v>31.85</v>
      </c>
      <c r="F22" s="16">
        <f>[2]Summary!C21</f>
        <v>42711356.098638386</v>
      </c>
      <c r="G22" s="14">
        <f>[5]Summary!A21</f>
        <v>45384</v>
      </c>
      <c r="H22" s="15">
        <f>[5]Summary!B21</f>
        <v>52.090000000000011</v>
      </c>
      <c r="I22" s="16">
        <f>[5]Summary!C21</f>
        <v>33678273</v>
      </c>
      <c r="J22" s="14">
        <f>[3]Summary!A21</f>
        <v>45384</v>
      </c>
      <c r="K22" s="15">
        <f>[3]Summary!B21</f>
        <v>38.179999999999993</v>
      </c>
      <c r="L22" s="16">
        <f>[3]Summary!C21</f>
        <v>29212145</v>
      </c>
      <c r="M22" s="14">
        <f>[4]Summary!A21</f>
        <v>45384</v>
      </c>
      <c r="N22" s="15">
        <f>[4]Summary!B21</f>
        <v>47.810000000000024</v>
      </c>
      <c r="O22" s="16">
        <f>[4]Summary!C21</f>
        <v>55648488</v>
      </c>
    </row>
    <row r="23" spans="1:15" x14ac:dyDescent="0.25">
      <c r="A23" s="14">
        <f>[1]Summary!A22</f>
        <v>45383</v>
      </c>
      <c r="B23" s="15">
        <f>[1]Summary!B22</f>
        <v>44.28</v>
      </c>
      <c r="C23" s="16">
        <f>[1]Summary!C22</f>
        <v>36867496</v>
      </c>
      <c r="D23" s="14">
        <f>[2]Summary!A22</f>
        <v>45383</v>
      </c>
      <c r="E23" s="15">
        <f>[2]Summary!B22</f>
        <v>32.22</v>
      </c>
      <c r="F23" s="16">
        <f>[2]Summary!C22</f>
        <v>43950281.734479398</v>
      </c>
      <c r="G23" s="14">
        <f>[5]Summary!A22</f>
        <v>45383</v>
      </c>
      <c r="H23" s="15">
        <f>[5]Summary!B22</f>
        <v>52.430000000000014</v>
      </c>
      <c r="I23" s="16">
        <f>[5]Summary!C22</f>
        <v>37401351</v>
      </c>
      <c r="J23" s="14">
        <f>[3]Summary!A22</f>
        <v>45383</v>
      </c>
      <c r="K23" s="15">
        <f>[3]Summary!B22</f>
        <v>40.159999999999989</v>
      </c>
      <c r="L23" s="16">
        <f>[3]Summary!C22</f>
        <v>32235043</v>
      </c>
      <c r="M23" s="14">
        <f>[4]Summary!A22</f>
        <v>45383</v>
      </c>
      <c r="N23" s="15">
        <f>[4]Summary!B22</f>
        <v>46.260000000000026</v>
      </c>
      <c r="O23" s="16">
        <f>[4]Summary!C22</f>
        <v>65144478</v>
      </c>
    </row>
    <row r="24" spans="1:15" x14ac:dyDescent="0.25">
      <c r="A24" s="14">
        <f>[1]Summary!A23</f>
        <v>45380</v>
      </c>
      <c r="B24" s="15">
        <f>[1]Summary!B23</f>
        <v>44.11</v>
      </c>
      <c r="C24" s="16">
        <f>[1]Summary!C23</f>
        <v>37916416</v>
      </c>
      <c r="D24" s="14">
        <f>[2]Summary!A23</f>
        <v>45380</v>
      </c>
      <c r="E24" s="15">
        <f>[2]Summary!B23</f>
        <v>31.52</v>
      </c>
      <c r="F24" s="16">
        <f>[2]Summary!C23</f>
        <v>40509760.049912907</v>
      </c>
      <c r="G24" s="14">
        <f>[5]Summary!A23</f>
        <v>45380</v>
      </c>
      <c r="H24" s="15">
        <f>[5]Summary!B23</f>
        <v>53.610000000000014</v>
      </c>
      <c r="I24" s="16">
        <f>[5]Summary!C23</f>
        <v>35279810</v>
      </c>
      <c r="J24" s="14">
        <f>[3]Summary!A23</f>
        <v>45380</v>
      </c>
      <c r="K24" s="15">
        <f>[3]Summary!B23</f>
        <v>38.239999999999988</v>
      </c>
      <c r="L24" s="16">
        <f>[3]Summary!C23</f>
        <v>42152171</v>
      </c>
      <c r="M24" s="14">
        <f>[4]Summary!A23</f>
        <v>45380</v>
      </c>
      <c r="N24" s="15">
        <f>[4]Summary!B23</f>
        <v>48.220000000000027</v>
      </c>
      <c r="O24" s="16">
        <f>[4]Summary!C23</f>
        <v>31966957</v>
      </c>
    </row>
    <row r="25" spans="1:15" x14ac:dyDescent="0.25">
      <c r="A25" s="14">
        <f>[1]Summary!A24</f>
        <v>45379</v>
      </c>
      <c r="B25" s="15">
        <f>[1]Summary!B24</f>
        <v>43.42</v>
      </c>
      <c r="C25" s="16">
        <f>[1]Summary!C24</f>
        <v>44090432</v>
      </c>
      <c r="D25" s="14">
        <f>[2]Summary!A24</f>
        <v>45379</v>
      </c>
      <c r="E25" s="15">
        <f>[2]Summary!B24</f>
        <v>31.49</v>
      </c>
      <c r="F25" s="16">
        <f>[2]Summary!C24</f>
        <v>55053474.882197909</v>
      </c>
      <c r="G25" s="14">
        <f>[5]Summary!A24</f>
        <v>45379</v>
      </c>
      <c r="H25" s="15">
        <f>[5]Summary!B24</f>
        <v>54.870000000000012</v>
      </c>
      <c r="I25" s="16">
        <f>[5]Summary!C24</f>
        <v>36888189</v>
      </c>
      <c r="J25" s="14">
        <f>[3]Summary!A24</f>
        <v>45379</v>
      </c>
      <c r="K25" s="15">
        <f>[3]Summary!B24</f>
        <v>36.779999999999987</v>
      </c>
      <c r="L25" s="16">
        <f>[3]Summary!C24</f>
        <v>33645473</v>
      </c>
      <c r="M25" s="14">
        <f>[4]Summary!A24</f>
        <v>45379</v>
      </c>
      <c r="N25" s="15">
        <f>[4]Summary!B24</f>
        <v>48.430000000000028</v>
      </c>
      <c r="O25" s="16">
        <f>[4]Summary!C24</f>
        <v>59511612</v>
      </c>
    </row>
    <row r="26" spans="1:15" x14ac:dyDescent="0.25">
      <c r="A26" s="14">
        <f>[1]Summary!A25</f>
        <v>45378</v>
      </c>
      <c r="B26" s="15">
        <f>[1]Summary!B25</f>
        <v>43.45</v>
      </c>
      <c r="C26" s="16">
        <f>[1]Summary!C25</f>
        <v>56267128</v>
      </c>
      <c r="D26" s="14">
        <f>[2]Summary!A25</f>
        <v>45378</v>
      </c>
      <c r="E26" s="15">
        <f>[2]Summary!B25</f>
        <v>31.24</v>
      </c>
      <c r="F26" s="16">
        <f>[2]Summary!C25</f>
        <v>50159647.12137571</v>
      </c>
      <c r="G26" s="14">
        <f>[5]Summary!A25</f>
        <v>45378</v>
      </c>
      <c r="H26" s="15">
        <f>[5]Summary!B25</f>
        <v>56.360000000000014</v>
      </c>
      <c r="I26" s="16">
        <f>[5]Summary!C25</f>
        <v>53988552</v>
      </c>
      <c r="J26" s="14">
        <f>[3]Summary!A25</f>
        <v>45378</v>
      </c>
      <c r="K26" s="15">
        <f>[3]Summary!B25</f>
        <v>39.789999999999985</v>
      </c>
      <c r="L26" s="16">
        <f>[3]Summary!C25</f>
        <v>44474720</v>
      </c>
      <c r="M26" s="14">
        <f>[4]Summary!A25</f>
        <v>45378</v>
      </c>
      <c r="N26" s="15">
        <f>[4]Summary!B25</f>
        <v>46.640000000000029</v>
      </c>
      <c r="O26" s="16">
        <f>[4]Summary!C25</f>
        <v>59382850</v>
      </c>
    </row>
    <row r="27" spans="1:15" x14ac:dyDescent="0.25">
      <c r="A27" s="14">
        <f>[1]Summary!A26</f>
        <v>45377</v>
      </c>
      <c r="B27" s="15">
        <f>[1]Summary!B26</f>
        <v>43.42</v>
      </c>
      <c r="C27" s="16">
        <f>[1]Summary!C26</f>
        <v>56943822</v>
      </c>
      <c r="D27" s="14">
        <f>[2]Summary!A26</f>
        <v>45377</v>
      </c>
      <c r="E27" s="15">
        <f>[2]Summary!B26</f>
        <v>31.23</v>
      </c>
      <c r="F27" s="16">
        <f>[2]Summary!C26</f>
        <v>52848823.836396426</v>
      </c>
      <c r="G27" s="14">
        <f>[5]Summary!A26</f>
        <v>45377</v>
      </c>
      <c r="H27" s="15">
        <f>[5]Summary!B26</f>
        <v>55.77000000000001</v>
      </c>
      <c r="I27" s="16">
        <f>[5]Summary!C26</f>
        <v>37271513</v>
      </c>
      <c r="J27" s="14">
        <f>[3]Summary!A26</f>
        <v>45377</v>
      </c>
      <c r="K27" s="15">
        <f>[3]Summary!B26</f>
        <v>38.829999999999984</v>
      </c>
      <c r="L27" s="16">
        <f>[3]Summary!C26</f>
        <v>34627088</v>
      </c>
      <c r="M27" s="14">
        <f>[4]Summary!A26</f>
        <v>45377</v>
      </c>
      <c r="N27" s="15">
        <f>[4]Summary!B26</f>
        <v>46.260000000000026</v>
      </c>
      <c r="O27" s="16">
        <f>[4]Summary!C26</f>
        <v>53824759</v>
      </c>
    </row>
    <row r="28" spans="1:15" x14ac:dyDescent="0.25">
      <c r="A28" s="14">
        <f>[1]Summary!A27</f>
        <v>45376</v>
      </c>
      <c r="B28" s="15">
        <f>[1]Summary!B27</f>
        <v>43.3</v>
      </c>
      <c r="C28" s="16">
        <f>[1]Summary!C27</f>
        <v>61030567</v>
      </c>
      <c r="D28" s="14">
        <f>[2]Summary!A27</f>
        <v>45376</v>
      </c>
      <c r="E28" s="15">
        <f>[2]Summary!B27</f>
        <v>30.76</v>
      </c>
      <c r="F28" s="16">
        <f>[2]Summary!C27</f>
        <v>42909116.898033686</v>
      </c>
      <c r="G28" s="14">
        <f>[5]Summary!A27</f>
        <v>45376</v>
      </c>
      <c r="H28" s="15">
        <f>[5]Summary!B27</f>
        <v>58.790000000000013</v>
      </c>
      <c r="I28" s="16">
        <f>[5]Summary!C27</f>
        <v>45297235</v>
      </c>
      <c r="J28" s="14">
        <f>[3]Summary!A27</f>
        <v>45376</v>
      </c>
      <c r="K28" s="15">
        <f>[3]Summary!B27</f>
        <v>38.309999999999981</v>
      </c>
      <c r="L28" s="16">
        <f>[3]Summary!C27</f>
        <v>32512685</v>
      </c>
      <c r="M28" s="14">
        <f>[4]Summary!A27</f>
        <v>45376</v>
      </c>
      <c r="N28" s="15">
        <f>[4]Summary!B27</f>
        <v>44.800000000000026</v>
      </c>
      <c r="O28" s="16">
        <f>[4]Summary!C27</f>
        <v>63858444</v>
      </c>
    </row>
    <row r="29" spans="1:15" x14ac:dyDescent="0.25">
      <c r="A29" s="14">
        <f>[1]Summary!A28</f>
        <v>45373</v>
      </c>
      <c r="B29" s="15">
        <f>[1]Summary!B28</f>
        <v>43.27</v>
      </c>
      <c r="C29" s="16">
        <f>[1]Summary!C28</f>
        <v>49433154</v>
      </c>
      <c r="D29" s="14">
        <f>[2]Summary!A28</f>
        <v>45373</v>
      </c>
      <c r="E29" s="15">
        <f>[2]Summary!B28</f>
        <v>31.04</v>
      </c>
      <c r="F29" s="16">
        <f>[2]Summary!C28</f>
        <v>28269700.024676587</v>
      </c>
      <c r="G29" s="14">
        <f>[5]Summary!A28</f>
        <v>45373</v>
      </c>
      <c r="H29" s="15">
        <f>[5]Summary!B28</f>
        <v>58.610000000000014</v>
      </c>
      <c r="I29" s="16">
        <f>[5]Summary!C28</f>
        <v>45580635</v>
      </c>
      <c r="J29" s="14">
        <f>[3]Summary!A28</f>
        <v>45373</v>
      </c>
      <c r="K29" s="15">
        <f>[3]Summary!B28</f>
        <v>39.59999999999998</v>
      </c>
      <c r="L29" s="16">
        <f>[3]Summary!C28</f>
        <v>28071859</v>
      </c>
      <c r="M29" s="14">
        <f>[4]Summary!A28</f>
        <v>45373</v>
      </c>
      <c r="N29" s="15">
        <f>[4]Summary!B28</f>
        <v>45.270000000000024</v>
      </c>
      <c r="O29" s="16">
        <f>[4]Summary!C28</f>
        <v>54105911</v>
      </c>
    </row>
    <row r="30" spans="1:15" x14ac:dyDescent="0.25">
      <c r="A30" s="14">
        <f>[1]Summary!A29</f>
        <v>45372</v>
      </c>
      <c r="B30" s="15">
        <f>[1]Summary!B29</f>
        <v>43.36</v>
      </c>
      <c r="C30" s="16">
        <f>[1]Summary!C29</f>
        <v>33944506</v>
      </c>
      <c r="D30" s="14">
        <f>[2]Summary!A29</f>
        <v>45372</v>
      </c>
      <c r="E30" s="15">
        <f>[2]Summary!B29</f>
        <v>31.34</v>
      </c>
      <c r="F30" s="16">
        <f>[2]Summary!C29</f>
        <v>14241835.669286359</v>
      </c>
      <c r="G30" s="14">
        <f>[5]Summary!A29</f>
        <v>45372</v>
      </c>
      <c r="H30" s="15">
        <f>[5]Summary!B29</f>
        <v>60.570000000000014</v>
      </c>
      <c r="I30" s="16">
        <f>[5]Summary!C29</f>
        <v>49371496</v>
      </c>
      <c r="J30" s="14">
        <f>[3]Summary!A29</f>
        <v>45372</v>
      </c>
      <c r="K30" s="15">
        <f>[3]Summary!B29</f>
        <v>38.66999999999998</v>
      </c>
      <c r="L30" s="16">
        <f>[3]Summary!C29</f>
        <v>34719138</v>
      </c>
      <c r="M30" s="14">
        <f>[4]Summary!A29</f>
        <v>45372</v>
      </c>
      <c r="N30" s="15">
        <f>[4]Summary!B29</f>
        <v>47.340000000000025</v>
      </c>
      <c r="O30" s="16">
        <f>[4]Summary!C29</f>
        <v>55605481</v>
      </c>
    </row>
    <row r="31" spans="1:15" x14ac:dyDescent="0.25">
      <c r="A31" s="14">
        <f>[1]Summary!A30</f>
        <v>45371</v>
      </c>
      <c r="B31" s="15">
        <f>[1]Summary!B30</f>
        <v>43.52</v>
      </c>
      <c r="C31" s="16">
        <f>[1]Summary!C30</f>
        <v>63107768</v>
      </c>
      <c r="D31" s="14">
        <f>[2]Summary!A30</f>
        <v>45371</v>
      </c>
      <c r="E31" s="15">
        <f>[2]Summary!B30</f>
        <v>31.52</v>
      </c>
      <c r="F31" s="16">
        <f>[2]Summary!C30</f>
        <v>8039014.4027797282</v>
      </c>
      <c r="G31" s="14">
        <f>[5]Summary!A30</f>
        <v>45371</v>
      </c>
      <c r="H31" s="15">
        <f>[5]Summary!B30</f>
        <v>61.420000000000016</v>
      </c>
      <c r="I31" s="16">
        <f>[5]Summary!C30</f>
        <v>41885885</v>
      </c>
      <c r="J31" s="14">
        <f>[3]Summary!A30</f>
        <v>45371</v>
      </c>
      <c r="K31" s="15">
        <f>[3]Summary!B30</f>
        <v>38.159999999999982</v>
      </c>
      <c r="L31" s="16">
        <f>[3]Summary!C30</f>
        <v>41199675</v>
      </c>
      <c r="M31" s="14">
        <f>[4]Summary!A30</f>
        <v>45371</v>
      </c>
      <c r="N31" s="15">
        <f>[4]Summary!B30</f>
        <v>45.050000000000026</v>
      </c>
      <c r="O31" s="16">
        <f>[4]Summary!C30</f>
        <v>57010053</v>
      </c>
    </row>
    <row r="32" spans="1:15" x14ac:dyDescent="0.25">
      <c r="A32" s="14">
        <f>[1]Summary!A31</f>
        <v>45370</v>
      </c>
      <c r="B32" s="15">
        <f>[1]Summary!B31</f>
        <v>43.48</v>
      </c>
      <c r="C32" s="16">
        <f>[1]Summary!C31</f>
        <v>48012900</v>
      </c>
      <c r="D32" s="14">
        <f>[2]Summary!A31</f>
        <v>45370</v>
      </c>
      <c r="E32" s="15">
        <f>[2]Summary!B31</f>
        <v>32.01</v>
      </c>
      <c r="F32" s="16">
        <f>[2]Summary!C31</f>
        <v>31900779.73985035</v>
      </c>
      <c r="G32" s="14">
        <f>[5]Summary!A31</f>
        <v>45370</v>
      </c>
      <c r="H32" s="15">
        <f>[5]Summary!B31</f>
        <v>62.560000000000016</v>
      </c>
      <c r="I32" s="16">
        <f>[5]Summary!C31</f>
        <v>37175508</v>
      </c>
      <c r="J32" s="14">
        <f>[3]Summary!A31</f>
        <v>45370</v>
      </c>
      <c r="K32" s="15">
        <f>[3]Summary!B31</f>
        <v>40.019999999999982</v>
      </c>
      <c r="L32" s="16">
        <f>[3]Summary!C31</f>
        <v>42285871</v>
      </c>
      <c r="M32" s="14">
        <f>[4]Summary!A31</f>
        <v>45370</v>
      </c>
      <c r="N32" s="15">
        <f>[4]Summary!B31</f>
        <v>44.240000000000023</v>
      </c>
      <c r="O32" s="16">
        <f>[4]Summary!C31</f>
        <v>56552043</v>
      </c>
    </row>
    <row r="33" spans="1:15" x14ac:dyDescent="0.25">
      <c r="A33" s="14">
        <f>[1]Summary!A32</f>
        <v>45369</v>
      </c>
      <c r="B33" s="15">
        <f>[1]Summary!B32</f>
        <v>43.44</v>
      </c>
      <c r="C33" s="16">
        <f>[1]Summary!C32</f>
        <v>18326850</v>
      </c>
      <c r="D33" s="14">
        <f>[2]Summary!A32</f>
        <v>45369</v>
      </c>
      <c r="E33" s="15">
        <f>[2]Summary!B32</f>
        <v>32.5</v>
      </c>
      <c r="F33" s="16">
        <f>[2]Summary!C32</f>
        <v>57862195.627972886</v>
      </c>
      <c r="G33" s="14">
        <f>[5]Summary!A32</f>
        <v>45369</v>
      </c>
      <c r="H33" s="15">
        <f>[5]Summary!B32</f>
        <v>63.270000000000017</v>
      </c>
      <c r="I33" s="16">
        <f>[5]Summary!C32</f>
        <v>32449423</v>
      </c>
      <c r="J33" s="14">
        <f>[3]Summary!A32</f>
        <v>45369</v>
      </c>
      <c r="K33" s="15">
        <f>[3]Summary!B32</f>
        <v>39.009999999999984</v>
      </c>
      <c r="L33" s="16">
        <f>[3]Summary!C32</f>
        <v>29576643</v>
      </c>
      <c r="M33" s="14">
        <f>[4]Summary!A32</f>
        <v>45369</v>
      </c>
      <c r="N33" s="15">
        <f>[4]Summary!B32</f>
        <v>44.140000000000022</v>
      </c>
      <c r="O33" s="16">
        <f>[4]Summary!C32</f>
        <v>63645794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17</vt:i4>
      </vt:variant>
    </vt:vector>
  </HeadingPairs>
  <TitlesOfParts>
    <vt:vector size="21" baseType="lpstr">
      <vt:lpstr>Documentation</vt:lpstr>
      <vt:lpstr>Statistics</vt:lpstr>
      <vt:lpstr>Fund Lookup</vt:lpstr>
      <vt:lpstr>30-Day Data</vt:lpstr>
      <vt:lpstr>AIF</vt:lpstr>
      <vt:lpstr>AIF_Date</vt:lpstr>
      <vt:lpstr>AIF_Shares</vt:lpstr>
      <vt:lpstr>Fund_Lookup</vt:lpstr>
      <vt:lpstr>IHGF</vt:lpstr>
      <vt:lpstr>IHGF_Date</vt:lpstr>
      <vt:lpstr>IHGF_Shares</vt:lpstr>
      <vt:lpstr>LTDX</vt:lpstr>
      <vt:lpstr>LTDX_Date</vt:lpstr>
      <vt:lpstr>LTDX_Shares</vt:lpstr>
      <vt:lpstr>ORTFD</vt:lpstr>
      <vt:lpstr>ORTFD_Date</vt:lpstr>
      <vt:lpstr>ORTFD_Shares</vt:lpstr>
      <vt:lpstr>SNRFD</vt:lpstr>
      <vt:lpstr>SNRFD_Date</vt:lpstr>
      <vt:lpstr>SNRFD_Shares</vt:lpstr>
      <vt:lpstr>Symbol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Excel Module 5, Case Problem 2</dc:title>
  <dc:creator>Your Name</dc:creator>
  <cp:lastModifiedBy>Patrick Carey</cp:lastModifiedBy>
  <dcterms:created xsi:type="dcterms:W3CDTF">2018-09-25T16:08:33Z</dcterms:created>
  <dcterms:modified xsi:type="dcterms:W3CDTF">2021-07-23T02:34:59Z</dcterms:modified>
</cp:coreProperties>
</file>
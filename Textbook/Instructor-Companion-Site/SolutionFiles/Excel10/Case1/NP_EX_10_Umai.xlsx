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C:\Users\patri\Documents\Projects\Active\Excel2022\Files_Solutions\Excel10\Case1\"/>
    </mc:Choice>
  </mc:AlternateContent>
  <xr:revisionPtr revIDLastSave="0" documentId="13_ncr:1_{B95B80D8-C178-4D14-92B1-07B36578DD59}" xr6:coauthVersionLast="46" xr6:coauthVersionMax="46" xr10:uidLastSave="{00000000-0000-0000-0000-000000000000}"/>
  <bookViews>
    <workbookView xWindow="-120" yWindow="-120" windowWidth="29040" windowHeight="15840" xr2:uid="{00000000-000D-0000-FFFF-FFFF00000000}"/>
  </bookViews>
  <sheets>
    <sheet name="Documentation" sheetId="12" r:id="rId1"/>
    <sheet name="Sales Report" sheetId="14" r:id="rId2"/>
    <sheet name="Customer Calendar" sheetId="21" r:id="rId3"/>
    <sheet name="Rain Table" sheetId="22" r:id="rId4"/>
    <sheet name="Temperature Table" sheetId="23" r:id="rId5"/>
    <sheet name="Datasets" sheetId="13" r:id="rId6"/>
  </sheets>
  <definedNames>
    <definedName name="_xlcn.WorksheetConnection_SalesReportB1B2" hidden="1">'Sales Report'!$B$1:$B$2</definedName>
    <definedName name="Slicer_City">#N/A</definedName>
  </definedNames>
  <calcPr calcId="191029"/>
  <pivotCaches>
    <pivotCache cacheId="0" r:id="rId7"/>
    <pivotCache cacheId="1" r:id="rId8"/>
    <pivotCache cacheId="2" r:id="rId9"/>
  </pivotCaches>
  <extLst>
    <ext xmlns:x14="http://schemas.microsoft.com/office/spreadsheetml/2009/9/main" uri="{876F7934-8845-4945-9796-88D515C7AA90}">
      <x14:pivotCaches>
        <pivotCache cacheId="3"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9f09da1e-0737-4967-813b-1c3bcfc3ed84" name="Sales" connection="Query - Sales"/>
          <x15:modelTable id="Stores_e51dec4b-9e39-450d-98e7-5e6de1954195" name="Stores" connection="Query - Stores"/>
          <x15:modelTable id="Range" name="Range" connection="WorksheetConnection_Sales Report!$B$1:$B$2"/>
        </x15:modelTables>
        <x15:modelRelationships>
          <x15:modelRelationship fromTable="Sales" fromColumn="Store ID" toTable="Stores" toColumn="Store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23" l="1"/>
  <c r="G5" i="23"/>
  <c r="F6" i="23"/>
  <c r="G6" i="23"/>
  <c r="F7" i="23"/>
  <c r="G7" i="23"/>
  <c r="F8" i="23"/>
  <c r="G8" i="23"/>
  <c r="F9" i="23"/>
  <c r="G9" i="23"/>
  <c r="F10" i="23"/>
  <c r="G10" i="23"/>
  <c r="F11" i="23"/>
  <c r="G11" i="23"/>
  <c r="F12" i="23"/>
  <c r="G12" i="23"/>
  <c r="F13" i="23"/>
  <c r="G13" i="23"/>
  <c r="F14" i="23"/>
  <c r="G14" i="23"/>
  <c r="F15" i="23"/>
  <c r="G15" i="23"/>
  <c r="F16" i="23"/>
  <c r="G16"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2321B8-385E-49EB-BAC2-BE204BE270F6}" name="Query - Sales" description="Connection to the 'Sales' query in the workbook." type="100" refreshedVersion="6" minRefreshableVersion="5">
    <extLst>
      <ext xmlns:x15="http://schemas.microsoft.com/office/spreadsheetml/2010/11/main" uri="{DE250136-89BD-433C-8126-D09CA5730AF9}">
        <x15:connection id="834c4c54-17db-4e87-9151-b0ff7418c7ae"/>
      </ext>
    </extLst>
  </connection>
  <connection id="2" xr16:uid="{FEFA29F5-2B37-43FB-88D2-4732589452AE}" name="Query - Stores" description="Connection to the 'Stores' query in the workbook." type="100" refreshedVersion="6" minRefreshableVersion="5">
    <extLst>
      <ext xmlns:x15="http://schemas.microsoft.com/office/spreadsheetml/2010/11/main" uri="{DE250136-89BD-433C-8126-D09CA5730AF9}">
        <x15:connection id="b3487c01-a606-44a4-a86f-432f913c8db3"/>
      </ext>
    </extLst>
  </connection>
  <connection id="3" xr16:uid="{2572785C-9E3A-4FEB-8ABC-46D303470CCA}"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AAAEFA2B-4125-4B4E-81D2-648443DD9D75}" name="WorksheetConnection_Sales Report!$B$1:$B$2" type="102" refreshedVersion="6" minRefreshableVersion="5">
    <extLst>
      <ext xmlns:x15="http://schemas.microsoft.com/office/spreadsheetml/2010/11/main" uri="{DE250136-89BD-433C-8126-D09CA5730AF9}">
        <x15:connection id="Range">
          <x15:rangePr sourceName="_xlcn.WorksheetConnection_SalesReportB1B2"/>
        </x15:connection>
      </ext>
    </extLst>
  </connection>
</connections>
</file>

<file path=xl/sharedStrings.xml><?xml version="1.0" encoding="utf-8"?>
<sst xmlns="http://schemas.openxmlformats.org/spreadsheetml/2006/main" count="105" uniqueCount="63">
  <si>
    <t>Author</t>
  </si>
  <si>
    <t>Date</t>
  </si>
  <si>
    <t>Purpose</t>
  </si>
  <si>
    <t>Year</t>
  </si>
  <si>
    <t>Notes</t>
  </si>
  <si>
    <t>Field</t>
  </si>
  <si>
    <t>Data Type</t>
  </si>
  <si>
    <t>integer</t>
  </si>
  <si>
    <t>text</t>
  </si>
  <si>
    <t>City</t>
  </si>
  <si>
    <t>State</t>
  </si>
  <si>
    <t>Postal Code</t>
  </si>
  <si>
    <t>Store ID</t>
  </si>
  <si>
    <t>Store ID number</t>
  </si>
  <si>
    <t>Stores Table</t>
  </si>
  <si>
    <t>Address</t>
  </si>
  <si>
    <t>Datasets</t>
  </si>
  <si>
    <t>Umai Frozen Yogurt</t>
  </si>
  <si>
    <t>Customer Calendar PivotTable</t>
  </si>
  <si>
    <t>Sales Report</t>
  </si>
  <si>
    <t>Rainy Day Data</t>
  </si>
  <si>
    <t>Temperature Data</t>
  </si>
  <si>
    <t>Month</t>
  </si>
  <si>
    <t>Customers</t>
  </si>
  <si>
    <t>Support_EX_10_Yogurt.accdb</t>
  </si>
  <si>
    <t>Sales Table</t>
  </si>
  <si>
    <t>Date of sales data</t>
  </si>
  <si>
    <t>Year of sales data</t>
  </si>
  <si>
    <t>Month of sales data</t>
  </si>
  <si>
    <t>Weekday</t>
  </si>
  <si>
    <t>Weekday of sales data</t>
  </si>
  <si>
    <t>High Temp</t>
  </si>
  <si>
    <t>High temperature recorded on that data and location</t>
  </si>
  <si>
    <t>Rainy</t>
  </si>
  <si>
    <t>Indication of whether the day and location experienced intense rainfall</t>
  </si>
  <si>
    <t>Total number of customers served on that day and location</t>
  </si>
  <si>
    <t>Street address of the store</t>
  </si>
  <si>
    <t>City location of the store</t>
  </si>
  <si>
    <t>County</t>
  </si>
  <si>
    <t>County location of the store</t>
  </si>
  <si>
    <t>State location of the store</t>
  </si>
  <si>
    <t>Postal code of the store</t>
  </si>
  <si>
    <t>To analyze sales data from 20 Umai Frozen Yogurt stores in California</t>
  </si>
  <si>
    <t>Joan Amari</t>
  </si>
  <si>
    <t>Row Labels</t>
  </si>
  <si>
    <t>Grand Total</t>
  </si>
  <si>
    <t>Average of Customers</t>
  </si>
  <si>
    <t>Heavy Rainfall</t>
  </si>
  <si>
    <t>Normal</t>
  </si>
  <si>
    <t>01-Jan</t>
  </si>
  <si>
    <t>02-Feb</t>
  </si>
  <si>
    <t>03-Mar</t>
  </si>
  <si>
    <t>04-Apr</t>
  </si>
  <si>
    <t>05-May</t>
  </si>
  <si>
    <t>06-Jun</t>
  </si>
  <si>
    <t>07-Jul</t>
  </si>
  <si>
    <t>08-Aug</t>
  </si>
  <si>
    <t>09-Sep</t>
  </si>
  <si>
    <t>10-Oct</t>
  </si>
  <si>
    <t>11-Nov</t>
  </si>
  <si>
    <t>12-Dec</t>
  </si>
  <si>
    <t>Average of High Temp</t>
  </si>
  <si>
    <t>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</si>
</sst>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sz val="18"/>
      <color theme="3"/>
      <name val="Calibri Light"/>
      <family val="2"/>
      <scheme val="major"/>
    </font>
    <font>
      <b/>
      <sz val="11"/>
      <color theme="3"/>
      <name val="Calibri"/>
      <family val="2"/>
      <scheme val="minor"/>
    </font>
    <font>
      <sz val="11"/>
      <color theme="0"/>
      <name val="Calibri"/>
      <family val="2"/>
      <scheme val="minor"/>
    </font>
    <font>
      <b/>
      <sz val="11"/>
      <color theme="9" tint="-0.499984740745262"/>
      <name val="Calibri"/>
      <family val="2"/>
      <scheme val="minor"/>
    </font>
    <font>
      <i/>
      <sz val="11"/>
      <color theme="9" tint="-0.499984740745262"/>
      <name val="Calibri"/>
      <family val="2"/>
      <scheme val="minor"/>
    </font>
    <font>
      <sz val="11"/>
      <color theme="4" tint="-0.249977111117893"/>
      <name val="Calibri"/>
      <family val="2"/>
      <scheme val="minor"/>
    </font>
    <font>
      <sz val="28"/>
      <color theme="4"/>
      <name val="Rockwell Extra Bold"/>
      <family val="1"/>
    </font>
    <font>
      <sz val="14"/>
      <color theme="4" tint="-0.249977111117893"/>
      <name val="Calibri"/>
      <family val="2"/>
      <scheme val="minor"/>
    </font>
  </fonts>
  <fills count="5">
    <fill>
      <patternFill patternType="none"/>
    </fill>
    <fill>
      <patternFill patternType="gray125"/>
    </fill>
    <fill>
      <patternFill patternType="solid">
        <fgColor theme="4"/>
      </patternFill>
    </fill>
    <fill>
      <patternFill patternType="solid">
        <fgColor theme="4" tint="-0.249977111117893"/>
        <bgColor indexed="64"/>
      </patternFill>
    </fill>
    <fill>
      <patternFill patternType="solid">
        <fgColor theme="4" tint="0.79998168889431442"/>
        <bgColor indexed="65"/>
      </patternFill>
    </fill>
  </fills>
  <borders count="3">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2" borderId="0" applyNumberFormat="0" applyBorder="0" applyAlignment="0" applyProtection="0"/>
    <xf numFmtId="0" fontId="1" fillId="4" borderId="0" applyNumberFormat="0" applyBorder="0" applyAlignment="0" applyProtection="0"/>
  </cellStyleXfs>
  <cellXfs count="16">
    <xf numFmtId="0" fontId="0" fillId="0" borderId="0" xfId="0"/>
    <xf numFmtId="0" fontId="0" fillId="0" borderId="2" xfId="0" applyBorder="1" applyAlignment="1">
      <alignment horizontal="left" vertical="top" wrapText="1"/>
    </xf>
    <xf numFmtId="0" fontId="5" fillId="0" borderId="0" xfId="2" applyFont="1" applyFill="1" applyBorder="1" applyAlignment="1">
      <alignment horizontal="left" vertical="top"/>
    </xf>
    <xf numFmtId="0" fontId="0" fillId="0" borderId="2" xfId="0" applyBorder="1" applyAlignment="1">
      <alignment horizontal="center" vertical="top" wrapText="1"/>
    </xf>
    <xf numFmtId="0" fontId="6" fillId="0" borderId="0" xfId="0" applyFont="1"/>
    <xf numFmtId="0" fontId="0" fillId="0" borderId="0" xfId="0" applyNumberFormat="1"/>
    <xf numFmtId="0" fontId="4" fillId="3" borderId="2" xfId="3" applyFill="1" applyBorder="1" applyAlignment="1">
      <alignment horizontal="left" vertical="top"/>
    </xf>
    <xf numFmtId="0" fontId="7" fillId="0" borderId="2" xfId="0" applyFont="1" applyBorder="1" applyAlignment="1">
      <alignment horizontal="left" vertical="top" wrapText="1"/>
    </xf>
    <xf numFmtId="14" fontId="7" fillId="0" borderId="2" xfId="0" applyNumberFormat="1" applyFont="1" applyBorder="1" applyAlignment="1">
      <alignment horizontal="left" vertical="top" wrapText="1"/>
    </xf>
    <xf numFmtId="0" fontId="8" fillId="0" borderId="0" xfId="1" applyFont="1"/>
    <xf numFmtId="0" fontId="9" fillId="0" borderId="0" xfId="0" applyFont="1"/>
    <xf numFmtId="0" fontId="4" fillId="2" borderId="2" xfId="3" applyBorder="1" applyAlignment="1">
      <alignment horizontal="left" vertical="top" wrapText="1"/>
    </xf>
    <xf numFmtId="0" fontId="1" fillId="4" borderId="2" xfId="4" applyBorder="1" applyAlignment="1">
      <alignment horizontal="left" vertical="top" wrapText="1"/>
    </xf>
    <xf numFmtId="0" fontId="0" fillId="0" borderId="0" xfId="0" pivotButton="1"/>
    <xf numFmtId="0" fontId="0" fillId="0" borderId="0" xfId="0" applyAlignment="1">
      <alignment horizontal="left"/>
    </xf>
    <xf numFmtId="1" fontId="0" fillId="0" borderId="0" xfId="0" applyNumberFormat="1"/>
  </cellXfs>
  <cellStyles count="5">
    <cellStyle name="20% - Accent1" xfId="4" builtinId="30"/>
    <cellStyle name="Accent1" xfId="3" builtinId="29"/>
    <cellStyle name="Heading 3" xfId="2" builtinId="18"/>
    <cellStyle name="Normal" xfId="0" builtinId="0"/>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owerPivotData" Target="model/item.data"/><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4.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46" Type="http://schemas.openxmlformats.org/officeDocument/2006/relationships/customXml" Target="../customXml/item29.xml"/><Relationship Id="rId20" Type="http://schemas.openxmlformats.org/officeDocument/2006/relationships/customXml" Target="../customXml/item3.xml"/><Relationship Id="rId41"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[NP_EX_10_Umai.xlsx]Customer Calendar!Customer Calendar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Customers per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Calendar'!$C$4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Calendar'!$B$5:$B$17</c:f>
              <c:strCache>
                <c:ptCount val="12"/>
                <c:pt idx="0">
                  <c:v>01-Jan</c:v>
                </c:pt>
                <c:pt idx="1">
                  <c:v>02-Feb</c:v>
                </c:pt>
                <c:pt idx="2">
                  <c:v>03-Mar</c:v>
                </c:pt>
                <c:pt idx="3">
                  <c:v>04-Apr</c:v>
                </c:pt>
                <c:pt idx="4">
                  <c:v>05-May</c:v>
                </c:pt>
                <c:pt idx="5">
                  <c:v>06-Jun</c:v>
                </c:pt>
                <c:pt idx="6">
                  <c:v>07-Jul</c:v>
                </c:pt>
                <c:pt idx="7">
                  <c:v>08-Aug</c:v>
                </c:pt>
                <c:pt idx="8">
                  <c:v>09-Sep</c:v>
                </c:pt>
                <c:pt idx="9">
                  <c:v>10-Oct</c:v>
                </c:pt>
                <c:pt idx="10">
                  <c:v>11-Nov</c:v>
                </c:pt>
                <c:pt idx="11">
                  <c:v>12-Dec</c:v>
                </c:pt>
              </c:strCache>
            </c:strRef>
          </c:cat>
          <c:val>
            <c:numRef>
              <c:f>'Customer Calendar'!$C$5:$C$17</c:f>
              <c:numCache>
                <c:formatCode>0</c:formatCode>
                <c:ptCount val="12"/>
                <c:pt idx="0">
                  <c:v>123.58064516129032</c:v>
                </c:pt>
                <c:pt idx="1">
                  <c:v>148.06896551724137</c:v>
                </c:pt>
                <c:pt idx="2">
                  <c:v>184.09677419354838</c:v>
                </c:pt>
                <c:pt idx="3">
                  <c:v>196.73333333333332</c:v>
                </c:pt>
                <c:pt idx="4">
                  <c:v>248.19354838709677</c:v>
                </c:pt>
                <c:pt idx="5">
                  <c:v>319.60000000000002</c:v>
                </c:pt>
                <c:pt idx="6">
                  <c:v>345.25806451612902</c:v>
                </c:pt>
                <c:pt idx="7">
                  <c:v>359.61290322580646</c:v>
                </c:pt>
                <c:pt idx="8">
                  <c:v>286.86666666666667</c:v>
                </c:pt>
                <c:pt idx="9">
                  <c:v>205.51612903225808</c:v>
                </c:pt>
                <c:pt idx="10">
                  <c:v>153.4</c:v>
                </c:pt>
                <c:pt idx="11">
                  <c:v>130.64516129032259</c:v>
                </c:pt>
              </c:numCache>
            </c:numRef>
          </c:val>
          <c:smooth val="0"/>
          <c:extLst>
            <c:ext xmlns:c16="http://schemas.microsoft.com/office/drawing/2014/chart" uri="{C3380CC4-5D6E-409C-BE32-E72D297353CC}">
              <c16:uniqueId val="{00000000-C6B0-4319-B1FA-3DC0C84D9D33}"/>
            </c:ext>
          </c:extLst>
        </c:ser>
        <c:dLbls>
          <c:dLblPos val="t"/>
          <c:showLegendKey val="0"/>
          <c:showVal val="1"/>
          <c:showCatName val="0"/>
          <c:showSerName val="0"/>
          <c:showPercent val="0"/>
          <c:showBubbleSize val="0"/>
        </c:dLbls>
        <c:smooth val="0"/>
        <c:axId val="642510304"/>
        <c:axId val="1626893744"/>
      </c:lineChart>
      <c:catAx>
        <c:axId val="64251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893744"/>
        <c:crosses val="autoZero"/>
        <c:auto val="1"/>
        <c:lblAlgn val="ctr"/>
        <c:lblOffset val="100"/>
        <c:noMultiLvlLbl val="0"/>
      </c:catAx>
      <c:valAx>
        <c:axId val="1626893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510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[NP_EX_10_Umai.xlsx]Rain Table!Rain Table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Customers per Day during Rainfall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'Rain Table'!$C$4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'Rain Table'!$B$5:$B$7</c:f>
              <c:strCache>
                <c:ptCount val="2"/>
                <c:pt idx="0">
                  <c:v>Heavy Rainfall</c:v>
                </c:pt>
                <c:pt idx="1">
                  <c:v>Normal</c:v>
                </c:pt>
              </c:strCache>
            </c:strRef>
          </c:cat>
          <c:val>
            <c:numRef>
              <c:f>'Rain Table'!$C$5:$C$7</c:f>
              <c:numCache>
                <c:formatCode>0</c:formatCode>
                <c:ptCount val="2"/>
                <c:pt idx="0">
                  <c:v>144.45070422535213</c:v>
                </c:pt>
                <c:pt idx="1">
                  <c:v>229.44549266247378</c:v>
                </c:pt>
              </c:numCache>
            </c:numRef>
          </c:val>
          <c:extLst>
            <c:ext xmlns:c16="http://schemas.microsoft.com/office/drawing/2014/chart" uri="{C3380CC4-5D6E-409C-BE32-E72D297353CC}">
              <c16:uniqueId val="{00000000-9FD9-46A7-842F-146379891D7B}"/>
            </c:ext>
          </c:extLst>
        </c:ser>
        <c:dLbls>
          <c:dLblPos val="outEnd"/>
          <c:showLegendKey val="0"/>
          <c:showVal val="1"/>
          <c:showCatName val="0"/>
          <c:showSerName val="0"/>
          <c:showPercent val="0"/>
          <c:showBubbleSize val="0"/>
        </c:dLbls>
        <c:gapWidth val="219"/>
        <c:overlap val="-27"/>
        <c:axId val="1246431360"/>
        <c:axId val="1246425536"/>
      </c:barChart>
      <c:catAx>
        <c:axId val="124643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425536"/>
        <c:crosses val="autoZero"/>
        <c:auto val="1"/>
        <c:lblAlgn val="ctr"/>
        <c:lblOffset val="100"/>
        <c:noMultiLvlLbl val="0"/>
      </c:catAx>
      <c:valAx>
        <c:axId val="12464255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431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vs. Temperature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'Temperature Table'!$G$4</c:f>
              <c:strCache>
                <c:ptCount val="1"/>
                <c:pt idx="0">
                  <c:v>Customers</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'Temperature Table'!$F$5:$F$16</c:f>
              <c:numCache>
                <c:formatCode>0</c:formatCode>
                <c:ptCount val="12"/>
                <c:pt idx="0">
                  <c:v>61.060215053763443</c:v>
                </c:pt>
                <c:pt idx="1">
                  <c:v>62.617647058823543</c:v>
                </c:pt>
                <c:pt idx="2">
                  <c:v>65.029032258064504</c:v>
                </c:pt>
                <c:pt idx="3">
                  <c:v>71.966666666666669</c:v>
                </c:pt>
                <c:pt idx="4">
                  <c:v>81.225806451612897</c:v>
                </c:pt>
                <c:pt idx="5">
                  <c:v>90.183333333333337</c:v>
                </c:pt>
                <c:pt idx="6">
                  <c:v>94.433333333333351</c:v>
                </c:pt>
                <c:pt idx="7">
                  <c:v>91.891397849462379</c:v>
                </c:pt>
                <c:pt idx="8">
                  <c:v>86.477777777777789</c:v>
                </c:pt>
                <c:pt idx="9">
                  <c:v>76.652688172043014</c:v>
                </c:pt>
                <c:pt idx="10">
                  <c:v>65.845555555555563</c:v>
                </c:pt>
                <c:pt idx="11">
                  <c:v>60.848387096774182</c:v>
                </c:pt>
              </c:numCache>
            </c:numRef>
          </c:xVal>
          <c:yVal>
            <c:numRef>
              <c:f>'Temperature Table'!$G$5:$G$16</c:f>
              <c:numCache>
                <c:formatCode>0</c:formatCode>
                <c:ptCount val="12"/>
                <c:pt idx="0">
                  <c:v>127.56989247311827</c:v>
                </c:pt>
                <c:pt idx="1">
                  <c:v>143.6705882352941</c:v>
                </c:pt>
                <c:pt idx="2">
                  <c:v>167.33333333333334</c:v>
                </c:pt>
                <c:pt idx="3">
                  <c:v>193.77777777777777</c:v>
                </c:pt>
                <c:pt idx="4">
                  <c:v>239.45161290322579</c:v>
                </c:pt>
                <c:pt idx="5">
                  <c:v>300.27777777777777</c:v>
                </c:pt>
                <c:pt idx="6">
                  <c:v>344.88172043010752</c:v>
                </c:pt>
                <c:pt idx="7">
                  <c:v>343.35483870967744</c:v>
                </c:pt>
                <c:pt idx="8">
                  <c:v>280.48888888888888</c:v>
                </c:pt>
                <c:pt idx="9">
                  <c:v>197.78494623655914</c:v>
                </c:pt>
                <c:pt idx="10">
                  <c:v>147.97777777777779</c:v>
                </c:pt>
                <c:pt idx="11">
                  <c:v>129.7741935483871</c:v>
                </c:pt>
              </c:numCache>
            </c:numRef>
          </c:yVal>
          <c:smooth val="0"/>
          <c:extLst>
            <c:ext xmlns:c16="http://schemas.microsoft.com/office/drawing/2014/chart" uri="{C3380CC4-5D6E-409C-BE32-E72D297353CC}">
              <c16:uniqueId val="{00000000-78A9-4A61-A247-5FDD873964F3}"/>
            </c:ext>
          </c:extLst>
        </c:ser>
        <c:dLbls>
          <c:showLegendKey val="0"/>
          <c:showVal val="0"/>
          <c:showCatName val="0"/>
          <c:showSerName val="0"/>
          <c:showPercent val="0"/>
          <c:showBubbleSize val="0"/>
        </c:dLbls>
        <c:axId val="1632692368"/>
        <c:axId val="1632691120"/>
      </c:scatterChart>
      <c:valAx>
        <c:axId val="1632692368"/>
        <c:scaling>
          <c:orientation val="minMax"/>
          <c:max val="110"/>
          <c:min val="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Temperature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691120"/>
        <c:crosses val="autoZero"/>
        <c:crossBetween val="midCat"/>
      </c:valAx>
      <c:valAx>
        <c:axId val="1632691120"/>
        <c:scaling>
          <c:orientation val="minMax"/>
          <c:max val="350"/>
          <c:min val="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Customers per Day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6923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13</xdr:row>
      <xdr:rowOff>0</xdr:rowOff>
    </xdr:from>
    <xdr:to>
      <xdr:col>9</xdr:col>
      <xdr:colOff>0</xdr:colOff>
      <xdr:row>29</xdr:row>
      <xdr:rowOff>0</xdr:rowOff>
    </xdr:to>
    <xdr:graphicFrame macro="">
      <xdr:nvGraphicFramePr>
        <xdr:cNvPr id="2" name="Chart 1">
          <a:extLst>
            <a:ext uri="{FF2B5EF4-FFF2-40B4-BE49-F238E27FC236}">
              <a16:creationId xmlns:a16="http://schemas.microsoft.com/office/drawing/2014/main" id="{4A8759E9-D9BC-405A-8A2B-D4EB84FFC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xdr:row>
      <xdr:rowOff>0</xdr:rowOff>
    </xdr:from>
    <xdr:to>
      <xdr:col>17</xdr:col>
      <xdr:colOff>0</xdr:colOff>
      <xdr:row>16</xdr:row>
      <xdr:rowOff>0</xdr:rowOff>
    </xdr:to>
    <xdr:graphicFrame macro="">
      <xdr:nvGraphicFramePr>
        <xdr:cNvPr id="3" name="Chart 2">
          <a:extLst>
            <a:ext uri="{FF2B5EF4-FFF2-40B4-BE49-F238E27FC236}">
              <a16:creationId xmlns:a16="http://schemas.microsoft.com/office/drawing/2014/main" id="{26C8C891-18B4-41D7-A807-922580941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16</xdr:row>
      <xdr:rowOff>0</xdr:rowOff>
    </xdr:from>
    <xdr:to>
      <xdr:col>17</xdr:col>
      <xdr:colOff>0</xdr:colOff>
      <xdr:row>29</xdr:row>
      <xdr:rowOff>95250</xdr:rowOff>
    </xdr:to>
    <xdr:graphicFrame macro="">
      <xdr:nvGraphicFramePr>
        <xdr:cNvPr id="4" name="Chart 3">
          <a:extLst>
            <a:ext uri="{FF2B5EF4-FFF2-40B4-BE49-F238E27FC236}">
              <a16:creationId xmlns:a16="http://schemas.microsoft.com/office/drawing/2014/main" id="{2EDC8F5A-5621-47BC-8C6B-B6EE89E2A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xdr:row>
      <xdr:rowOff>1</xdr:rowOff>
    </xdr:from>
    <xdr:to>
      <xdr:col>9</xdr:col>
      <xdr:colOff>0</xdr:colOff>
      <xdr:row>12</xdr:row>
      <xdr:rowOff>1</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B033FE58-36F7-430B-B872-5E424D99223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7000" y="865189"/>
              <a:ext cx="473075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ck Carey" refreshedDate="44451.911841898145" backgroundQuery="1" createdVersion="6" refreshedVersion="6" minRefreshableVersion="3" recordCount="0" supportSubquery="1" supportAdvancedDrill="1" xr:uid="{3340DCC4-B80E-451A-AEF4-9FB3966B09D2}">
  <cacheSource type="external" connectionId="3"/>
  <cacheFields count="4">
    <cacheField name="[Sales].[Month].[Month]" caption="Month" numFmtId="0" hierarchy="5" level="1">
      <sharedItems count="12">
        <s v="01-Jan"/>
        <s v="02-Feb"/>
        <s v="03-Mar"/>
        <s v="04-Apr"/>
        <s v="05-May"/>
        <s v="06-Jun"/>
        <s v="07-Jul"/>
        <s v="08-Aug"/>
        <s v="09-Sep"/>
        <s v="10-Oct"/>
        <s v="11-Nov"/>
        <s v="12-Dec"/>
      </sharedItems>
    </cacheField>
    <cacheField name="[Measures].[Average of High Temp]" caption="Average of High Temp" numFmtId="0" hierarchy="23" level="32767"/>
    <cacheField name="[Measures].[Average of Customers]" caption="Average of Customers" numFmtId="0" hierarchy="21" level="32767"/>
    <cacheField name="[Stores].[City].[City]" caption="City" numFmtId="0" hierarchy="12" level="1">
      <sharedItems containsSemiMixedTypes="0" containsNonDate="0" containsString="0"/>
    </cacheField>
  </cacheFields>
  <cacheHierarchies count="24">
    <cacheHierarchy uniqueName="[Range].[Umai Frozen Yogurt]" caption="Umai Frozen Yogurt" attribute="1" defaultMemberUniqueName="[Range].[Umai Frozen Yogurt].[All]" allUniqueName="[Range].[Umai Frozen Yogurt].[All]" dimensionUniqueName="[Range]" displayFolder="" count="0" memberValueDatatype="130" unbalanced="0"/>
    <cacheHierarchy uniqueName="[Sales].[Calendar]" caption="Calendar" defaultMemberUniqueName="[Sales].[Calendar].[All]" allUniqueName="[Sales].[Calendar].[All]" dimensionUniqueName="[Sales]" displayFolder="" count="0" unbalanced="0"/>
    <cacheHierarchy uniqueName="[Sales].[Store ID]" caption="Store ID" attribute="1" defaultMemberUniqueName="[Sales].[Store ID].[All]" allUniqueName="[Sales].[Store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5" unbalanced="0"/>
    <cacheHierarchy uniqueName="[Sales].[Month]" caption="Month" attribute="1" defaultMemberUniqueName="[Sales].[Month].[All]" allUniqueName="[Sales].[Month].[All]" dimensionUniqueName="[Sales]" displayFolder="" count="2" memberValueDatatype="130" unbalanced="0">
      <fieldsUsage count="2">
        <fieldUsage x="-1"/>
        <fieldUsage x="0"/>
      </fieldsUsage>
    </cacheHierarchy>
    <cacheHierarchy uniqueName="[Sales].[Weekday]" caption="Weekday" attribute="1" defaultMemberUniqueName="[Sales].[Weekday].[All]" allUniqueName="[Sales].[Weekday].[All]" dimensionUniqueName="[Sales]" displayFolder="" count="0" memberValueDatatype="130" unbalanced="0"/>
    <cacheHierarchy uniqueName="[Sales].[High Temp]" caption="High Temp" attribute="1" defaultMemberUniqueName="[Sales].[High Temp].[All]" allUniqueName="[Sales].[High Temp].[All]" dimensionUniqueName="[Sales]" displayFolder="" count="0" memberValueDatatype="5" unbalanced="0"/>
    <cacheHierarchy uniqueName="[Sales].[Rainy]" caption="Rainy" attribute="1" defaultMemberUniqueName="[Sales].[Rainy].[All]" allUniqueName="[Sales].[Rainy].[All]" dimensionUniqueName="[Sales]" displayFolder="" count="0" memberValueDatatype="130" unbalanced="0"/>
    <cacheHierarchy uniqueName="[Sales].[Customers]" caption="Customers" attribute="1" defaultMemberUniqueName="[Sales].[Customers].[All]" allUniqueName="[Sales].[Customers].[All]" dimensionUniqueName="[Sales]" displayFolder="" count="0" memberValueDatatype="5" unbalanced="0"/>
    <cacheHierarchy uniqueName="[Stores].[Store ID]" caption="Store ID" attribute="1" defaultMemberUniqueName="[Stores].[Store ID].[All]" allUniqueName="[Stores].[Store ID].[All]" dimensionUniqueName="[Stores]" displayFolder="" count="0" memberValueDatatype="130" unbalanced="0"/>
    <cacheHierarchy uniqueName="[Stores].[Address]" caption="Address" attribute="1" defaultMemberUniqueName="[Stores].[Address].[All]" allUniqueName="[Stores].[Address].[All]" dimensionUniqueName="[Stores]" displayFolder="" count="0" memberValueDatatype="130" unbalanced="0"/>
    <cacheHierarchy uniqueName="[Stores].[City]" caption="City" attribute="1" defaultMemberUniqueName="[Stores].[City].[All]" allUniqueName="[Stores].[City].[All]" dimensionUniqueName="[Stores]" displayFolder="" count="2" memberValueDatatype="130" unbalanced="0">
      <fieldsUsage count="2">
        <fieldUsage x="-1"/>
        <fieldUsage x="3"/>
      </fieldsUsage>
    </cacheHierarchy>
    <cacheHierarchy uniqueName="[Stores].[County]" caption="County" attribute="1" defaultMemberUniqueName="[Stores].[County].[All]" allUniqueName="[Stores].[Coun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Postal Code]" caption="Postal Code" attribute="1" defaultMemberUniqueName="[Stores].[Postal Code].[All]" allUniqueName="[Stores].[Postal Code].[All]" dimensionUniqueName="[Stores]" displayFolder="" count="0" memberValueDatatype="130" unbalanced="0"/>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s]" caption="Sum of Customers" measure="1" displayFolder="" measureGroup="Sales" count="0" hidden="1">
      <extLst>
        <ext xmlns:x15="http://schemas.microsoft.com/office/spreadsheetml/2010/11/main" uri="{B97F6D7D-B522-45F9-BDA1-12C45D357490}">
          <x15:cacheHierarchy aggregatedColumn="9"/>
        </ext>
      </extLst>
    </cacheHierarchy>
    <cacheHierarchy uniqueName="[Measures].[Average of Customers]" caption="Average of Customers" measure="1" displayFolder="" measureGroup="Sales"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High Temp]" caption="Sum of High Temp" measure="1" displayFolder="" measureGroup="Sales" count="0" hidden="1">
      <extLst>
        <ext xmlns:x15="http://schemas.microsoft.com/office/spreadsheetml/2010/11/main" uri="{B97F6D7D-B522-45F9-BDA1-12C45D357490}">
          <x15:cacheHierarchy aggregatedColumn="7"/>
        </ext>
      </extLst>
    </cacheHierarchy>
    <cacheHierarchy uniqueName="[Measures].[Average of High Temp]" caption="Average of High Temp" measure="1" displayFolder="" measureGroup="Sale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Sales" uniqueName="[Sales]" caption="Sales"/>
    <dimension name="Stores" uniqueName="[Stores]" caption="Stores"/>
  </dimensions>
  <measureGroups count="3">
    <measureGroup name="Range" caption="Range"/>
    <measureGroup name="Sales" caption="Sales"/>
    <measureGroup name="Stores" caption="Stores"/>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ck Carey" refreshedDate="44451.911842939815" backgroundQuery="1" createdVersion="6" refreshedVersion="6" minRefreshableVersion="3" recordCount="0" supportSubquery="1" supportAdvancedDrill="1" xr:uid="{1133A93C-3FB0-44EC-9E8C-70B926683E25}">
  <cacheSource type="external" connectionId="3"/>
  <cacheFields count="3">
    <cacheField name="[Sales].[Rainy].[Rainy]" caption="Rainy" numFmtId="0" hierarchy="8" level="1">
      <sharedItems count="2">
        <s v="Heavy Rainfall"/>
        <s v="Normal"/>
      </sharedItems>
    </cacheField>
    <cacheField name="[Measures].[Average of Customers]" caption="Average of Customers" numFmtId="0" hierarchy="21" level="32767"/>
    <cacheField name="[Stores].[City].[City]" caption="City" numFmtId="0" hierarchy="12" level="1">
      <sharedItems containsSemiMixedTypes="0" containsNonDate="0" containsString="0"/>
    </cacheField>
  </cacheFields>
  <cacheHierarchies count="24">
    <cacheHierarchy uniqueName="[Range].[Umai Frozen Yogurt]" caption="Umai Frozen Yogurt" attribute="1" defaultMemberUniqueName="[Range].[Umai Frozen Yogurt].[All]" allUniqueName="[Range].[Umai Frozen Yogurt].[All]" dimensionUniqueName="[Range]" displayFolder="" count="0" memberValueDatatype="130" unbalanced="0"/>
    <cacheHierarchy uniqueName="[Sales].[Calendar]" caption="Calendar" defaultMemberUniqueName="[Sales].[Calendar].[All]" allUniqueName="[Sales].[Calendar].[All]" dimensionUniqueName="[Sales]" displayFolder="" count="0" unbalanced="0"/>
    <cacheHierarchy uniqueName="[Sales].[Store ID]" caption="Store ID" attribute="1" defaultMemberUniqueName="[Sales].[Store ID].[All]" allUniqueName="[Sales].[Store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5" unbalanced="0"/>
    <cacheHierarchy uniqueName="[Sales].[Month]" caption="Month" attribute="1" defaultMemberUniqueName="[Sales].[Month].[All]" allUniqueName="[Sales].[Month].[All]" dimensionUniqueName="[Sales]" displayFolder="" count="0" memberValueDatatype="130" unbalanced="0"/>
    <cacheHierarchy uniqueName="[Sales].[Weekday]" caption="Weekday" attribute="1" defaultMemberUniqueName="[Sales].[Weekday].[All]" allUniqueName="[Sales].[Weekday].[All]" dimensionUniqueName="[Sales]" displayFolder="" count="0" memberValueDatatype="130" unbalanced="0"/>
    <cacheHierarchy uniqueName="[Sales].[High Temp]" caption="High Temp" attribute="1" defaultMemberUniqueName="[Sales].[High Temp].[All]" allUniqueName="[Sales].[High Temp].[All]" dimensionUniqueName="[Sales]" displayFolder="" count="0" memberValueDatatype="5" unbalanced="0"/>
    <cacheHierarchy uniqueName="[Sales].[Rainy]" caption="Rainy" attribute="1" defaultMemberUniqueName="[Sales].[Rainy].[All]" allUniqueName="[Sales].[Rainy].[All]" dimensionUniqueName="[Sales]" displayFolder="" count="2" memberValueDatatype="130" unbalanced="0">
      <fieldsUsage count="2">
        <fieldUsage x="-1"/>
        <fieldUsage x="0"/>
      </fieldsUsage>
    </cacheHierarchy>
    <cacheHierarchy uniqueName="[Sales].[Customers]" caption="Customers" attribute="1" defaultMemberUniqueName="[Sales].[Customers].[All]" allUniqueName="[Sales].[Customers].[All]" dimensionUniqueName="[Sales]" displayFolder="" count="0" memberValueDatatype="5" unbalanced="0"/>
    <cacheHierarchy uniqueName="[Stores].[Store ID]" caption="Store ID" attribute="1" defaultMemberUniqueName="[Stores].[Store ID].[All]" allUniqueName="[Stores].[Store ID].[All]" dimensionUniqueName="[Stores]" displayFolder="" count="0" memberValueDatatype="130" unbalanced="0"/>
    <cacheHierarchy uniqueName="[Stores].[Address]" caption="Address" attribute="1" defaultMemberUniqueName="[Stores].[Address].[All]" allUniqueName="[Stores].[Address].[All]" dimensionUniqueName="[Stores]" displayFolder="" count="0" memberValueDatatype="130" unbalanced="0"/>
    <cacheHierarchy uniqueName="[Stores].[City]" caption="City" attribute="1" defaultMemberUniqueName="[Stores].[City].[All]" allUniqueName="[Stores].[City].[All]" dimensionUniqueName="[Stores]" displayFolder="" count="2" memberValueDatatype="130" unbalanced="0">
      <fieldsUsage count="2">
        <fieldUsage x="-1"/>
        <fieldUsage x="2"/>
      </fieldsUsage>
    </cacheHierarchy>
    <cacheHierarchy uniqueName="[Stores].[County]" caption="County" attribute="1" defaultMemberUniqueName="[Stores].[County].[All]" allUniqueName="[Stores].[Coun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Postal Code]" caption="Postal Code" attribute="1" defaultMemberUniqueName="[Stores].[Postal Code].[All]" allUniqueName="[Stores].[Postal Code].[All]" dimensionUniqueName="[Stores]" displayFolder="" count="0" memberValueDatatype="130" unbalanced="0"/>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s]" caption="Sum of Customers" measure="1" displayFolder="" measureGroup="Sales" count="0" hidden="1">
      <extLst>
        <ext xmlns:x15="http://schemas.microsoft.com/office/spreadsheetml/2010/11/main" uri="{B97F6D7D-B522-45F9-BDA1-12C45D357490}">
          <x15:cacheHierarchy aggregatedColumn="9"/>
        </ext>
      </extLst>
    </cacheHierarchy>
    <cacheHierarchy uniqueName="[Measures].[Average of Customers]" caption="Average of Customers" measure="1" displayFolder="" measureGroup="Sale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High Temp]" caption="Sum of High Temp" measure="1" displayFolder="" measureGroup="Sales" count="0" hidden="1">
      <extLst>
        <ext xmlns:x15="http://schemas.microsoft.com/office/spreadsheetml/2010/11/main" uri="{B97F6D7D-B522-45F9-BDA1-12C45D357490}">
          <x15:cacheHierarchy aggregatedColumn="7"/>
        </ext>
      </extLst>
    </cacheHierarchy>
    <cacheHierarchy uniqueName="[Measures].[Average of High Temp]" caption="Average of High Temp" measure="1" displayFolder="" measureGroup="Sales"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Sales" uniqueName="[Sales]" caption="Sales"/>
    <dimension name="Stores" uniqueName="[Stores]" caption="Stores"/>
  </dimensions>
  <measureGroups count="3">
    <measureGroup name="Range" caption="Range"/>
    <measureGroup name="Sales" caption="Sales"/>
    <measureGroup name="Stores" caption="Stores"/>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ck Carey" refreshedDate="44451.912122453701" backgroundQuery="1" createdVersion="6" refreshedVersion="6" minRefreshableVersion="3" recordCount="0" supportSubquery="1" supportAdvancedDrill="1" xr:uid="{C8CF8CA6-6A77-401D-8959-E09A4AFFF49D}">
  <cacheSource type="external" connectionId="3"/>
  <cacheFields count="5">
    <cacheField name="[Sales].[Calendar].[Year]" caption="Year" numFmtId="0" hierarchy="1"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Sales].[Calendar].[Year].&amp;[2.024E3]"/>
          </x15:cachedUniqueNames>
        </ext>
      </extLst>
    </cacheField>
    <cacheField name="[Measures].[Average of Customers]" caption="Average of Customers" numFmtId="0" hierarchy="21" level="32767"/>
    <cacheField name="[Stores].[City].[City]" caption="City" numFmtId="0" hierarchy="12" level="1">
      <sharedItems containsSemiMixedTypes="0" containsNonDate="0" containsString="0"/>
    </cacheField>
    <cacheField name="[Sales].[Calendar].[Month]" caption="Month" numFmtId="0" hierarchy="1" level="2">
      <sharedItems count="12">
        <s v="01-Jan"/>
        <s v="02-Feb"/>
        <s v="03-Mar"/>
        <s v="04-Apr"/>
        <s v="05-May"/>
        <s v="06-Jun"/>
        <s v="07-Jul"/>
        <s v="08-Aug"/>
        <s v="09-Sep"/>
        <s v="10-Oct"/>
        <s v="11-Nov"/>
        <s v="12-Dec"/>
      </sharedItems>
      <extLst>
        <ext xmlns:x15="http://schemas.microsoft.com/office/spreadsheetml/2010/11/main" uri="{4F2E5C28-24EA-4eb8-9CBF-B6C8F9C3D259}">
          <x15:cachedUniqueNames>
            <x15:cachedUniqueName index="0" name="[Sales].[Calendar].[Year].&amp;[2.024E3].&amp;[01-Jan]"/>
            <x15:cachedUniqueName index="1" name="[Sales].[Calendar].[Year].&amp;[2.024E3].&amp;[02-Feb]"/>
            <x15:cachedUniqueName index="2" name="[Sales].[Calendar].[Year].&amp;[2.024E3].&amp;[03-Mar]"/>
            <x15:cachedUniqueName index="3" name="[Sales].[Calendar].[Year].&amp;[2.024E3].&amp;[04-Apr]"/>
            <x15:cachedUniqueName index="4" name="[Sales].[Calendar].[Year].&amp;[2.024E3].&amp;[05-May]"/>
            <x15:cachedUniqueName index="5" name="[Sales].[Calendar].[Year].&amp;[2.024E3].&amp;[06-Jun]"/>
            <x15:cachedUniqueName index="6" name="[Sales].[Calendar].[Year].&amp;[2.024E3].&amp;[07-Jul]"/>
            <x15:cachedUniqueName index="7" name="[Sales].[Calendar].[Year].&amp;[2.024E3].&amp;[08-Aug]"/>
            <x15:cachedUniqueName index="8" name="[Sales].[Calendar].[Year].&amp;[2.024E3].&amp;[09-Sep]"/>
            <x15:cachedUniqueName index="9" name="[Sales].[Calendar].[Year].&amp;[2.024E3].&amp;[10-Oct]"/>
            <x15:cachedUniqueName index="10" name="[Sales].[Calendar].[Year].&amp;[2.024E3].&amp;[11-Nov]"/>
            <x15:cachedUniqueName index="11" name="[Sales].[Calendar].[Year].&amp;[2.024E3].&amp;[12-Dec]"/>
          </x15:cachedUniqueNames>
        </ext>
      </extLst>
    </cacheField>
    <cacheField name="[Sales].[Calendar].[Weekday]" caption="Weekday" numFmtId="0" hierarchy="1" level="3">
      <sharedItems containsSemiMixedTypes="0" containsNonDate="0" containsString="0"/>
    </cacheField>
  </cacheFields>
  <cacheHierarchies count="24">
    <cacheHierarchy uniqueName="[Range].[Umai Frozen Yogurt]" caption="Umai Frozen Yogurt" attribute="1" defaultMemberUniqueName="[Range].[Umai Frozen Yogurt].[All]" allUniqueName="[Range].[Umai Frozen Yogurt].[All]" dimensionUniqueName="[Range]" displayFolder="" count="2" memberValueDatatype="130" unbalanced="0"/>
    <cacheHierarchy uniqueName="[Sales].[Calendar]" caption="Calendar" defaultMemberUniqueName="[Sales].[Calendar].[All]" allUniqueName="[Sales].[Calendar].[All]" dimensionUniqueName="[Sales]" displayFolder="" count="4" unbalanced="0">
      <fieldsUsage count="4">
        <fieldUsage x="-1"/>
        <fieldUsage x="0"/>
        <fieldUsage x="3"/>
        <fieldUsage x="4"/>
      </fieldsUsage>
    </cacheHierarchy>
    <cacheHierarchy uniqueName="[Sales].[Store ID]" caption="Store ID" attribute="1" defaultMemberUniqueName="[Sales].[Store ID].[All]" allUniqueName="[Sales].[Store ID].[All]" dimensionUniqueName="[Sales]" displayFolder="" count="2" memberValueDatatype="130" unbalanced="0"/>
    <cacheHierarchy uniqueName="[Sales].[Date]" caption="Date" attribute="1" time="1" defaultMemberUniqueName="[Sales].[Date].[All]" allUniqueName="[Sales].[Date].[All]" dimensionUniqueName="[Sales]" displayFolder="" count="2" memberValueDatatype="7" unbalanced="0"/>
    <cacheHierarchy uniqueName="[Sales].[Year]" caption="Year" attribute="1" defaultMemberUniqueName="[Sales].[Year].[All]" allUniqueName="[Sales].[Year].[All]" dimensionUniqueName="[Sales]" displayFolder="" count="2" memberValueDatatype="5" unbalanced="0"/>
    <cacheHierarchy uniqueName="[Sales].[Month]" caption="Month" attribute="1" defaultMemberUniqueName="[Sales].[Month].[All]" allUniqueName="[Sales].[Month].[All]" dimensionUniqueName="[Sales]" displayFolder="" count="2" memberValueDatatype="130" unbalanced="0"/>
    <cacheHierarchy uniqueName="[Sales].[Weekday]" caption="Weekday" attribute="1" defaultMemberUniqueName="[Sales].[Weekday].[All]" allUniqueName="[Sales].[Weekday].[All]" dimensionUniqueName="[Sales]" displayFolder="" count="2" memberValueDatatype="130" unbalanced="0"/>
    <cacheHierarchy uniqueName="[Sales].[High Temp]" caption="High Temp" attribute="1" defaultMemberUniqueName="[Sales].[High Temp].[All]" allUniqueName="[Sales].[High Temp].[All]" dimensionUniqueName="[Sales]" displayFolder="" count="2" memberValueDatatype="5" unbalanced="0"/>
    <cacheHierarchy uniqueName="[Sales].[Rainy]" caption="Rainy" attribute="1" defaultMemberUniqueName="[Sales].[Rainy].[All]" allUniqueName="[Sales].[Rainy].[All]" dimensionUniqueName="[Sales]" displayFolder="" count="2" memberValueDatatype="130" unbalanced="0"/>
    <cacheHierarchy uniqueName="[Sales].[Customers]" caption="Customers" attribute="1" defaultMemberUniqueName="[Sales].[Customers].[All]" allUniqueName="[Sales].[Customers].[All]" dimensionUniqueName="[Sales]" displayFolder="" count="2" memberValueDatatype="5" unbalanced="0"/>
    <cacheHierarchy uniqueName="[Stores].[Store ID]" caption="Store ID" attribute="1" defaultMemberUniqueName="[Stores].[Store ID].[All]" allUniqueName="[Stores].[Store ID].[All]" dimensionUniqueName="[Stores]" displayFolder="" count="2" memberValueDatatype="130" unbalanced="0"/>
    <cacheHierarchy uniqueName="[Stores].[Address]" caption="Address" attribute="1" defaultMemberUniqueName="[Stores].[Address].[All]" allUniqueName="[Stores].[Address].[All]" dimensionUniqueName="[Stores]" displayFolder="" count="2" memberValueDatatype="130" unbalanced="0"/>
    <cacheHierarchy uniqueName="[Stores].[City]" caption="City" attribute="1" defaultMemberUniqueName="[Stores].[City].[All]" allUniqueName="[Stores].[City].[All]" dimensionUniqueName="[Stores]" displayFolder="" count="2" memberValueDatatype="130" unbalanced="0">
      <fieldsUsage count="2">
        <fieldUsage x="-1"/>
        <fieldUsage x="2"/>
      </fieldsUsage>
    </cacheHierarchy>
    <cacheHierarchy uniqueName="[Stores].[County]" caption="County" attribute="1" defaultMemberUniqueName="[Stores].[County].[All]" allUniqueName="[Stores].[County].[All]" dimensionUniqueName="[Stores]" displayFolder="" count="2" memberValueDatatype="130" unbalanced="0"/>
    <cacheHierarchy uniqueName="[Stores].[State]" caption="State" attribute="1" defaultMemberUniqueName="[Stores].[State].[All]" allUniqueName="[Stores].[State].[All]" dimensionUniqueName="[Stores]" displayFolder="" count="2" memberValueDatatype="130" unbalanced="0"/>
    <cacheHierarchy uniqueName="[Stores].[Postal Code]" caption="Postal Code" attribute="1" defaultMemberUniqueName="[Stores].[Postal Code].[All]" allUniqueName="[Stores].[Postal Code].[All]" dimensionUniqueName="[Stores]" displayFolder="" count="2" memberValueDatatype="130" unbalanced="0"/>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s]" caption="Sum of Customers" measure="1" displayFolder="" measureGroup="Sales" count="0" hidden="1">
      <extLst>
        <ext xmlns:x15="http://schemas.microsoft.com/office/spreadsheetml/2010/11/main" uri="{B97F6D7D-B522-45F9-BDA1-12C45D357490}">
          <x15:cacheHierarchy aggregatedColumn="9"/>
        </ext>
      </extLst>
    </cacheHierarchy>
    <cacheHierarchy uniqueName="[Measures].[Average of Customers]" caption="Average of Customers" measure="1" displayFolder="" measureGroup="Sale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High Temp]" caption="Sum of High Temp" measure="1" displayFolder="" measureGroup="Sales" count="0" hidden="1">
      <extLst>
        <ext xmlns:x15="http://schemas.microsoft.com/office/spreadsheetml/2010/11/main" uri="{B97F6D7D-B522-45F9-BDA1-12C45D357490}">
          <x15:cacheHierarchy aggregatedColumn="7"/>
        </ext>
      </extLst>
    </cacheHierarchy>
    <cacheHierarchy uniqueName="[Measures].[Average of High Temp]" caption="Average of High Temp" measure="1" displayFolder="" measureGroup="Sales" count="0" hidden="1">
      <extLst>
        <ext xmlns:x15="http://schemas.microsoft.com/office/spreadsheetml/2010/11/main" uri="{B97F6D7D-B522-45F9-BDA1-12C45D357490}">
          <x15:cacheHierarchy aggregatedColumn="7"/>
        </ext>
      </extLst>
    </cacheHierarchy>
  </cacheHierarchies>
  <kpis count="0"/>
  <dimensions count="4">
    <dimension measure="1" name="Measures" uniqueName="[Measures]" caption="Measures"/>
    <dimension name="Range" uniqueName="[Range]" caption="Range"/>
    <dimension name="Sales" uniqueName="[Sales]" caption="Sales"/>
    <dimension name="Stores" uniqueName="[Stores]" caption="Stores"/>
  </dimensions>
  <measureGroups count="3">
    <measureGroup name="Range" caption="Range"/>
    <measureGroup name="Sales" caption="Sales"/>
    <measureGroup name="Stores" caption="Stores"/>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rick Carey" refreshedDate="44451.911840046298" backgroundQuery="1" createdVersion="3" refreshedVersion="6" minRefreshableVersion="3" recordCount="0" supportSubquery="1" supportAdvancedDrill="1" xr:uid="{0082D299-8A3B-4833-8D75-1C815C42F084}">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Range].[Umai Frozen Yogurt]" caption="Umai Frozen Yogurt" attribute="1" defaultMemberUniqueName="[Range].[Umai Frozen Yogurt].[All]" allUniqueName="[Range].[Umai Frozen Yogurt].[All]" dimensionUniqueName="[Range]" displayFolder="" count="0" memberValueDatatype="130" unbalanced="0"/>
    <cacheHierarchy uniqueName="[Sales].[Calendar]" caption="Calendar" defaultMemberUniqueName="[Sales].[Calendar].[All]" allUniqueName="[Sales].[Calendar].[All]" dimensionUniqueName="[Sales]" displayFolder="" count="0" unbalanced="0"/>
    <cacheHierarchy uniqueName="[Sales].[Store ID]" caption="Store ID" attribute="1" defaultMemberUniqueName="[Sales].[Store ID].[All]" allUniqueName="[Sales].[Store 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5" unbalanced="0"/>
    <cacheHierarchy uniqueName="[Sales].[Month]" caption="Month" attribute="1" defaultMemberUniqueName="[Sales].[Month].[All]" allUniqueName="[Sales].[Month].[All]" dimensionUniqueName="[Sales]" displayFolder="" count="0" memberValueDatatype="130" unbalanced="0"/>
    <cacheHierarchy uniqueName="[Sales].[Weekday]" caption="Weekday" attribute="1" defaultMemberUniqueName="[Sales].[Weekday].[All]" allUniqueName="[Sales].[Weekday].[All]" dimensionUniqueName="[Sales]" displayFolder="" count="0" memberValueDatatype="130" unbalanced="0"/>
    <cacheHierarchy uniqueName="[Sales].[High Temp]" caption="High Temp" attribute="1" defaultMemberUniqueName="[Sales].[High Temp].[All]" allUniqueName="[Sales].[High Temp].[All]" dimensionUniqueName="[Sales]" displayFolder="" count="0" memberValueDatatype="5" unbalanced="0"/>
    <cacheHierarchy uniqueName="[Sales].[Rainy]" caption="Rainy" attribute="1" defaultMemberUniqueName="[Sales].[Rainy].[All]" allUniqueName="[Sales].[Rainy].[All]" dimensionUniqueName="[Sales]" displayFolder="" count="0" memberValueDatatype="130" unbalanced="0"/>
    <cacheHierarchy uniqueName="[Sales].[Customers]" caption="Customers" attribute="1" defaultMemberUniqueName="[Sales].[Customers].[All]" allUniqueName="[Sales].[Customers].[All]" dimensionUniqueName="[Sales]" displayFolder="" count="0" memberValueDatatype="5" unbalanced="0"/>
    <cacheHierarchy uniqueName="[Stores].[Store ID]" caption="Store ID" attribute="1" defaultMemberUniqueName="[Stores].[Store ID].[All]" allUniqueName="[Stores].[Store ID].[All]" dimensionUniqueName="[Stores]" displayFolder="" count="0" memberValueDatatype="130" unbalanced="0"/>
    <cacheHierarchy uniqueName="[Stores].[Address]" caption="Address" attribute="1" defaultMemberUniqueName="[Stores].[Address].[All]" allUniqueName="[Stores].[Address].[All]" dimensionUniqueName="[Stores]" displayFolder="" count="0" memberValueDatatype="130" unbalanced="0"/>
    <cacheHierarchy uniqueName="[Stores].[City]" caption="City" attribute="1" defaultMemberUniqueName="[Stores].[City].[All]" allUniqueName="[Stores].[City].[All]" dimensionUniqueName="[Stores]" displayFolder="" count="2" memberValueDatatype="130" unbalanced="0"/>
    <cacheHierarchy uniqueName="[Stores].[County]" caption="County" attribute="1" defaultMemberUniqueName="[Stores].[County].[All]" allUniqueName="[Stores].[Coun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Postal Code]" caption="Postal Code" attribute="1" defaultMemberUniqueName="[Stores].[Postal Code].[All]" allUniqueName="[Stores].[Postal Code].[All]" dimensionUniqueName="[Stores]" displayFolder="" count="0" memberValueDatatype="130" unbalanced="0"/>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s]" caption="Sum of Customers" measure="1" displayFolder="" measureGroup="Sales" count="0" hidden="1">
      <extLst>
        <ext xmlns:x15="http://schemas.microsoft.com/office/spreadsheetml/2010/11/main" uri="{B97F6D7D-B522-45F9-BDA1-12C45D357490}">
          <x15:cacheHierarchy aggregatedColumn="9"/>
        </ext>
      </extLst>
    </cacheHierarchy>
    <cacheHierarchy uniqueName="[Measures].[Average of Customers]" caption="Average of Customers" measure="1" displayFolder="" measureGroup="Sales" count="0" hidden="1">
      <extLst>
        <ext xmlns:x15="http://schemas.microsoft.com/office/spreadsheetml/2010/11/main" uri="{B97F6D7D-B522-45F9-BDA1-12C45D357490}">
          <x15:cacheHierarchy aggregatedColumn="9"/>
        </ext>
      </extLst>
    </cacheHierarchy>
    <cacheHierarchy uniqueName="[Measures].[Sum of High Temp]" caption="Sum of High Temp" measure="1" displayFolder="" measureGroup="Sales" count="0" hidden="1">
      <extLst>
        <ext xmlns:x15="http://schemas.microsoft.com/office/spreadsheetml/2010/11/main" uri="{B97F6D7D-B522-45F9-BDA1-12C45D357490}">
          <x15:cacheHierarchy aggregatedColumn="7"/>
        </ext>
      </extLst>
    </cacheHierarchy>
    <cacheHierarchy uniqueName="[Measures].[Average of High Temp]" caption="Average of High Temp" measure="1" displayFolder="" measureGroup="Sale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5543629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500262-066D-4FD0-884A-AB62B315EF2F}" name="Customer Calendar" cacheId="2" applyNumberFormats="0" applyBorderFormats="0" applyFontFormats="0" applyPatternFormats="0" applyAlignmentFormats="0" applyWidthHeightFormats="1" dataCaption="Values" tag="772f7a0a-1cd4-4cb7-a859-8f3ae7c72f2e" updatedVersion="6" minRefreshableVersion="3" useAutoFormatting="1" itemPrintTitles="1" createdVersion="6" indent="0" outline="1" outlineData="1" multipleFieldFilters="0" chartFormat="4">
  <location ref="B4:C17" firstHeaderRow="1" firstDataRow="1" firstDataCol="1"/>
  <pivotFields count="5">
    <pivotField axis="axisRow" hiddenLevel="1" allDrilled="1" subtotalTop="0" showAll="0" dataSourceSort="1" defaultSubtotal="0">
      <items count="1">
        <item s="1" c="1" x="0"/>
      </items>
    </pivotField>
    <pivotField dataField="1" subtotalTop="0" showAll="0" defaultSubtotal="0"/>
    <pivotField allDrilled="1" subtotalTop="0" showAll="0" dataSourceSort="1" defaultSubtotal="0" defaultAttributeDrillState="1"/>
    <pivotField axis="axisRow" allDrilled="1" subtotalTop="0" showAll="0" hideNewItems="1" dataSourceSort="1" defaultSubtotal="0">
      <items count="12">
        <item c="1" x="0"/>
        <item c="1" x="1"/>
        <item c="1" x="2"/>
        <item c="1" x="3"/>
        <item c="1" x="4"/>
        <item c="1" x="5"/>
        <item c="1" x="6"/>
        <item c="1" x="7"/>
        <item c="1" x="8"/>
        <item c="1" x="9"/>
        <item c="1" x="10"/>
        <item c="1" x="11"/>
      </items>
    </pivotField>
    <pivotField axis="axisRow" subtotalTop="0" showAll="0" hideNewItems="1" dataSourceSort="1" defaultSubtotal="0"/>
  </pivotFields>
  <rowFields count="1">
    <field x="3"/>
  </rowFields>
  <rowItems count="13">
    <i>
      <x/>
    </i>
    <i>
      <x v="1"/>
    </i>
    <i>
      <x v="2"/>
    </i>
    <i>
      <x v="3"/>
    </i>
    <i>
      <x v="4"/>
    </i>
    <i>
      <x v="5"/>
    </i>
    <i>
      <x v="6"/>
    </i>
    <i>
      <x v="7"/>
    </i>
    <i>
      <x v="8"/>
    </i>
    <i>
      <x v="9"/>
    </i>
    <i>
      <x v="10"/>
    </i>
    <i>
      <x v="11"/>
    </i>
    <i t="grand">
      <x/>
    </i>
  </rowItems>
  <colItems count="1">
    <i/>
  </colItems>
  <dataFields count="1">
    <dataField name="Average of Customers" fld="1" subtotal="average" baseField="0" baseItem="0" numFmtId="1"/>
  </dataFields>
  <chartFormats count="1">
    <chartFormat chart="3" format="2" series="1">
      <pivotArea type="data" outline="0" fieldPosition="0">
        <references count="1">
          <reference field="4294967294" count="1" selected="0">
            <x v="0"/>
          </reference>
        </references>
      </pivotArea>
    </chartFormat>
  </chartFormats>
  <pivotHierarchies count="2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City].&amp;[Malibu]"/>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ustomers"/>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929DBF-7071-4F5A-BB68-B18D70D0A255}" name="Rain Table" cacheId="1" applyNumberFormats="0" applyBorderFormats="0" applyFontFormats="0" applyPatternFormats="0" applyAlignmentFormats="0" applyWidthHeightFormats="1" dataCaption="Values" tag="91fa12ef-865b-4a54-a7cb-f2cdd5dbb8fb" updatedVersion="6" minRefreshableVersion="3" useAutoFormatting="1" itemPrintTitles="1" createdVersion="6" indent="0" outline="1" outlineData="1" multipleFieldFilters="0" chartFormat="4">
  <location ref="B4:C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Customers" fld="1" subtotal="average" baseField="0" baseItem="0" numFmtId="1"/>
  </dataFields>
  <chartFormats count="1">
    <chartFormat chart="3" format="2" series="1">
      <pivotArea type="data" outline="0" fieldPosition="0">
        <references count="1">
          <reference field="4294967294" count="1" selected="0">
            <x v="0"/>
          </reference>
        </references>
      </pivotArea>
    </chartFormat>
  </chartFormats>
  <pivotHierarchies count="2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City].&amp;[Malibu]"/>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ustomers"/>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F02283-1ED4-45EA-9D48-B96AC0192DD2}" name="Temperature Table" cacheId="0" applyNumberFormats="0" applyBorderFormats="0" applyFontFormats="0" applyPatternFormats="0" applyAlignmentFormats="0" applyWidthHeightFormats="1" dataCaption="Values" tag="43ebba09-73b9-4b60-a379-f50ec724438a" updatedVersion="6" minRefreshableVersion="3" useAutoFormatting="1" itemPrintTitles="1" createdVersion="6" indent="0" outline="1" outlineData="1" multipleFieldFilters="0">
  <location ref="B4:D17"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Average of High Temp" fld="1" subtotal="average" baseField="0" baseItem="0"/>
    <dataField name="Average of Customers" fld="2" subtotal="average" baseField="0" baseItem="0"/>
  </dataFields>
  <pivotHierarchies count="2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City].&amp;[Malibu]"/>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ustomers"/>
    <pivotHierarchy dragToData="1"/>
    <pivotHierarchy dragToData="1" caption="Average of High Temp"/>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9E46F5A-A17C-451B-AB72-47A0D62502A7}" sourceName="[Stores].[City]">
  <pivotTables>
    <pivotTable tabId="21" name="Customer Calendar"/>
    <pivotTable tabId="22" name="Rain Table"/>
    <pivotTable tabId="23" name="Temperature Table"/>
  </pivotTables>
  <data>
    <olap pivotCacheId="554362929">
      <levels count="2">
        <level uniqueName="[Stores].[City].[(All)]" sourceCaption="(All)" count="0"/>
        <level uniqueName="[Stores].[City].[City]" sourceCaption="City" count="20">
          <ranges>
            <range startItem="0">
              <i n="[Stores].[City].&amp;[Bakersfield]" c="Bakersfield"/>
              <i n="[Stores].[City].&amp;[Chula Vista]" c="Chula Vista"/>
              <i n="[Stores].[City].&amp;[Fresno]" c="Fresno"/>
              <i n="[Stores].[City].&amp;[Hollister]" c="Hollister"/>
              <i n="[Stores].[City].&amp;[Huntington Beach]" c="Huntington Beach"/>
              <i n="[Stores].[City].&amp;[La Jolla]" c="La Jolla"/>
              <i n="[Stores].[City].&amp;[Long Beach]" c="Long Beach"/>
              <i n="[Stores].[City].&amp;[Los Angeles]" c="Los Angeles"/>
              <i n="[Stores].[City].&amp;[Malibu]" c="Malibu"/>
              <i n="[Stores].[City].&amp;[Monterey]" c="Monterey"/>
              <i n="[Stores].[City].&amp;[Palo Alto]" c="Palo Alto"/>
              <i n="[Stores].[City].&amp;[Pomona]" c="Pomona"/>
              <i n="[Stores].[City].&amp;[Sacramento]" c="Sacramento"/>
              <i n="[Stores].[City].&amp;[San Bernardino]" c="San Bernardino"/>
              <i n="[Stores].[City].&amp;[San Luis Obispo]" c="San Luis Obispo"/>
              <i n="[Stores].[City].&amp;[Santa Barbara]" c="Santa Barbara"/>
              <i n="[Stores].[City].&amp;[Santa Cruz]" c="Santa Cruz"/>
              <i n="[Stores].[City].&amp;[Santa Rosa]" c="Santa Rosa"/>
              <i n="[Stores].[City].&amp;[Valencia]" c="Valencia"/>
              <i n="[Stores].[City].&amp;[Ventura]" c="Ventura"/>
            </range>
          </ranges>
        </level>
      </levels>
      <selections count="1">
        <selection n="[Stores].[City].&amp;[Malibu]"/>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63E3125-D85B-4ABD-9A0C-9F0877E55B15}" cache="Slicer_City" caption="City" columnCount="4" level="1" rowHeight="241300"/>
</slicers>
</file>

<file path=xl/theme/theme1.xml><?xml version="1.0" encoding="utf-8"?>
<a:theme xmlns:a="http://schemas.openxmlformats.org/drawingml/2006/main" name="Retrospect">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A9F8-36CA-4FC0-ACEB-4D5BCE12823A}">
  <dimension ref="A1:B5"/>
  <sheetViews>
    <sheetView tabSelected="1" zoomScale="120" zoomScaleNormal="120" workbookViewId="0">
      <selection activeCell="B3" sqref="B3"/>
    </sheetView>
  </sheetViews>
  <sheetFormatPr defaultRowHeight="15" x14ac:dyDescent="0.25"/>
  <cols>
    <col min="2" max="2" width="44.5703125" customWidth="1"/>
  </cols>
  <sheetData>
    <row r="1" spans="1:2" ht="34.5" x14ac:dyDescent="0.45">
      <c r="A1" s="9" t="s">
        <v>17</v>
      </c>
    </row>
    <row r="3" spans="1:2" x14ac:dyDescent="0.25">
      <c r="A3" s="6" t="s">
        <v>0</v>
      </c>
      <c r="B3" s="7" t="s">
        <v>43</v>
      </c>
    </row>
    <row r="4" spans="1:2" x14ac:dyDescent="0.25">
      <c r="A4" s="6" t="s">
        <v>1</v>
      </c>
      <c r="B4" s="8">
        <v>45352</v>
      </c>
    </row>
    <row r="5" spans="1:2" ht="30" x14ac:dyDescent="0.25">
      <c r="A5" s="6" t="s">
        <v>2</v>
      </c>
      <c r="B5" s="7" t="s">
        <v>42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D9F0-485F-4ADE-8BE8-8E03578ECBE0}">
  <dimension ref="B1:B2"/>
  <sheetViews>
    <sheetView zoomScale="120" zoomScaleNormal="120" workbookViewId="0"/>
  </sheetViews>
  <sheetFormatPr defaultRowHeight="15" x14ac:dyDescent="0.25"/>
  <cols>
    <col min="1" max="1" width="1.85546875" customWidth="1"/>
    <col min="2" max="6" width="8.7109375" customWidth="1"/>
    <col min="7" max="7" width="9.140625" customWidth="1"/>
    <col min="10" max="10" width="3.28515625" customWidth="1"/>
  </cols>
  <sheetData>
    <row r="1" spans="2:2" ht="34.5" x14ac:dyDescent="0.45">
      <c r="B1" s="9" t="s">
        <v>17</v>
      </c>
    </row>
    <row r="2" spans="2:2" ht="18.75" x14ac:dyDescent="0.3">
      <c r="B2" s="10" t="s">
        <v>19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C5CDC-6B41-4EBA-A8BF-0585579FA1BB}">
  <dimension ref="B1:C17"/>
  <sheetViews>
    <sheetView zoomScale="120" zoomScaleNormal="120" workbookViewId="0">
      <selection activeCell="B4" sqref="B4"/>
    </sheetView>
  </sheetViews>
  <sheetFormatPr defaultRowHeight="15" x14ac:dyDescent="0.25"/>
  <cols>
    <col min="1" max="1" width="1.85546875" customWidth="1"/>
    <col min="2" max="2" width="13.140625" bestFit="1" customWidth="1"/>
    <col min="3" max="3" width="21.140625" bestFit="1" customWidth="1"/>
    <col min="4" max="7" width="9.140625" customWidth="1"/>
  </cols>
  <sheetData>
    <row r="1" spans="2:3" ht="34.5" x14ac:dyDescent="0.45">
      <c r="B1" s="9" t="s">
        <v>17</v>
      </c>
    </row>
    <row r="2" spans="2:3" ht="18.75" x14ac:dyDescent="0.3">
      <c r="B2" s="10" t="s">
        <v>18</v>
      </c>
    </row>
    <row r="4" spans="2:3" x14ac:dyDescent="0.25">
      <c r="B4" s="13" t="s">
        <v>44</v>
      </c>
      <c r="C4" t="s">
        <v>46</v>
      </c>
    </row>
    <row r="5" spans="2:3" x14ac:dyDescent="0.25">
      <c r="B5" s="14" t="s">
        <v>49</v>
      </c>
      <c r="C5" s="15">
        <v>123.58064516129032</v>
      </c>
    </row>
    <row r="6" spans="2:3" x14ac:dyDescent="0.25">
      <c r="B6" s="14" t="s">
        <v>50</v>
      </c>
      <c r="C6" s="15">
        <v>148.06896551724137</v>
      </c>
    </row>
    <row r="7" spans="2:3" x14ac:dyDescent="0.25">
      <c r="B7" s="14" t="s">
        <v>51</v>
      </c>
      <c r="C7" s="15">
        <v>184.09677419354838</v>
      </c>
    </row>
    <row r="8" spans="2:3" x14ac:dyDescent="0.25">
      <c r="B8" s="14" t="s">
        <v>52</v>
      </c>
      <c r="C8" s="15">
        <v>196.73333333333332</v>
      </c>
    </row>
    <row r="9" spans="2:3" x14ac:dyDescent="0.25">
      <c r="B9" s="14" t="s">
        <v>53</v>
      </c>
      <c r="C9" s="15">
        <v>248.19354838709677</v>
      </c>
    </row>
    <row r="10" spans="2:3" x14ac:dyDescent="0.25">
      <c r="B10" s="14" t="s">
        <v>54</v>
      </c>
      <c r="C10" s="15">
        <v>319.60000000000002</v>
      </c>
    </row>
    <row r="11" spans="2:3" x14ac:dyDescent="0.25">
      <c r="B11" s="14" t="s">
        <v>55</v>
      </c>
      <c r="C11" s="15">
        <v>345.25806451612902</v>
      </c>
    </row>
    <row r="12" spans="2:3" x14ac:dyDescent="0.25">
      <c r="B12" s="14" t="s">
        <v>56</v>
      </c>
      <c r="C12" s="15">
        <v>359.61290322580646</v>
      </c>
    </row>
    <row r="13" spans="2:3" x14ac:dyDescent="0.25">
      <c r="B13" s="14" t="s">
        <v>57</v>
      </c>
      <c r="C13" s="15">
        <v>286.86666666666667</v>
      </c>
    </row>
    <row r="14" spans="2:3" x14ac:dyDescent="0.25">
      <c r="B14" s="14" t="s">
        <v>58</v>
      </c>
      <c r="C14" s="15">
        <v>205.51612903225808</v>
      </c>
    </row>
    <row r="15" spans="2:3" x14ac:dyDescent="0.25">
      <c r="B15" s="14" t="s">
        <v>59</v>
      </c>
      <c r="C15" s="15">
        <v>153.4</v>
      </c>
    </row>
    <row r="16" spans="2:3" x14ac:dyDescent="0.25">
      <c r="B16" s="14" t="s">
        <v>60</v>
      </c>
      <c r="C16" s="15">
        <v>130.64516129032259</v>
      </c>
    </row>
    <row r="17" spans="2:3" x14ac:dyDescent="0.25">
      <c r="B17" s="14" t="s">
        <v>45</v>
      </c>
      <c r="C17" s="15">
        <v>225.39890710382514</v>
      </c>
    </row>
  </sheetData>
  <pageMargins left="0.7" right="0.7" top="0.75" bottom="0.75" header="0.3" footer="0.3"/>
  <pageSetup orientation="portrait" horizontalDpi="4294967295" verticalDpi="4294967295"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87380-64C9-469B-A1D0-CD49208032EF}">
  <dimension ref="B1:C7"/>
  <sheetViews>
    <sheetView zoomScale="120" zoomScaleNormal="120" workbookViewId="0">
      <selection activeCell="B4" sqref="B4"/>
    </sheetView>
  </sheetViews>
  <sheetFormatPr defaultRowHeight="15" x14ac:dyDescent="0.25"/>
  <cols>
    <col min="1" max="1" width="1.85546875" customWidth="1"/>
    <col min="2" max="2" width="13.7109375" bestFit="1" customWidth="1"/>
    <col min="3" max="3" width="21.140625" bestFit="1" customWidth="1"/>
    <col min="4" max="5" width="5.42578125" bestFit="1" customWidth="1"/>
    <col min="6" max="6" width="11.5703125" bestFit="1" customWidth="1"/>
    <col min="7" max="7" width="9.140625" customWidth="1"/>
  </cols>
  <sheetData>
    <row r="1" spans="2:3" ht="34.5" x14ac:dyDescent="0.45">
      <c r="B1" s="9" t="s">
        <v>17</v>
      </c>
    </row>
    <row r="2" spans="2:3" ht="18.75" x14ac:dyDescent="0.3">
      <c r="B2" s="10" t="s">
        <v>20</v>
      </c>
    </row>
    <row r="4" spans="2:3" x14ac:dyDescent="0.25">
      <c r="B4" s="13" t="s">
        <v>44</v>
      </c>
      <c r="C4" t="s">
        <v>46</v>
      </c>
    </row>
    <row r="5" spans="2:3" x14ac:dyDescent="0.25">
      <c r="B5" s="14" t="s">
        <v>47</v>
      </c>
      <c r="C5" s="15">
        <v>144.45070422535213</v>
      </c>
    </row>
    <row r="6" spans="2:3" x14ac:dyDescent="0.25">
      <c r="B6" s="14" t="s">
        <v>48</v>
      </c>
      <c r="C6" s="15">
        <v>229.44549266247378</v>
      </c>
    </row>
    <row r="7" spans="2:3" x14ac:dyDescent="0.25">
      <c r="B7" s="14" t="s">
        <v>45</v>
      </c>
      <c r="C7" s="15">
        <v>218.43339416058393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21EF-1319-4197-9C06-9FD834E2D7A4}">
  <dimension ref="B1:G17"/>
  <sheetViews>
    <sheetView zoomScale="120" zoomScaleNormal="120" workbookViewId="0">
      <selection activeCell="F4" sqref="F4:G16"/>
    </sheetView>
  </sheetViews>
  <sheetFormatPr defaultRowHeight="15" x14ac:dyDescent="0.25"/>
  <cols>
    <col min="1" max="1" width="1.85546875" customWidth="1"/>
    <col min="2" max="2" width="13.140625" bestFit="1" customWidth="1"/>
    <col min="3" max="3" width="21.28515625" bestFit="1" customWidth="1"/>
    <col min="4" max="4" width="21.140625" bestFit="1" customWidth="1"/>
    <col min="5" max="5" width="4.5703125" customWidth="1"/>
    <col min="6" max="6" width="11.5703125" bestFit="1" customWidth="1"/>
    <col min="7" max="7" width="9.140625" customWidth="1"/>
  </cols>
  <sheetData>
    <row r="1" spans="2:7" ht="34.5" x14ac:dyDescent="0.45">
      <c r="B1" s="9" t="s">
        <v>17</v>
      </c>
    </row>
    <row r="2" spans="2:7" ht="18.75" x14ac:dyDescent="0.3">
      <c r="B2" s="10" t="s">
        <v>21</v>
      </c>
    </row>
    <row r="4" spans="2:7" x14ac:dyDescent="0.25">
      <c r="B4" s="13" t="s">
        <v>44</v>
      </c>
      <c r="C4" t="s">
        <v>61</v>
      </c>
      <c r="D4" t="s">
        <v>46</v>
      </c>
      <c r="F4" s="5" t="s">
        <v>62</v>
      </c>
      <c r="G4" s="5" t="s">
        <v>23</v>
      </c>
    </row>
    <row r="5" spans="2:7" x14ac:dyDescent="0.25">
      <c r="B5" s="14" t="s">
        <v>49</v>
      </c>
      <c r="C5" s="5">
        <v>61.060215053763443</v>
      </c>
      <c r="D5" s="5">
        <v>127.56989247311827</v>
      </c>
      <c r="F5" s="15">
        <f t="shared" ref="F5:F16" si="0">C5</f>
        <v>61.060215053763443</v>
      </c>
      <c r="G5" s="15">
        <f t="shared" ref="G5:G16" si="1">D5</f>
        <v>127.56989247311827</v>
      </c>
    </row>
    <row r="6" spans="2:7" x14ac:dyDescent="0.25">
      <c r="B6" s="14" t="s">
        <v>50</v>
      </c>
      <c r="C6" s="5">
        <v>62.617647058823543</v>
      </c>
      <c r="D6" s="5">
        <v>143.6705882352941</v>
      </c>
      <c r="F6" s="15">
        <f t="shared" si="0"/>
        <v>62.617647058823543</v>
      </c>
      <c r="G6" s="15">
        <f t="shared" si="1"/>
        <v>143.6705882352941</v>
      </c>
    </row>
    <row r="7" spans="2:7" x14ac:dyDescent="0.25">
      <c r="B7" s="14" t="s">
        <v>51</v>
      </c>
      <c r="C7" s="5">
        <v>65.029032258064504</v>
      </c>
      <c r="D7" s="5">
        <v>167.33333333333334</v>
      </c>
      <c r="F7" s="15">
        <f t="shared" si="0"/>
        <v>65.029032258064504</v>
      </c>
      <c r="G7" s="15">
        <f t="shared" si="1"/>
        <v>167.33333333333334</v>
      </c>
    </row>
    <row r="8" spans="2:7" x14ac:dyDescent="0.25">
      <c r="B8" s="14" t="s">
        <v>52</v>
      </c>
      <c r="C8" s="5">
        <v>71.966666666666669</v>
      </c>
      <c r="D8" s="5">
        <v>193.77777777777777</v>
      </c>
      <c r="F8" s="15">
        <f t="shared" si="0"/>
        <v>71.966666666666669</v>
      </c>
      <c r="G8" s="15">
        <f t="shared" si="1"/>
        <v>193.77777777777777</v>
      </c>
    </row>
    <row r="9" spans="2:7" x14ac:dyDescent="0.25">
      <c r="B9" s="14" t="s">
        <v>53</v>
      </c>
      <c r="C9" s="5">
        <v>81.225806451612897</v>
      </c>
      <c r="D9" s="5">
        <v>239.45161290322579</v>
      </c>
      <c r="F9" s="15">
        <f t="shared" si="0"/>
        <v>81.225806451612897</v>
      </c>
      <c r="G9" s="15">
        <f t="shared" si="1"/>
        <v>239.45161290322579</v>
      </c>
    </row>
    <row r="10" spans="2:7" x14ac:dyDescent="0.25">
      <c r="B10" s="14" t="s">
        <v>54</v>
      </c>
      <c r="C10" s="5">
        <v>90.183333333333337</v>
      </c>
      <c r="D10" s="5">
        <v>300.27777777777777</v>
      </c>
      <c r="F10" s="15">
        <f t="shared" si="0"/>
        <v>90.183333333333337</v>
      </c>
      <c r="G10" s="15">
        <f t="shared" si="1"/>
        <v>300.27777777777777</v>
      </c>
    </row>
    <row r="11" spans="2:7" x14ac:dyDescent="0.25">
      <c r="B11" s="14" t="s">
        <v>55</v>
      </c>
      <c r="C11" s="5">
        <v>94.433333333333351</v>
      </c>
      <c r="D11" s="5">
        <v>344.88172043010752</v>
      </c>
      <c r="F11" s="15">
        <f t="shared" si="0"/>
        <v>94.433333333333351</v>
      </c>
      <c r="G11" s="15">
        <f t="shared" si="1"/>
        <v>344.88172043010752</v>
      </c>
    </row>
    <row r="12" spans="2:7" x14ac:dyDescent="0.25">
      <c r="B12" s="14" t="s">
        <v>56</v>
      </c>
      <c r="C12" s="5">
        <v>91.891397849462379</v>
      </c>
      <c r="D12" s="5">
        <v>343.35483870967744</v>
      </c>
      <c r="F12" s="15">
        <f t="shared" si="0"/>
        <v>91.891397849462379</v>
      </c>
      <c r="G12" s="15">
        <f t="shared" si="1"/>
        <v>343.35483870967744</v>
      </c>
    </row>
    <row r="13" spans="2:7" x14ac:dyDescent="0.25">
      <c r="B13" s="14" t="s">
        <v>57</v>
      </c>
      <c r="C13" s="5">
        <v>86.477777777777789</v>
      </c>
      <c r="D13" s="5">
        <v>280.48888888888888</v>
      </c>
      <c r="F13" s="15">
        <f t="shared" si="0"/>
        <v>86.477777777777789</v>
      </c>
      <c r="G13" s="15">
        <f t="shared" si="1"/>
        <v>280.48888888888888</v>
      </c>
    </row>
    <row r="14" spans="2:7" x14ac:dyDescent="0.25">
      <c r="B14" s="14" t="s">
        <v>58</v>
      </c>
      <c r="C14" s="5">
        <v>76.652688172043014</v>
      </c>
      <c r="D14" s="5">
        <v>197.78494623655914</v>
      </c>
      <c r="F14" s="15">
        <f t="shared" si="0"/>
        <v>76.652688172043014</v>
      </c>
      <c r="G14" s="15">
        <f t="shared" si="1"/>
        <v>197.78494623655914</v>
      </c>
    </row>
    <row r="15" spans="2:7" x14ac:dyDescent="0.25">
      <c r="B15" s="14" t="s">
        <v>59</v>
      </c>
      <c r="C15" s="5">
        <v>65.845555555555563</v>
      </c>
      <c r="D15" s="5">
        <v>147.97777777777779</v>
      </c>
      <c r="F15" s="15">
        <f t="shared" si="0"/>
        <v>65.845555555555563</v>
      </c>
      <c r="G15" s="15">
        <f t="shared" si="1"/>
        <v>147.97777777777779</v>
      </c>
    </row>
    <row r="16" spans="2:7" x14ac:dyDescent="0.25">
      <c r="B16" s="14" t="s">
        <v>60</v>
      </c>
      <c r="C16" s="5">
        <v>60.848387096774182</v>
      </c>
      <c r="D16" s="5">
        <v>129.7741935483871</v>
      </c>
      <c r="F16" s="15">
        <f t="shared" si="0"/>
        <v>60.848387096774182</v>
      </c>
      <c r="G16" s="15">
        <f t="shared" si="1"/>
        <v>129.7741935483871</v>
      </c>
    </row>
    <row r="17" spans="2:4" x14ac:dyDescent="0.25">
      <c r="B17" s="14" t="s">
        <v>45</v>
      </c>
      <c r="C17" s="5">
        <v>75.749270072992672</v>
      </c>
      <c r="D17" s="5">
        <v>218.43339416058393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9E7ED-9E61-4AEF-8D16-A7A0B1A983E9}">
  <dimension ref="B1:D23"/>
  <sheetViews>
    <sheetView zoomScale="120" zoomScaleNormal="120" workbookViewId="0"/>
  </sheetViews>
  <sheetFormatPr defaultRowHeight="15" x14ac:dyDescent="0.25"/>
  <cols>
    <col min="1" max="1" width="3.140625" customWidth="1"/>
    <col min="2" max="2" width="18.85546875" customWidth="1"/>
    <col min="3" max="3" width="13.7109375" customWidth="1"/>
    <col min="4" max="4" width="44" customWidth="1"/>
  </cols>
  <sheetData>
    <row r="1" spans="2:4" ht="34.5" x14ac:dyDescent="0.45">
      <c r="B1" s="9" t="s">
        <v>17</v>
      </c>
    </row>
    <row r="2" spans="2:4" ht="18.75" x14ac:dyDescent="0.3">
      <c r="B2" s="10" t="s">
        <v>16</v>
      </c>
    </row>
    <row r="4" spans="2:4" x14ac:dyDescent="0.25">
      <c r="B4" s="2" t="s">
        <v>24</v>
      </c>
    </row>
    <row r="5" spans="2:4" x14ac:dyDescent="0.25">
      <c r="B5" s="4" t="s">
        <v>25</v>
      </c>
    </row>
    <row r="6" spans="2:4" x14ac:dyDescent="0.25">
      <c r="B6" s="11" t="s">
        <v>5</v>
      </c>
      <c r="C6" s="11" t="s">
        <v>6</v>
      </c>
      <c r="D6" s="11" t="s">
        <v>4</v>
      </c>
    </row>
    <row r="7" spans="2:4" x14ac:dyDescent="0.25">
      <c r="B7" s="12" t="s">
        <v>12</v>
      </c>
      <c r="C7" s="3" t="s">
        <v>8</v>
      </c>
      <c r="D7" s="1" t="s">
        <v>13</v>
      </c>
    </row>
    <row r="8" spans="2:4" x14ac:dyDescent="0.25">
      <c r="B8" s="12" t="s">
        <v>1</v>
      </c>
      <c r="C8" s="3" t="s">
        <v>8</v>
      </c>
      <c r="D8" s="1" t="s">
        <v>26</v>
      </c>
    </row>
    <row r="9" spans="2:4" x14ac:dyDescent="0.25">
      <c r="B9" s="12" t="s">
        <v>3</v>
      </c>
      <c r="C9" s="3" t="s">
        <v>8</v>
      </c>
      <c r="D9" s="1" t="s">
        <v>27</v>
      </c>
    </row>
    <row r="10" spans="2:4" x14ac:dyDescent="0.25">
      <c r="B10" s="12" t="s">
        <v>22</v>
      </c>
      <c r="C10" s="3" t="s">
        <v>8</v>
      </c>
      <c r="D10" s="1" t="s">
        <v>28</v>
      </c>
    </row>
    <row r="11" spans="2:4" x14ac:dyDescent="0.25">
      <c r="B11" s="12" t="s">
        <v>29</v>
      </c>
      <c r="C11" s="3" t="s">
        <v>8</v>
      </c>
      <c r="D11" s="1" t="s">
        <v>30</v>
      </c>
    </row>
    <row r="12" spans="2:4" ht="30" x14ac:dyDescent="0.25">
      <c r="B12" s="12" t="s">
        <v>31</v>
      </c>
      <c r="C12" s="3" t="s">
        <v>7</v>
      </c>
      <c r="D12" s="1" t="s">
        <v>32</v>
      </c>
    </row>
    <row r="13" spans="2:4" ht="30" x14ac:dyDescent="0.25">
      <c r="B13" s="12" t="s">
        <v>33</v>
      </c>
      <c r="C13" s="3" t="s">
        <v>8</v>
      </c>
      <c r="D13" s="1" t="s">
        <v>34</v>
      </c>
    </row>
    <row r="14" spans="2:4" ht="30" x14ac:dyDescent="0.25">
      <c r="B14" s="12" t="s">
        <v>23</v>
      </c>
      <c r="C14" s="3" t="s">
        <v>7</v>
      </c>
      <c r="D14" s="1" t="s">
        <v>35</v>
      </c>
    </row>
    <row r="16" spans="2:4" x14ac:dyDescent="0.25">
      <c r="B16" s="4" t="s">
        <v>14</v>
      </c>
    </row>
    <row r="17" spans="2:4" x14ac:dyDescent="0.25">
      <c r="B17" s="11" t="s">
        <v>5</v>
      </c>
      <c r="C17" s="11" t="s">
        <v>6</v>
      </c>
      <c r="D17" s="11" t="s">
        <v>4</v>
      </c>
    </row>
    <row r="18" spans="2:4" x14ac:dyDescent="0.25">
      <c r="B18" s="12" t="s">
        <v>12</v>
      </c>
      <c r="C18" s="3" t="s">
        <v>8</v>
      </c>
      <c r="D18" s="1" t="s">
        <v>13</v>
      </c>
    </row>
    <row r="19" spans="2:4" x14ac:dyDescent="0.25">
      <c r="B19" s="12" t="s">
        <v>15</v>
      </c>
      <c r="C19" s="3" t="s">
        <v>8</v>
      </c>
      <c r="D19" s="1" t="s">
        <v>36</v>
      </c>
    </row>
    <row r="20" spans="2:4" x14ac:dyDescent="0.25">
      <c r="B20" s="12" t="s">
        <v>9</v>
      </c>
      <c r="C20" s="3" t="s">
        <v>8</v>
      </c>
      <c r="D20" s="1" t="s">
        <v>37</v>
      </c>
    </row>
    <row r="21" spans="2:4" x14ac:dyDescent="0.25">
      <c r="B21" s="12" t="s">
        <v>38</v>
      </c>
      <c r="C21" s="3" t="s">
        <v>8</v>
      </c>
      <c r="D21" s="1" t="s">
        <v>39</v>
      </c>
    </row>
    <row r="22" spans="2:4" x14ac:dyDescent="0.25">
      <c r="B22" s="12" t="s">
        <v>10</v>
      </c>
      <c r="C22" s="3" t="s">
        <v>8</v>
      </c>
      <c r="D22" s="1" t="s">
        <v>40</v>
      </c>
    </row>
    <row r="23" spans="2:4" x14ac:dyDescent="0.25">
      <c r="B23" s="12" t="s">
        <v>11</v>
      </c>
      <c r="C23" s="3" t="s">
        <v>8</v>
      </c>
      <c r="D23" s="1" t="s">
        <v>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AA32A459-66F1-4EDC-925D-B9BE8237400A}">
  <ds:schemaRefs/>
</ds:datastoreItem>
</file>

<file path=customXml/itemProps2.xml><?xml version="1.0" encoding="utf-8"?>
<ds:datastoreItem xmlns:ds="http://schemas.openxmlformats.org/officeDocument/2006/customXml" ds:itemID="{423D5530-B88C-461B-8BE2-71DECC4699BE}">
  <ds:schemaRefs/>
</ds:datastoreItem>
</file>

<file path=customXml/itemProps3.xml><?xml version="1.0" encoding="utf-8"?>
<ds:datastoreItem xmlns:ds="http://schemas.openxmlformats.org/officeDocument/2006/customXml" ds:itemID="{4A542ADE-7218-4E6D-9990-F56CD720276D}">
  <ds:schemaRefs/>
</ds:datastoreItem>
</file>

<file path=customXml/itemProps4.xml><?xml version="1.0" encoding="utf-8"?>
<ds:datastoreItem xmlns:ds="http://schemas.openxmlformats.org/officeDocument/2006/customXml" ds:itemID="{9751EB13-3C4B-4429-82CF-65D81DDC1B10}">
  <ds:schemaRefs/>
</ds:datastoreItem>
</file>

<file path=customXml/itemProps5.xml><?xml version="1.0" encoding="utf-8"?>
<ds:datastoreItem xmlns:ds="http://schemas.openxmlformats.org/officeDocument/2006/customXml" ds:itemID="{03D10DA2-DD2B-4040-8058-EA5A56176791}">
  <ds:schemaRefs/>
</ds:datastoreItem>
</file>

<file path=customXml/itemProps6.xml><?xml version="1.0" encoding="utf-8"?>
<ds:datastoreItem xmlns:ds="http://schemas.openxmlformats.org/officeDocument/2006/customXml" ds:itemID="{3C8E3195-144F-49C9-8863-589EE8280DFD}">
  <ds:schemaRefs>
    <ds:schemaRef ds:uri="http://www.w3.org/2001/XMLSchema"/>
    <ds:schemaRef ds:uri="http://microsoft.data.visualization.engine.tours/1.0"/>
  </ds:schemaRefs>
</ds:datastoreItem>
</file>

<file path=customXml/itemProps7.xml><?xml version="1.0" encoding="utf-8"?>
<ds:datastoreItem xmlns:ds="http://schemas.openxmlformats.org/officeDocument/2006/customXml" ds:itemID="{203CB1D9-E50B-4379-AF26-8EA47955DF39}">
  <ds:schemaRefs/>
</ds:datastoreItem>
</file>

<file path=customXml/itemProps8.xml><?xml version="1.0" encoding="utf-8"?>
<ds:datastoreItem xmlns:ds="http://schemas.openxmlformats.org/officeDocument/2006/customXml" ds:itemID="{25E41838-5E92-475B-96C2-EA62E1133E52}">
  <ds:schemaRefs/>
</ds:datastoreItem>
</file>

<file path=customXml/itemProps9.xml><?xml version="1.0" encoding="utf-8"?>
<ds:datastoreItem xmlns:ds="http://schemas.openxmlformats.org/officeDocument/2006/customXml" ds:itemID="{E1502893-ECB9-47A3-AEAE-F222648867F4}">
  <ds:schemaRefs/>
</ds:datastoreItem>
</file>

<file path=customXml/itemProps10.xml><?xml version="1.0" encoding="utf-8"?>
<ds:datastoreItem xmlns:ds="http://schemas.openxmlformats.org/officeDocument/2006/customXml" ds:itemID="{F418BC5D-DF83-4F35-882F-28818D3C327B}">
  <ds:schemaRefs/>
</ds:datastoreItem>
</file>

<file path=customXml/itemProps11.xml><?xml version="1.0" encoding="utf-8"?>
<ds:datastoreItem xmlns:ds="http://schemas.openxmlformats.org/officeDocument/2006/customXml" ds:itemID="{A96A31CB-920B-4072-8716-AC6FC823CE0F}">
  <ds:schemaRefs/>
</ds:datastoreItem>
</file>

<file path=customXml/itemProps12.xml><?xml version="1.0" encoding="utf-8"?>
<ds:datastoreItem xmlns:ds="http://schemas.openxmlformats.org/officeDocument/2006/customXml" ds:itemID="{80BE31DA-535A-4D51-A52B-41FFEAED4C38}">
  <ds:schemaRefs/>
</ds:datastoreItem>
</file>

<file path=customXml/itemProps13.xml><?xml version="1.0" encoding="utf-8"?>
<ds:datastoreItem xmlns:ds="http://schemas.openxmlformats.org/officeDocument/2006/customXml" ds:itemID="{3E9E519A-E145-4CBA-B189-F49AC976E703}">
  <ds:schemaRefs/>
</ds:datastoreItem>
</file>

<file path=customXml/itemProps14.xml><?xml version="1.0" encoding="utf-8"?>
<ds:datastoreItem xmlns:ds="http://schemas.openxmlformats.org/officeDocument/2006/customXml" ds:itemID="{74829059-0B4F-40DC-BA26-0DBD9E8C6C33}">
  <ds:schemaRefs/>
</ds:datastoreItem>
</file>

<file path=customXml/itemProps15.xml><?xml version="1.0" encoding="utf-8"?>
<ds:datastoreItem xmlns:ds="http://schemas.openxmlformats.org/officeDocument/2006/customXml" ds:itemID="{3F0BB1CC-573B-4703-A0BC-00E5156B5DE4}">
  <ds:schemaRefs/>
</ds:datastoreItem>
</file>

<file path=customXml/itemProps16.xml><?xml version="1.0" encoding="utf-8"?>
<ds:datastoreItem xmlns:ds="http://schemas.openxmlformats.org/officeDocument/2006/customXml" ds:itemID="{F279DFC9-893D-4B07-AE8F-F729F5543B4E}">
  <ds:schemaRefs>
    <ds:schemaRef ds:uri="http://www.w3.org/2001/XMLSchema"/>
    <ds:schemaRef ds:uri="http://microsoft.data.visualization.Client.Excel.LState/1.0"/>
  </ds:schemaRefs>
</ds:datastoreItem>
</file>

<file path=customXml/itemProps17.xml><?xml version="1.0" encoding="utf-8"?>
<ds:datastoreItem xmlns:ds="http://schemas.openxmlformats.org/officeDocument/2006/customXml" ds:itemID="{DDEA0812-4A90-4F13-A274-E0834ACD6EA9}">
  <ds:schemaRefs/>
</ds:datastoreItem>
</file>

<file path=customXml/itemProps18.xml><?xml version="1.0" encoding="utf-8"?>
<ds:datastoreItem xmlns:ds="http://schemas.openxmlformats.org/officeDocument/2006/customXml" ds:itemID="{09BE86BC-C3A4-4AD6-9376-2ABAB6128D29}">
  <ds:schemaRefs/>
</ds:datastoreItem>
</file>

<file path=customXml/itemProps19.xml><?xml version="1.0" encoding="utf-8"?>
<ds:datastoreItem xmlns:ds="http://schemas.openxmlformats.org/officeDocument/2006/customXml" ds:itemID="{87AA5690-7788-4A23-A669-4E32D2B8CE9F}">
  <ds:schemaRefs/>
</ds:datastoreItem>
</file>

<file path=customXml/itemProps20.xml><?xml version="1.0" encoding="utf-8"?>
<ds:datastoreItem xmlns:ds="http://schemas.openxmlformats.org/officeDocument/2006/customXml" ds:itemID="{CB51B4FF-DD44-4AFD-A99D-3D3EE77C0806}">
  <ds:schemaRefs/>
</ds:datastoreItem>
</file>

<file path=customXml/itemProps21.xml><?xml version="1.0" encoding="utf-8"?>
<ds:datastoreItem xmlns:ds="http://schemas.openxmlformats.org/officeDocument/2006/customXml" ds:itemID="{599F54EA-5F31-4FF2-9211-5E92D4627B73}">
  <ds:schemaRefs/>
</ds:datastoreItem>
</file>

<file path=customXml/itemProps22.xml><?xml version="1.0" encoding="utf-8"?>
<ds:datastoreItem xmlns:ds="http://schemas.openxmlformats.org/officeDocument/2006/customXml" ds:itemID="{65F253EA-19EC-49A6-AD14-99DFE73AC8EB}">
  <ds:schemaRefs/>
</ds:datastoreItem>
</file>

<file path=customXml/itemProps23.xml><?xml version="1.0" encoding="utf-8"?>
<ds:datastoreItem xmlns:ds="http://schemas.openxmlformats.org/officeDocument/2006/customXml" ds:itemID="{90365C79-A728-4723-BA5F-F03D53A08D93}">
  <ds:schemaRefs/>
</ds:datastoreItem>
</file>

<file path=customXml/itemProps24.xml><?xml version="1.0" encoding="utf-8"?>
<ds:datastoreItem xmlns:ds="http://schemas.openxmlformats.org/officeDocument/2006/customXml" ds:itemID="{86A6FDB1-B206-40E1-ADAE-140B0C75E665}">
  <ds:schemaRefs>
    <ds:schemaRef ds:uri="http://www.w3.org/2001/XMLSchema"/>
    <ds:schemaRef ds:uri="http://microsoft.data.visualization.Client.Excel/1.0"/>
  </ds:schemaRefs>
</ds:datastoreItem>
</file>

<file path=customXml/itemProps25.xml><?xml version="1.0" encoding="utf-8"?>
<ds:datastoreItem xmlns:ds="http://schemas.openxmlformats.org/officeDocument/2006/customXml" ds:itemID="{7F70A4F4-4DD8-463D-AF42-80E6FA2797F7}">
  <ds:schemaRefs/>
</ds:datastoreItem>
</file>

<file path=customXml/itemProps26.xml><?xml version="1.0" encoding="utf-8"?>
<ds:datastoreItem xmlns:ds="http://schemas.openxmlformats.org/officeDocument/2006/customXml" ds:itemID="{336FEB52-1718-44D3-8D71-57162147D090}">
  <ds:schemaRefs/>
</ds:datastoreItem>
</file>

<file path=customXml/itemProps27.xml><?xml version="1.0" encoding="utf-8"?>
<ds:datastoreItem xmlns:ds="http://schemas.openxmlformats.org/officeDocument/2006/customXml" ds:itemID="{D247D4B8-4BBB-4943-AD6B-411F73682483}">
  <ds:schemaRefs>
    <ds:schemaRef ds:uri="http://schemas.microsoft.com/DataMashup"/>
  </ds:schemaRefs>
</ds:datastoreItem>
</file>

<file path=customXml/itemProps28.xml><?xml version="1.0" encoding="utf-8"?>
<ds:datastoreItem xmlns:ds="http://schemas.openxmlformats.org/officeDocument/2006/customXml" ds:itemID="{0A284C3E-A912-40A9-99B5-6D1D9C250E0B}">
  <ds:schemaRefs/>
</ds:datastoreItem>
</file>

<file path=customXml/itemProps29.xml><?xml version="1.0" encoding="utf-8"?>
<ds:datastoreItem xmlns:ds="http://schemas.openxmlformats.org/officeDocument/2006/customXml" ds:itemID="{58CBC7A9-9386-4DEC-8BD6-C830BEE583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Documentation</vt:lpstr>
      <vt:lpstr>Sales Report</vt:lpstr>
      <vt:lpstr>Customer Calendar</vt:lpstr>
      <vt:lpstr>Rain Table</vt:lpstr>
      <vt:lpstr>Temperature Table</vt:lpstr>
      <vt:lpstr>Datasets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NP Excel Module 10, Case Problem 1</dc:title>
  <dc:creator>Your Name</dc:creator>
  <cp:lastModifiedBy>Patrick Carey</cp:lastModifiedBy>
  <dcterms:created xsi:type="dcterms:W3CDTF">2015-11-12T22:55:14Z</dcterms:created>
  <dcterms:modified xsi:type="dcterms:W3CDTF">2021-09-13T02:59:11Z</dcterms:modified>
</cp:coreProperties>
</file>
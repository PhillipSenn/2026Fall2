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mc:AlternateContent xmlns:mc="http://schemas.openxmlformats.org/markup-compatibility/2006">
    <mc:Choice Requires="x15">
      <x15ac:absPath xmlns:x15ac="http://schemas.microsoft.com/office/spreadsheetml/2010/11/ac" url="C:\Users\patri\Documents\Projects\Active\Excel2022\Files_Solutions\Excel10\Case2\"/>
    </mc:Choice>
  </mc:AlternateContent>
  <xr:revisionPtr revIDLastSave="0" documentId="13_ncr:1_{0D63473B-047E-4D4C-A02C-6A6DC0BA3478}" xr6:coauthVersionLast="46" xr6:coauthVersionMax="46" xr10:uidLastSave="{00000000-0000-0000-0000-000000000000}"/>
  <bookViews>
    <workbookView xWindow="-120" yWindow="-120" windowWidth="29040" windowHeight="15840" xr2:uid="{00000000-000D-0000-FFFF-FFFF00000000}"/>
  </bookViews>
  <sheets>
    <sheet name="Documentation" sheetId="12" r:id="rId1"/>
    <sheet name="Migration Dashboard" sheetId="14" r:id="rId2"/>
    <sheet name="Migration Pivot" sheetId="21" r:id="rId3"/>
    <sheet name="Weight Analysis" sheetId="22" r:id="rId4"/>
    <sheet name="Length Analysis" sheetId="25" r:id="rId5"/>
    <sheet name="Wingspan Analysis" sheetId="26" r:id="rId6"/>
    <sheet name="Datasets" sheetId="13" r:id="rId7"/>
  </sheets>
  <definedNames>
    <definedName name="Slicer_Tag">#N/A</definedName>
  </definedNames>
  <calcPr calcId="191029"/>
  <pivotCaches>
    <pivotCache cacheId="0" r:id="rId8"/>
    <pivotCache cacheId="1" r:id="rId9"/>
    <pivotCache cacheId="2" r:id="rId10"/>
    <pivotCache cacheId="3" r:id="rId11"/>
  </pivotCaches>
  <extLst>
    <ext xmlns:x14="http://schemas.microsoft.com/office/spreadsheetml/2009/9/main" uri="{876F7934-8845-4945-9796-88D515C7AA90}">
      <x14:pivotCaches>
        <pivotCache cacheId="4"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urkeys_7d87d0c0-2a80-4c73-910d-2ac24f5cce4e" name="Turkeys" connection="Query - Turkeys"/>
          <x15:modelTable id="Migration_b4c72cc0-c9e0-4094-8d0a-2339d8f2c999" name="Migration" connection="Query - Migration"/>
        </x15:modelTables>
        <x15:modelRelationships>
          <x15:modelRelationship fromTable="Migration" fromColumn="Tag" toTable="Turkeys" toColumn="Tag"/>
        </x15:modelRelationships>
        <x15:extLst>
          <ext xmlns:x16="http://schemas.microsoft.com/office/spreadsheetml/2014/11/main" uri="{9835A34E-60A6-4A7C-AAB8-D5F71C897F49}">
            <x16:modelTimeGroupings>
              <x16:modelTimeGrouping tableName="Migration" columnName="YearMonth" columnId="YearMonth">
                <x16:calculatedTimeColumn columnName="YearMonth (Year)" columnId="YearMonth (Year)" contentType="years" isSelected="1"/>
                <x16:calculatedTimeColumn columnName="YearMonth (Quarter)" columnId="YearMonth (Quarter)" contentType="quarters" isSelected="1"/>
                <x16:calculatedTimeColumn columnName="YearMonth (Month Index)" columnId="YearMonth (Month Index)" contentType="monthsindex" isSelected="1"/>
                <x16:calculatedTimeColumn columnName="YearMonth (Month)" columnId="YearMon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 i="26" l="1"/>
  <c r="F4" i="26"/>
  <c r="E5" i="26"/>
  <c r="F5" i="26"/>
  <c r="E6" i="26"/>
  <c r="F6" i="26"/>
  <c r="E7" i="26"/>
  <c r="F7" i="26"/>
  <c r="E8" i="26"/>
  <c r="F8" i="26"/>
  <c r="E9" i="26"/>
  <c r="F9" i="26"/>
  <c r="E10" i="26"/>
  <c r="F10" i="26"/>
  <c r="E11" i="26"/>
  <c r="F11" i="26"/>
  <c r="E12" i="26"/>
  <c r="F12" i="26"/>
  <c r="E4" i="25"/>
  <c r="F4" i="25"/>
  <c r="E5" i="25"/>
  <c r="F5" i="25"/>
  <c r="E6" i="25"/>
  <c r="F6" i="25"/>
  <c r="E7" i="25"/>
  <c r="F7" i="25"/>
  <c r="E8" i="25"/>
  <c r="F8" i="25"/>
  <c r="E9" i="25"/>
  <c r="F9" i="25"/>
  <c r="E10" i="25"/>
  <c r="F10" i="25"/>
  <c r="E11" i="25"/>
  <c r="F11" i="25"/>
  <c r="E4" i="22"/>
  <c r="F4" i="22"/>
  <c r="E5" i="22"/>
  <c r="F5" i="22"/>
  <c r="E6" i="22"/>
  <c r="F6" i="22"/>
  <c r="E7" i="22"/>
  <c r="F7" i="22"/>
  <c r="E8" i="22"/>
  <c r="F8" i="22"/>
  <c r="E9" i="22"/>
  <c r="F9" i="22"/>
  <c r="E10" i="22"/>
  <c r="F10" i="22"/>
  <c r="E11" i="22"/>
  <c r="F11" i="22"/>
  <c r="E12" i="22"/>
  <c r="F12" i="22"/>
  <c r="E4" i="21"/>
  <c r="F4" i="21"/>
  <c r="E5" i="21"/>
  <c r="F5" i="21"/>
  <c r="E6" i="21"/>
  <c r="F6" i="21"/>
  <c r="E7" i="21"/>
  <c r="F7" i="21"/>
  <c r="E8" i="21"/>
  <c r="F8" i="21"/>
  <c r="E9" i="21"/>
  <c r="F9" i="21"/>
  <c r="E10" i="21"/>
  <c r="F10" i="21"/>
  <c r="E11" i="21"/>
  <c r="F11" i="21"/>
  <c r="E12" i="21"/>
  <c r="F12" i="21"/>
  <c r="E13" i="21"/>
  <c r="F13" i="21"/>
  <c r="E14" i="21"/>
  <c r="F14" i="21"/>
  <c r="E15" i="21"/>
  <c r="F15" i="21"/>
  <c r="E16" i="21"/>
  <c r="F16" i="2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868CBA-85EB-43E3-B7DF-3AE275E4BAE9}" name="Query - Migration" description="Connection to the 'Migration' query in the workbook." type="100" refreshedVersion="6" minRefreshableVersion="5">
    <extLst>
      <ext xmlns:x15="http://schemas.microsoft.com/office/spreadsheetml/2010/11/main" uri="{DE250136-89BD-433C-8126-D09CA5730AF9}">
        <x15:connection id="ffa7d81b-f088-4041-aa1c-4bb16faa4523"/>
      </ext>
    </extLst>
  </connection>
  <connection id="2" xr16:uid="{36B57820-C637-4755-AE05-1B450F5F09BE}" name="Query - Turkeys" description="Connection to the 'Turkeys' query in the workbook." type="100" refreshedVersion="6" minRefreshableVersion="5">
    <extLst>
      <ext xmlns:x15="http://schemas.microsoft.com/office/spreadsheetml/2010/11/main" uri="{DE250136-89BD-433C-8126-D09CA5730AF9}">
        <x15:connection id="378ad902-3e42-44d1-bad8-32dde81adbff"/>
      </ext>
    </extLst>
  </connection>
  <connection id="3" xr16:uid="{0CE56515-90A9-4FB6-8E2D-F01FE228177C}"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<sst xmlns="http://schemas.openxmlformats.org/spreadsheetml/2006/main" count="86" uniqueCount="55">
  <si>
    <t>Author</t>
  </si>
  <si>
    <t>Date</t>
  </si>
  <si>
    <t>Purpose</t>
  </si>
  <si>
    <t>Notes</t>
  </si>
  <si>
    <t>Field</t>
  </si>
  <si>
    <t>Data Type</t>
  </si>
  <si>
    <t>integer</t>
  </si>
  <si>
    <t>text</t>
  </si>
  <si>
    <t>Datasets</t>
  </si>
  <si>
    <t>Support_EX_10_Turkeys.csv</t>
  </si>
  <si>
    <t>Tag</t>
  </si>
  <si>
    <t>Region</t>
  </si>
  <si>
    <t>Region of origin</t>
  </si>
  <si>
    <t>Species</t>
  </si>
  <si>
    <t>Bird species</t>
  </si>
  <si>
    <t>Subspecies</t>
  </si>
  <si>
    <t>Bird subspecies</t>
  </si>
  <si>
    <t>Length</t>
  </si>
  <si>
    <t>Length of bird in inches</t>
  </si>
  <si>
    <t>ID number of a tracked bird</t>
  </si>
  <si>
    <t>Weight</t>
  </si>
  <si>
    <t>Weight of bird in ounces</t>
  </si>
  <si>
    <t>Wingspan</t>
  </si>
  <si>
    <t>Wingspan of bird in inches</t>
  </si>
  <si>
    <t>Tracker</t>
  </si>
  <si>
    <t>ID number of bird tracker</t>
  </si>
  <si>
    <t>Support_EX_10_Migration.csv</t>
  </si>
  <si>
    <t>DateTime</t>
  </si>
  <si>
    <t>date-time</t>
  </si>
  <si>
    <t>Date and time of tracking record</t>
  </si>
  <si>
    <t>Longitude</t>
  </si>
  <si>
    <t>number</t>
  </si>
  <si>
    <t>Longitude of tracking</t>
  </si>
  <si>
    <t>Latitude</t>
  </si>
  <si>
    <t>Latitude of tracking</t>
  </si>
  <si>
    <t>Distance</t>
  </si>
  <si>
    <t>Distance traveled during tracking interval</t>
  </si>
  <si>
    <t>Speed</t>
  </si>
  <si>
    <t>Department of Ornithology</t>
  </si>
  <si>
    <t>To analyze migatory patterns of turkey vultures</t>
  </si>
  <si>
    <t>Speed Class</t>
  </si>
  <si>
    <t>Class of speed (0 - 9 mph; 10 - 24 mph; 24+ mph)</t>
  </si>
  <si>
    <t>Bird speed during tracking interval</t>
  </si>
  <si>
    <t>Migration Dashboard</t>
  </si>
  <si>
    <t>Tracking Type</t>
  </si>
  <si>
    <t>Method of tracking used with the bird</t>
  </si>
  <si>
    <t>Migration Distances</t>
  </si>
  <si>
    <t>Wingspan Analysis</t>
  </si>
  <si>
    <t>Length Analysis</t>
  </si>
  <si>
    <t>Weight Analysis</t>
  </si>
  <si>
    <t>Karen Hatch</t>
  </si>
  <si>
    <t>Sum of Distance</t>
  </si>
  <si>
    <t>Miles Traveled</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</si>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</sst>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9" x14ac:knownFonts="1">
    <font>
      <sz val="11"/>
      <color theme="1"/>
      <name val="Calibri"/>
      <family val="2"/>
      <scheme val="minor"/>
    </font>
    <font>
      <sz val="11"/>
      <color theme="1"/>
      <name val="Calibri"/>
      <family val="2"/>
      <scheme val="minor"/>
    </font>
    <font>
      <sz val="18"/>
      <color theme="3"/>
      <name val="Calibri Light"/>
      <family val="2"/>
      <scheme val="major"/>
    </font>
    <font>
      <b/>
      <sz val="11"/>
      <color theme="3"/>
      <name val="Calibri"/>
      <family val="2"/>
      <scheme val="minor"/>
    </font>
    <font>
      <sz val="11"/>
      <color theme="0"/>
      <name val="Calibri"/>
      <family val="2"/>
      <scheme val="minor"/>
    </font>
    <font>
      <b/>
      <sz val="11"/>
      <color theme="9" tint="-0.499984740745262"/>
      <name val="Calibri"/>
      <family val="2"/>
      <scheme val="minor"/>
    </font>
    <font>
      <sz val="11"/>
      <color theme="4" tint="-0.249977111117893"/>
      <name val="Calibri"/>
      <family val="2"/>
      <scheme val="minor"/>
    </font>
    <font>
      <sz val="14"/>
      <color theme="4" tint="-0.249977111117893"/>
      <name val="Calibri"/>
      <family val="2"/>
      <scheme val="minor"/>
    </font>
    <font>
      <sz val="28"/>
      <color theme="4"/>
      <name val="Times New Roman"/>
      <family val="1"/>
    </font>
  </fonts>
  <fills count="5">
    <fill>
      <patternFill patternType="none"/>
    </fill>
    <fill>
      <patternFill patternType="gray125"/>
    </fill>
    <fill>
      <patternFill patternType="solid">
        <fgColor theme="4"/>
      </patternFill>
    </fill>
    <fill>
      <patternFill patternType="solid">
        <fgColor theme="4" tint="-0.249977111117893"/>
        <bgColor indexed="64"/>
      </patternFill>
    </fill>
    <fill>
      <patternFill patternType="solid">
        <fgColor theme="4" tint="0.79998168889431442"/>
        <bgColor indexed="65"/>
      </patternFill>
    </fill>
  </fills>
  <borders count="3">
    <border>
      <left/>
      <right/>
      <top/>
      <bottom/>
      <diagonal/>
    </border>
    <border>
      <left/>
      <right/>
      <top/>
      <bottom style="medium">
        <color theme="4" tint="0.39997558519241921"/>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2" borderId="0" applyNumberFormat="0" applyBorder="0" applyAlignment="0" applyProtection="0"/>
    <xf numFmtId="0" fontId="1" fillId="4" borderId="0" applyNumberFormat="0" applyBorder="0" applyAlignment="0" applyProtection="0"/>
    <xf numFmtId="43" fontId="1" fillId="0" borderId="0" applyFont="0" applyFill="0" applyBorder="0" applyAlignment="0" applyProtection="0"/>
  </cellStyleXfs>
  <cellXfs count="19">
    <xf numFmtId="0" fontId="0" fillId="0" borderId="0" xfId="0"/>
    <xf numFmtId="0" fontId="0" fillId="0" borderId="2" xfId="0" applyBorder="1" applyAlignment="1">
      <alignment horizontal="left" vertical="top" wrapText="1"/>
    </xf>
    <xf numFmtId="0" fontId="5" fillId="0" borderId="0" xfId="2" applyFont="1" applyFill="1" applyBorder="1" applyAlignment="1">
      <alignment horizontal="left" vertical="top"/>
    </xf>
    <xf numFmtId="0" fontId="0" fillId="0" borderId="2" xfId="0" applyBorder="1" applyAlignment="1">
      <alignment horizontal="center" vertical="top" wrapText="1"/>
    </xf>
    <xf numFmtId="0" fontId="0" fillId="0" borderId="0" xfId="0" applyNumberFormat="1"/>
    <xf numFmtId="0" fontId="4" fillId="3" borderId="2" xfId="3" applyFill="1" applyBorder="1" applyAlignment="1">
      <alignment horizontal="left" vertical="top"/>
    </xf>
    <xf numFmtId="0" fontId="6" fillId="0" borderId="2" xfId="0" applyFont="1" applyBorder="1" applyAlignment="1">
      <alignment horizontal="left" vertical="top" wrapText="1"/>
    </xf>
    <xf numFmtId="14" fontId="6" fillId="0" borderId="2" xfId="0" applyNumberFormat="1" applyFont="1" applyBorder="1" applyAlignment="1">
      <alignment horizontal="left" vertical="top" wrapText="1"/>
    </xf>
    <xf numFmtId="0" fontId="7" fillId="0" borderId="0" xfId="0" applyFont="1"/>
    <xf numFmtId="0" fontId="4" fillId="2" borderId="2" xfId="3" applyBorder="1" applyAlignment="1">
      <alignment horizontal="left" vertical="top" wrapText="1"/>
    </xf>
    <xf numFmtId="0" fontId="0" fillId="4" borderId="2" xfId="4" applyFont="1" applyBorder="1" applyAlignment="1">
      <alignment horizontal="left" vertical="top" wrapText="1"/>
    </xf>
    <xf numFmtId="0" fontId="8" fillId="0" borderId="0" xfId="1" applyFont="1"/>
    <xf numFmtId="14" fontId="0" fillId="0" borderId="0" xfId="0" applyNumberFormat="1"/>
    <xf numFmtId="2"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3" fontId="0" fillId="0" borderId="0" xfId="5" applyNumberFormat="1" applyFont="1"/>
    <xf numFmtId="3" fontId="0" fillId="0" borderId="0" xfId="0" applyNumberFormat="1"/>
  </cellXfs>
  <cellStyles count="6">
    <cellStyle name="20% - Accent1" xfId="4" builtinId="30"/>
    <cellStyle name="Accent1" xfId="3" builtinId="29"/>
    <cellStyle name="Comma" xfId="5" builtinId="3"/>
    <cellStyle name="Heading 3" xfId="2" builtinId="18"/>
    <cellStyle name="Normal" xfId="0" builtinId="0"/>
    <cellStyle name="Title" xfId="1" builtinId="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47" Type="http://schemas.openxmlformats.org/officeDocument/2006/relationships/customXml" Target="../customXml/item28.xml"/><Relationship Id="rId50" Type="http://schemas.openxmlformats.org/officeDocument/2006/relationships/customXml" Target="../customXml/item3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tyles" Target="styles.xml"/><Relationship Id="rId29" Type="http://schemas.openxmlformats.org/officeDocument/2006/relationships/customXml" Target="../customXml/item10.xml"/><Relationship Id="rId11" Type="http://schemas.openxmlformats.org/officeDocument/2006/relationships/pivotCacheDefinition" Target="pivotCache/pivotCacheDefinition4.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49" Type="http://schemas.openxmlformats.org/officeDocument/2006/relationships/customXml" Target="../customXml/item30.xml"/><Relationship Id="rId10" Type="http://schemas.openxmlformats.org/officeDocument/2006/relationships/pivotCacheDefinition" Target="pivotCache/pivotCacheDefinition3.xml"/><Relationship Id="rId19" Type="http://schemas.openxmlformats.org/officeDocument/2006/relationships/calcChain" Target="calcChain.xml"/><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48" Type="http://schemas.openxmlformats.org/officeDocument/2006/relationships/customXml" Target="../customXml/item29.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46" Type="http://schemas.openxmlformats.org/officeDocument/2006/relationships/customXml" Target="../customXml/item27.xml"/><Relationship Id="rId20" Type="http://schemas.openxmlformats.org/officeDocument/2006/relationships/customXml" Target="../customXml/item1.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Turkey Vulture Monthly Migration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'Migration Pivot'!$F$4</c:f>
              <c:strCache>
                <c:ptCount val="1"/>
                <c:pt idx="0">
                  <c:v>Miles Traveled</c:v>
                </c:pt>
              </c:strCache>
            </c:strRef>
          </c:tx>
          <c:spPr>
            <a:ln w="19050" cap="rnd">
              <a:solidFill>
                <a:schemeClr val="accent1"/>
              </a:solidFill>
              <a:round/>
            </a:ln>
            <a:effectLst/>
          </c:spPr>
          <c:marker>
            <c:symbol val="none"/>
          </c:marker>
          <c:xVal>
            <c:numRef>
              <c:f>'Migration Pivot'!$E$5:$E$16</c:f>
              <c:numCache>
                <c:formatCode>m/d/yyyy</c:formatCode>
                <c:ptCount val="12"/>
                <c:pt idx="0">
                  <c:v>45199</c:v>
                </c:pt>
                <c:pt idx="1">
                  <c:v>45230</c:v>
                </c:pt>
                <c:pt idx="2">
                  <c:v>45260</c:v>
                </c:pt>
                <c:pt idx="3">
                  <c:v>45291</c:v>
                </c:pt>
                <c:pt idx="4">
                  <c:v>45322</c:v>
                </c:pt>
                <c:pt idx="5">
                  <c:v>45351</c:v>
                </c:pt>
                <c:pt idx="6">
                  <c:v>45382</c:v>
                </c:pt>
                <c:pt idx="7">
                  <c:v>45412</c:v>
                </c:pt>
                <c:pt idx="8">
                  <c:v>45443</c:v>
                </c:pt>
                <c:pt idx="9">
                  <c:v>45473</c:v>
                </c:pt>
                <c:pt idx="10">
                  <c:v>45504</c:v>
                </c:pt>
                <c:pt idx="11">
                  <c:v>45535</c:v>
                </c:pt>
              </c:numCache>
            </c:numRef>
          </c:xVal>
          <c:yVal>
            <c:numRef>
              <c:f>'Migration Pivot'!$F$5:$F$16</c:f>
              <c:numCache>
                <c:formatCode>#,##0</c:formatCode>
                <c:ptCount val="12"/>
                <c:pt idx="0">
                  <c:v>977.13800000000003</c:v>
                </c:pt>
                <c:pt idx="1">
                  <c:v>2622.9290000000001</c:v>
                </c:pt>
                <c:pt idx="2">
                  <c:v>1865.443</c:v>
                </c:pt>
                <c:pt idx="3">
                  <c:v>1005.0940000000001</c:v>
                </c:pt>
                <c:pt idx="4">
                  <c:v>811.84799999999996</c:v>
                </c:pt>
                <c:pt idx="5">
                  <c:v>404.29500000000002</c:v>
                </c:pt>
                <c:pt idx="6">
                  <c:v>1185.8109999999999</c:v>
                </c:pt>
                <c:pt idx="7">
                  <c:v>4198.3879999999999</c:v>
                </c:pt>
                <c:pt idx="8">
                  <c:v>237.66200000000001</c:v>
                </c:pt>
                <c:pt idx="9">
                  <c:v>188.364</c:v>
                </c:pt>
                <c:pt idx="10">
                  <c:v>220.173</c:v>
                </c:pt>
                <c:pt idx="11">
                  <c:v>171.667</c:v>
                </c:pt>
              </c:numCache>
            </c:numRef>
          </c:yVal>
          <c:smooth val="1"/>
          <c:extLst>
            <c:ext xmlns:c16="http://schemas.microsoft.com/office/drawing/2014/chart" uri="{C3380CC4-5D6E-409C-BE32-E72D297353CC}">
              <c16:uniqueId val="{00000000-3A3C-43C4-9CC6-B751B4A7963F}"/>
            </c:ext>
          </c:extLst>
        </c:ser>
        <c:dLbls>
          <c:showLegendKey val="0"/>
          <c:showVal val="0"/>
          <c:showCatName val="0"/>
          <c:showSerName val="0"/>
          <c:showPercent val="0"/>
          <c:showBubbleSize val="0"/>
        </c:dLbls>
        <c:axId val="1838811375"/>
        <c:axId val="1838817615"/>
      </c:scatterChart>
      <c:valAx>
        <c:axId val="18388113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817615"/>
        <c:crosses val="autoZero"/>
        <c:crossBetween val="midCat"/>
      </c:valAx>
      <c:valAx>
        <c:axId val="18388176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Miles Traveled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811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Miles Traveled vs. Weight (oz)</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'Weight Analysis'!$F$4</c:f>
              <c:strCache>
                <c:ptCount val="1"/>
                <c:pt idx="0">
                  <c:v>Sum of Distance</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'Weight Analysis'!$E$5:$E$12</c:f>
              <c:numCache>
                <c:formatCode>General</c:formatCode>
                <c:ptCount val="8"/>
                <c:pt idx="0">
                  <c:v>69.7</c:v>
                </c:pt>
                <c:pt idx="1">
                  <c:v>69.900000000000006</c:v>
                </c:pt>
                <c:pt idx="2">
                  <c:v>70.099999999999994</c:v>
                </c:pt>
                <c:pt idx="3">
                  <c:v>70.2</c:v>
                </c:pt>
                <c:pt idx="4">
                  <c:v>70.400000000000006</c:v>
                </c:pt>
                <c:pt idx="5">
                  <c:v>70.5</c:v>
                </c:pt>
                <c:pt idx="6">
                  <c:v>70.8</c:v>
                </c:pt>
                <c:pt idx="7">
                  <c:v>71.099999999999994</c:v>
                </c:pt>
              </c:numCache>
            </c:numRef>
          </c:xVal>
          <c:yVal>
            <c:numRef>
              <c:f>'Weight Analysis'!$F$5:$F$12</c:f>
              <c:numCache>
                <c:formatCode>#,##0</c:formatCode>
                <c:ptCount val="8"/>
                <c:pt idx="0">
                  <c:v>2812.0070000000001</c:v>
                </c:pt>
                <c:pt idx="1">
                  <c:v>1653.693</c:v>
                </c:pt>
                <c:pt idx="2">
                  <c:v>2362.1190000000001</c:v>
                </c:pt>
                <c:pt idx="3">
                  <c:v>5059.3029999999999</c:v>
                </c:pt>
                <c:pt idx="4">
                  <c:v>13888.812</c:v>
                </c:pt>
                <c:pt idx="5">
                  <c:v>3767.7919999999999</c:v>
                </c:pt>
                <c:pt idx="6">
                  <c:v>15347.037</c:v>
                </c:pt>
                <c:pt idx="7">
                  <c:v>12066.407999999999</c:v>
                </c:pt>
              </c:numCache>
            </c:numRef>
          </c:yVal>
          <c:smooth val="0"/>
          <c:extLst>
            <c:ext xmlns:c16="http://schemas.microsoft.com/office/drawing/2014/chart" uri="{C3380CC4-5D6E-409C-BE32-E72D297353CC}">
              <c16:uniqueId val="{00000001-0E0E-4F36-9590-F4689883A84D}"/>
            </c:ext>
          </c:extLst>
        </c:ser>
        <c:dLbls>
          <c:showLegendKey val="0"/>
          <c:showVal val="0"/>
          <c:showCatName val="0"/>
          <c:showSerName val="0"/>
          <c:showPercent val="0"/>
          <c:showBubbleSize val="0"/>
        </c:dLbls>
        <c:axId val="1838801807"/>
        <c:axId val="1838813871"/>
      </c:scatterChart>
      <c:valAx>
        <c:axId val="18388018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813871"/>
        <c:crosses val="autoZero"/>
        <c:crossBetween val="midCat"/>
      </c:valAx>
      <c:valAx>
        <c:axId val="1838813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80180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Miles Traveled vs. Length (in)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'Length Analysis'!$F$4</c:f>
              <c:strCache>
                <c:ptCount val="1"/>
                <c:pt idx="0">
                  <c:v>Sum of Distance</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'Length Analysis'!$E$5:$E$11</c:f>
              <c:numCache>
                <c:formatCode>General</c:formatCode>
                <c:ptCount val="7"/>
                <c:pt idx="0">
                  <c:v>25.8</c:v>
                </c:pt>
                <c:pt idx="1">
                  <c:v>26.3</c:v>
                </c:pt>
                <c:pt idx="2">
                  <c:v>26.7</c:v>
                </c:pt>
                <c:pt idx="3">
                  <c:v>27.7</c:v>
                </c:pt>
                <c:pt idx="4">
                  <c:v>29.1</c:v>
                </c:pt>
                <c:pt idx="5">
                  <c:v>29.5</c:v>
                </c:pt>
                <c:pt idx="6">
                  <c:v>30.2</c:v>
                </c:pt>
              </c:numCache>
            </c:numRef>
          </c:xVal>
          <c:yVal>
            <c:numRef>
              <c:f>'Length Analysis'!$F$5:$F$11</c:f>
              <c:numCache>
                <c:formatCode>#,##0</c:formatCode>
                <c:ptCount val="7"/>
                <c:pt idx="0">
                  <c:v>1653.693</c:v>
                </c:pt>
                <c:pt idx="1">
                  <c:v>5174.1260000000002</c:v>
                </c:pt>
                <c:pt idx="2">
                  <c:v>3767.7919999999999</c:v>
                </c:pt>
                <c:pt idx="3">
                  <c:v>13888.812</c:v>
                </c:pt>
                <c:pt idx="4">
                  <c:v>5059.3029999999999</c:v>
                </c:pt>
                <c:pt idx="5">
                  <c:v>15347.037</c:v>
                </c:pt>
                <c:pt idx="6">
                  <c:v>12066.407999999999</c:v>
                </c:pt>
              </c:numCache>
            </c:numRef>
          </c:yVal>
          <c:smooth val="0"/>
          <c:extLst>
            <c:ext xmlns:c16="http://schemas.microsoft.com/office/drawing/2014/chart" uri="{C3380CC4-5D6E-409C-BE32-E72D297353CC}">
              <c16:uniqueId val="{00000001-2FAF-4333-8D9E-C7822175CDB4}"/>
            </c:ext>
          </c:extLst>
        </c:ser>
        <c:dLbls>
          <c:showLegendKey val="0"/>
          <c:showVal val="0"/>
          <c:showCatName val="0"/>
          <c:showSerName val="0"/>
          <c:showPercent val="0"/>
          <c:showBubbleSize val="0"/>
        </c:dLbls>
        <c:axId val="2042382959"/>
        <c:axId val="2042383375"/>
      </c:scatterChart>
      <c:valAx>
        <c:axId val="20423829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383375"/>
        <c:crosses val="autoZero"/>
        <c:crossBetween val="midCat"/>
      </c:valAx>
      <c:valAx>
        <c:axId val="20423833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38295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Miles Traveled vs. Wingspan (in)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'Wingspan Analysis'!$F$4</c:f>
              <c:strCache>
                <c:ptCount val="1"/>
                <c:pt idx="0">
                  <c:v>Sum of Distance</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'Wingspan Analysis'!$E$5:$E$12</c:f>
              <c:numCache>
                <c:formatCode>General</c:formatCode>
                <c:ptCount val="8"/>
                <c:pt idx="0">
                  <c:v>66.900000000000006</c:v>
                </c:pt>
                <c:pt idx="1">
                  <c:v>67.2</c:v>
                </c:pt>
                <c:pt idx="2">
                  <c:v>67.8</c:v>
                </c:pt>
                <c:pt idx="3">
                  <c:v>67.900000000000006</c:v>
                </c:pt>
                <c:pt idx="4">
                  <c:v>68.3</c:v>
                </c:pt>
                <c:pt idx="5">
                  <c:v>68.900000000000006</c:v>
                </c:pt>
                <c:pt idx="6">
                  <c:v>69.099999999999994</c:v>
                </c:pt>
                <c:pt idx="7">
                  <c:v>69.400000000000006</c:v>
                </c:pt>
              </c:numCache>
            </c:numRef>
          </c:xVal>
          <c:yVal>
            <c:numRef>
              <c:f>'Wingspan Analysis'!$F$5:$F$12</c:f>
              <c:numCache>
                <c:formatCode>#,##0</c:formatCode>
                <c:ptCount val="8"/>
                <c:pt idx="0">
                  <c:v>1653.693</c:v>
                </c:pt>
                <c:pt idx="1">
                  <c:v>2812.0070000000001</c:v>
                </c:pt>
                <c:pt idx="2">
                  <c:v>2362.1190000000001</c:v>
                </c:pt>
                <c:pt idx="3">
                  <c:v>3767.7919999999999</c:v>
                </c:pt>
                <c:pt idx="4">
                  <c:v>5059.3029999999999</c:v>
                </c:pt>
                <c:pt idx="5">
                  <c:v>12066.407999999999</c:v>
                </c:pt>
                <c:pt idx="6">
                  <c:v>15347.037</c:v>
                </c:pt>
                <c:pt idx="7">
                  <c:v>13888.812</c:v>
                </c:pt>
              </c:numCache>
            </c:numRef>
          </c:yVal>
          <c:smooth val="0"/>
          <c:extLst>
            <c:ext xmlns:c16="http://schemas.microsoft.com/office/drawing/2014/chart" uri="{C3380CC4-5D6E-409C-BE32-E72D297353CC}">
              <c16:uniqueId val="{00000001-0AF4-4EC4-9E1A-43FF0642E151}"/>
            </c:ext>
          </c:extLst>
        </c:ser>
        <c:dLbls>
          <c:showLegendKey val="0"/>
          <c:showVal val="0"/>
          <c:showCatName val="0"/>
          <c:showSerName val="0"/>
          <c:showPercent val="0"/>
          <c:showBubbleSize val="0"/>
        </c:dLbls>
        <c:axId val="2048264447"/>
        <c:axId val="2048266943"/>
      </c:scatterChart>
      <c:valAx>
        <c:axId val="2048264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266943"/>
        <c:crosses val="autoZero"/>
        <c:crossBetween val="midCat"/>
      </c:valAx>
      <c:valAx>
        <c:axId val="2048266943"/>
        <c:scaling>
          <c:orientation val="minMax"/>
          <c:max val="20000"/>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26444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11</xdr:row>
      <xdr:rowOff>0</xdr:rowOff>
    </xdr:from>
    <xdr:to>
      <xdr:col>8</xdr:col>
      <xdr:colOff>0</xdr:colOff>
      <xdr:row>27</xdr:row>
      <xdr:rowOff>0</xdr:rowOff>
    </xdr:to>
    <xdr:graphicFrame macro="">
      <xdr:nvGraphicFramePr>
        <xdr:cNvPr id="2" name="Chart 1">
          <a:extLst>
            <a:ext uri="{FF2B5EF4-FFF2-40B4-BE49-F238E27FC236}">
              <a16:creationId xmlns:a16="http://schemas.microsoft.com/office/drawing/2014/main" id="{B94B89ED-1026-4142-AA88-B5F8D99F37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126999</xdr:colOff>
      <xdr:row>5</xdr:row>
      <xdr:rowOff>1</xdr:rowOff>
    </xdr:from>
    <xdr:to>
      <xdr:col>7</xdr:col>
      <xdr:colOff>611187</xdr:colOff>
      <xdr:row>10</xdr:row>
      <xdr:rowOff>1</xdr:rowOff>
    </xdr:to>
    <mc:AlternateContent xmlns:mc="http://schemas.openxmlformats.org/markup-compatibility/2006" xmlns:a14="http://schemas.microsoft.com/office/drawing/2010/main">
      <mc:Choice Requires="a14">
        <xdr:graphicFrame macro="">
          <xdr:nvGraphicFramePr>
            <xdr:cNvPr id="3" name="Tag">
              <a:extLst>
                <a:ext uri="{FF2B5EF4-FFF2-40B4-BE49-F238E27FC236}">
                  <a16:creationId xmlns:a16="http://schemas.microsoft.com/office/drawing/2014/main" id="{81B898EA-8B43-4CD5-B8D7-8316F602BEEE}"/>
                </a:ext>
              </a:extLst>
            </xdr:cNvPr>
            <xdr:cNvGraphicFramePr/>
          </xdr:nvGraphicFramePr>
          <xdr:xfrm>
            <a:off x="0" y="0"/>
            <a:ext cx="0" cy="0"/>
          </xdr:xfrm>
          <a:graphic>
            <a:graphicData uri="http://schemas.microsoft.com/office/drawing/2010/slicer">
              <sle:slicer xmlns:sle="http://schemas.microsoft.com/office/drawing/2010/slicer" name="Tag"/>
            </a:graphicData>
          </a:graphic>
        </xdr:graphicFrame>
      </mc:Choice>
      <mc:Fallback xmlns="">
        <xdr:sp macro="" textlink="">
          <xdr:nvSpPr>
            <xdr:cNvPr id="0" name=""/>
            <xdr:cNvSpPr>
              <a:spLocks noTextEdit="1"/>
            </xdr:cNvSpPr>
          </xdr:nvSpPr>
          <xdr:spPr>
            <a:xfrm>
              <a:off x="126999" y="1254126"/>
              <a:ext cx="4119563"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0</xdr:colOff>
      <xdr:row>3</xdr:row>
      <xdr:rowOff>0</xdr:rowOff>
    </xdr:from>
    <xdr:to>
      <xdr:col>15</xdr:col>
      <xdr:colOff>0</xdr:colOff>
      <xdr:row>10</xdr:row>
      <xdr:rowOff>182563</xdr:rowOff>
    </xdr:to>
    <xdr:graphicFrame macro="">
      <xdr:nvGraphicFramePr>
        <xdr:cNvPr id="4" name="Chart 3">
          <a:extLst>
            <a:ext uri="{FF2B5EF4-FFF2-40B4-BE49-F238E27FC236}">
              <a16:creationId xmlns:a16="http://schemas.microsoft.com/office/drawing/2014/main" id="{226EA8FA-BA9F-434F-BFC1-E1CD7F54A3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11</xdr:row>
      <xdr:rowOff>0</xdr:rowOff>
    </xdr:from>
    <xdr:to>
      <xdr:col>15</xdr:col>
      <xdr:colOff>0</xdr:colOff>
      <xdr:row>19</xdr:row>
      <xdr:rowOff>0</xdr:rowOff>
    </xdr:to>
    <xdr:graphicFrame macro="">
      <xdr:nvGraphicFramePr>
        <xdr:cNvPr id="5" name="Chart 4">
          <a:extLst>
            <a:ext uri="{FF2B5EF4-FFF2-40B4-BE49-F238E27FC236}">
              <a16:creationId xmlns:a16="http://schemas.microsoft.com/office/drawing/2014/main" id="{05F44218-3C02-47F4-980E-0C0974E797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19</xdr:row>
      <xdr:rowOff>0</xdr:rowOff>
    </xdr:from>
    <xdr:to>
      <xdr:col>15</xdr:col>
      <xdr:colOff>15875</xdr:colOff>
      <xdr:row>27</xdr:row>
      <xdr:rowOff>0</xdr:rowOff>
    </xdr:to>
    <xdr:graphicFrame macro="">
      <xdr:nvGraphicFramePr>
        <xdr:cNvPr id="6" name="Chart 5">
          <a:extLst>
            <a:ext uri="{FF2B5EF4-FFF2-40B4-BE49-F238E27FC236}">
              <a16:creationId xmlns:a16="http://schemas.microsoft.com/office/drawing/2014/main" id="{EA19776C-3B80-4994-A999-A7F18F90F7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rick Carey" refreshedDate="44443.39709189815" backgroundQuery="1" createdVersion="6" refreshedVersion="6" minRefreshableVersion="3" recordCount="0" supportSubquery="1" supportAdvancedDrill="1" xr:uid="{CC07301E-44A7-49E6-A8C4-8518BB67F0BB}">
  <cacheSource type="external" connectionId="3"/>
  <cacheFields count="3">
    <cacheField name="[Measures].[Sum of Distance]" caption="Sum of Distance" numFmtId="0" hierarchy="21" level="32767"/>
    <cacheField name="[Migration].[YearMonth].[YearMonth]" caption="YearMonth" numFmtId="0" hierarchy="7" level="1">
      <sharedItems containsSemiMixedTypes="0" containsNonDate="0" containsDate="1" containsString="0" minDate="2023-09-30T00:00:00" maxDate="2024-09-01T00:00:00" count="12">
        <d v="2023-09-30T00:00:00"/>
        <d v="2023-10-31T00:00:00"/>
        <d v="2023-11-30T00:00:00"/>
        <d v="2023-12-31T00:00:00"/>
        <d v="2024-01-31T00:00:00"/>
        <d v="2024-02-29T00:00:00"/>
        <d v="2024-03-31T00:00:00"/>
        <d v="2024-04-30T00:00:00"/>
        <d v="2024-05-31T00:00:00"/>
        <d v="2024-06-30T00:00:00"/>
        <d v="2024-07-31T00:00:00"/>
        <d v="2024-08-31T00:00:00"/>
      </sharedItems>
    </cacheField>
    <cacheField name="[Turkeys].[Tag].[Tag]" caption="Tag" numFmtId="0" hierarchy="11" level="1">
      <sharedItems containsSemiMixedTypes="0" containsNonDate="0" containsString="0"/>
    </cacheField>
  </cacheFields>
  <cacheHierarchies count="22">
    <cacheHierarchy uniqueName="[Migration].[Tag]" caption="Tag" attribute="1" defaultMemberUniqueName="[Migration].[Tag].[All]" allUniqueName="[Migration].[Tag].[All]" dimensionUniqueName="[Migration]" displayFolder="" count="0" memberValueDatatype="130" unbalanced="0"/>
    <cacheHierarchy uniqueName="[Migration].[Longitude]" caption="Longitude" attribute="1" defaultMemberUniqueName="[Migration].[Longitude].[All]" allUniqueName="[Migration].[Longitude].[All]" dimensionUniqueName="[Migration]" displayFolder="" count="0" memberValueDatatype="5" unbalanced="0"/>
    <cacheHierarchy uniqueName="[Migration].[Latitude]" caption="Latitude" attribute="1" defaultMemberUniqueName="[Migration].[Latitude].[All]" allUniqueName="[Migration].[Latitude].[All]" dimensionUniqueName="[Migration]" displayFolder="" count="0" memberValueDatatype="5" unbalanced="0"/>
    <cacheHierarchy uniqueName="[Migration].[Distance]" caption="Distance" attribute="1" defaultMemberUniqueName="[Migration].[Distance].[All]" allUniqueName="[Migration].[Distance].[All]" dimensionUniqueName="[Migration]" displayFolder="" count="0" memberValueDatatype="5" unbalanced="0"/>
    <cacheHierarchy uniqueName="[Migration].[Speed]" caption="Speed" attribute="1" defaultMemberUniqueName="[Migration].[Speed].[All]" allUniqueName="[Migration].[Speed].[All]" dimensionUniqueName="[Migration]" displayFolder="" count="0" memberValueDatatype="5" unbalanced="0"/>
    <cacheHierarchy uniqueName="[Migration].[Speed Class]" caption="Speed Class" attribute="1" defaultMemberUniqueName="[Migration].[Speed Class].[All]" allUniqueName="[Migration].[Speed Class].[All]" dimensionUniqueName="[Migration]" displayFolder="" count="0" memberValueDatatype="130" unbalanced="0"/>
    <cacheHierarchy uniqueName="[Migration].[Date]" caption="Date" attribute="1" time="1" defaultMemberUniqueName="[Migration].[Date].[All]" allUniqueName="[Migration].[Date].[All]" dimensionUniqueName="[Migration]" displayFolder="" count="0" memberValueDatatype="7" unbalanced="0"/>
    <cacheHierarchy uniqueName="[Migration].[YearMonth]" caption="YearMonth" attribute="1" time="1" defaultMemberUniqueName="[Migration].[YearMonth].[All]" allUniqueName="[Migration].[YearMonth].[All]" dimensionUniqueName="[Migration]" displayFolder="" count="2" memberValueDatatype="7" unbalanced="0">
      <fieldsUsage count="2">
        <fieldUsage x="-1"/>
        <fieldUsage x="1"/>
      </fieldsUsage>
    </cacheHierarchy>
    <cacheHierarchy uniqueName="[Migration].[YearMonth (Year)]" caption="YearMonth (Year)" attribute="1" defaultMemberUniqueName="[Migration].[YearMonth (Year)].[All]" allUniqueName="[Migration].[YearMonth (Year)].[All]" dimensionUniqueName="[Migration]" displayFolder="" count="2" memberValueDatatype="130" unbalanced="0"/>
    <cacheHierarchy uniqueName="[Migration].[YearMonth (Quarter)]" caption="YearMonth (Quarter)" attribute="1" defaultMemberUniqueName="[Migration].[YearMonth (Quarter)].[All]" allUniqueName="[Migration].[YearMonth (Quarter)].[All]" dimensionUniqueName="[Migration]" displayFolder="" count="2" memberValueDatatype="130" unbalanced="0"/>
    <cacheHierarchy uniqueName="[Migration].[YearMonth (Month)]" caption="YearMonth (Month)" attribute="1" defaultMemberUniqueName="[Migration].[YearMonth (Month)].[All]" allUniqueName="[Migration].[YearMonth (Month)].[All]" dimensionUniqueName="[Migration]" displayFolder="" count="2" memberValueDatatype="130" unbalanced="0"/>
    <cacheHierarchy uniqueName="[Turkeys].[Tag]" caption="Tag" attribute="1" defaultMemberUniqueName="[Turkeys].[Tag].[All]" allUniqueName="[Turkeys].[Tag].[All]" dimensionUniqueName="[Turkeys]" displayFolder="" count="2" memberValueDatatype="130" unbalanced="0">
      <fieldsUsage count="2">
        <fieldUsage x="-1"/>
        <fieldUsage x="2"/>
      </fieldsUsage>
    </cacheHierarchy>
    <cacheHierarchy uniqueName="[Turkeys].[Region]" caption="Region" attribute="1" defaultMemberUniqueName="[Turkeys].[Region].[All]" allUniqueName="[Turkeys].[Region].[All]" dimensionUniqueName="[Turkeys]" displayFolder="" count="0" memberValueDatatype="130" unbalanced="0"/>
    <cacheHierarchy uniqueName="[Turkeys].[Subspecies]" caption="Subspecies" attribute="1" defaultMemberUniqueName="[Turkeys].[Subspecies].[All]" allUniqueName="[Turkeys].[Subspecies].[All]" dimensionUniqueName="[Turkeys]" displayFolder="" count="0" memberValueDatatype="130" unbalanced="0"/>
    <cacheHierarchy uniqueName="[Turkeys].[Length]" caption="Length" attribute="1" defaultMemberUniqueName="[Turkeys].[Length].[All]" allUniqueName="[Turkeys].[Length].[All]" dimensionUniqueName="[Turkeys]" displayFolder="" count="0" memberValueDatatype="5" unbalanced="0"/>
    <cacheHierarchy uniqueName="[Turkeys].[Weight]" caption="Weight" attribute="1" defaultMemberUniqueName="[Turkeys].[Weight].[All]" allUniqueName="[Turkeys].[Weight].[All]" dimensionUniqueName="[Turkeys]" displayFolder="" count="0" memberValueDatatype="5" unbalanced="0"/>
    <cacheHierarchy uniqueName="[Turkeys].[Wingspan]" caption="Wingspan" attribute="1" defaultMemberUniqueName="[Turkeys].[Wingspan].[All]" allUniqueName="[Turkeys].[Wingspan].[All]" dimensionUniqueName="[Turkeys]" displayFolder="" count="0" memberValueDatatype="5" unbalanced="0"/>
    <cacheHierarchy uniqueName="[Migration].[YearMonth (Month Index)]" caption="YearMonth (Month Index)" attribute="1" defaultMemberUniqueName="[Migration].[YearMonth (Month Index)].[All]" allUniqueName="[Migration].[YearMonth (Month Index)].[All]" dimensionUniqueName="[Migration]" displayFolder="" count="0" memberValueDatatype="20" unbalanced="0" hidden="1"/>
    <cacheHierarchy uniqueName="[Measures].[__XL_Count Turkeys]" caption="__XL_Count Turkeys" measure="1" displayFolder="" measureGroup="Turkeys" count="0" hidden="1"/>
    <cacheHierarchy uniqueName="[Measures].[__XL_Count Migration]" caption="__XL_Count Migration" measure="1" displayFolder="" measureGroup="Migration" count="0" hidden="1"/>
    <cacheHierarchy uniqueName="[Measures].[__No measures defined]" caption="__No measures defined" measure="1" displayFolder="" count="0" hidden="1"/>
    <cacheHierarchy uniqueName="[Measures].[Sum of Distance]" caption="Sum of Distance" measure="1" displayFolder="" measureGroup="Migration"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Migration" uniqueName="[Migration]" caption="Migration"/>
    <dimension name="Turkeys" uniqueName="[Turkeys]" caption="Turkeys"/>
  </dimensions>
  <measureGroups count="2">
    <measureGroup name="Migration" caption="Migration"/>
    <measureGroup name="Turkeys" caption="Turkey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rick Carey" refreshedDate="44443.397875578703" backgroundQuery="1" createdVersion="6" refreshedVersion="6" minRefreshableVersion="3" recordCount="0" supportSubquery="1" supportAdvancedDrill="1" xr:uid="{5146C15C-CE1C-486E-9085-C3F8F5EC0A72}">
  <cacheSource type="external" connectionId="3"/>
  <cacheFields count="2">
    <cacheField name="[Turkeys].[Weight].[Weight]" caption="Weight" numFmtId="0" hierarchy="15" level="1">
      <sharedItems containsSemiMixedTypes="0" containsString="0" containsNumber="1" minValue="69.7" maxValue="71.099999999999994" count="8">
        <n v="69.7"/>
        <n v="69.900000000000006"/>
        <n v="70.099999999999994"/>
        <n v="70.2"/>
        <n v="70.400000000000006"/>
        <n v="70.5"/>
        <n v="70.8"/>
        <n v="71.099999999999994"/>
      </sharedItems>
    </cacheField>
    <cacheField name="[Measures].[Sum of Distance]" caption="Sum of Distance" numFmtId="0" hierarchy="21" level="32767"/>
  </cacheFields>
  <cacheHierarchies count="22">
    <cacheHierarchy uniqueName="[Migration].[Tag]" caption="Tag" attribute="1" defaultMemberUniqueName="[Migration].[Tag].[All]" allUniqueName="[Migration].[Tag].[All]" dimensionUniqueName="[Migration]" displayFolder="" count="0" memberValueDatatype="130" unbalanced="0"/>
    <cacheHierarchy uniqueName="[Migration].[Longitude]" caption="Longitude" attribute="1" defaultMemberUniqueName="[Migration].[Longitude].[All]" allUniqueName="[Migration].[Longitude].[All]" dimensionUniqueName="[Migration]" displayFolder="" count="0" memberValueDatatype="5" unbalanced="0"/>
    <cacheHierarchy uniqueName="[Migration].[Latitude]" caption="Latitude" attribute="1" defaultMemberUniqueName="[Migration].[Latitude].[All]" allUniqueName="[Migration].[Latitude].[All]" dimensionUniqueName="[Migration]" displayFolder="" count="0" memberValueDatatype="5" unbalanced="0"/>
    <cacheHierarchy uniqueName="[Migration].[Distance]" caption="Distance" attribute="1" defaultMemberUniqueName="[Migration].[Distance].[All]" allUniqueName="[Migration].[Distance].[All]" dimensionUniqueName="[Migration]" displayFolder="" count="0" memberValueDatatype="5" unbalanced="0"/>
    <cacheHierarchy uniqueName="[Migration].[Speed]" caption="Speed" attribute="1" defaultMemberUniqueName="[Migration].[Speed].[All]" allUniqueName="[Migration].[Speed].[All]" dimensionUniqueName="[Migration]" displayFolder="" count="0" memberValueDatatype="5" unbalanced="0"/>
    <cacheHierarchy uniqueName="[Migration].[Speed Class]" caption="Speed Class" attribute="1" defaultMemberUniqueName="[Migration].[Speed Class].[All]" allUniqueName="[Migration].[Speed Class].[All]" dimensionUniqueName="[Migration]" displayFolder="" count="0" memberValueDatatype="130" unbalanced="0"/>
    <cacheHierarchy uniqueName="[Migration].[Date]" caption="Date" attribute="1" time="1" defaultMemberUniqueName="[Migration].[Date].[All]" allUniqueName="[Migration].[Date].[All]" dimensionUniqueName="[Migration]" displayFolder="" count="0" memberValueDatatype="7" unbalanced="0"/>
    <cacheHierarchy uniqueName="[Migration].[YearMonth]" caption="YearMonth" attribute="1" time="1" defaultMemberUniqueName="[Migration].[YearMonth].[All]" allUniqueName="[Migration].[YearMonth].[All]" dimensionUniqueName="[Migration]" displayFolder="" count="0" memberValueDatatype="7" unbalanced="0"/>
    <cacheHierarchy uniqueName="[Migration].[YearMonth (Year)]" caption="YearMonth (Year)" attribute="1" defaultMemberUniqueName="[Migration].[YearMonth (Year)].[All]" allUniqueName="[Migration].[YearMonth (Year)].[All]" dimensionUniqueName="[Migration]" displayFolder="" count="0" memberValueDatatype="130" unbalanced="0"/>
    <cacheHierarchy uniqueName="[Migration].[YearMonth (Quarter)]" caption="YearMonth (Quarter)" attribute="1" defaultMemberUniqueName="[Migration].[YearMonth (Quarter)].[All]" allUniqueName="[Migration].[YearMonth (Quarter)].[All]" dimensionUniqueName="[Migration]" displayFolder="" count="0" memberValueDatatype="130" unbalanced="0"/>
    <cacheHierarchy uniqueName="[Migration].[YearMonth (Month)]" caption="YearMonth (Month)" attribute="1" defaultMemberUniqueName="[Migration].[YearMonth (Month)].[All]" allUniqueName="[Migration].[YearMonth (Month)].[All]" dimensionUniqueName="[Migration]" displayFolder="" count="0" memberValueDatatype="130" unbalanced="0"/>
    <cacheHierarchy uniqueName="[Turkeys].[Tag]" caption="Tag" attribute="1" defaultMemberUniqueName="[Turkeys].[Tag].[All]" allUniqueName="[Turkeys].[Tag].[All]" dimensionUniqueName="[Turkeys]" displayFolder="" count="0" memberValueDatatype="130" unbalanced="0"/>
    <cacheHierarchy uniqueName="[Turkeys].[Region]" caption="Region" attribute="1" defaultMemberUniqueName="[Turkeys].[Region].[All]" allUniqueName="[Turkeys].[Region].[All]" dimensionUniqueName="[Turkeys]" displayFolder="" count="0" memberValueDatatype="130" unbalanced="0"/>
    <cacheHierarchy uniqueName="[Turkeys].[Subspecies]" caption="Subspecies" attribute="1" defaultMemberUniqueName="[Turkeys].[Subspecies].[All]" allUniqueName="[Turkeys].[Subspecies].[All]" dimensionUniqueName="[Turkeys]" displayFolder="" count="0" memberValueDatatype="130" unbalanced="0"/>
    <cacheHierarchy uniqueName="[Turkeys].[Length]" caption="Length" attribute="1" defaultMemberUniqueName="[Turkeys].[Length].[All]" allUniqueName="[Turkeys].[Length].[All]" dimensionUniqueName="[Turkeys]" displayFolder="" count="0" memberValueDatatype="5" unbalanced="0"/>
    <cacheHierarchy uniqueName="[Turkeys].[Weight]" caption="Weight" attribute="1" defaultMemberUniqueName="[Turkeys].[Weight].[All]" allUniqueName="[Turkeys].[Weight].[All]" dimensionUniqueName="[Turkeys]" displayFolder="" count="2" memberValueDatatype="5" unbalanced="0">
      <fieldsUsage count="2">
        <fieldUsage x="-1"/>
        <fieldUsage x="0"/>
      </fieldsUsage>
    </cacheHierarchy>
    <cacheHierarchy uniqueName="[Turkeys].[Wingspan]" caption="Wingspan" attribute="1" defaultMemberUniqueName="[Turkeys].[Wingspan].[All]" allUniqueName="[Turkeys].[Wingspan].[All]" dimensionUniqueName="[Turkeys]" displayFolder="" count="0" memberValueDatatype="5" unbalanced="0"/>
    <cacheHierarchy uniqueName="[Migration].[YearMonth (Month Index)]" caption="YearMonth (Month Index)" attribute="1" defaultMemberUniqueName="[Migration].[YearMonth (Month Index)].[All]" allUniqueName="[Migration].[YearMonth (Month Index)].[All]" dimensionUniqueName="[Migration]" displayFolder="" count="0" memberValueDatatype="20" unbalanced="0" hidden="1"/>
    <cacheHierarchy uniqueName="[Measures].[__XL_Count Turkeys]" caption="__XL_Count Turkeys" measure="1" displayFolder="" measureGroup="Turkeys" count="0" hidden="1"/>
    <cacheHierarchy uniqueName="[Measures].[__XL_Count Migration]" caption="__XL_Count Migration" measure="1" displayFolder="" measureGroup="Migration" count="0" hidden="1"/>
    <cacheHierarchy uniqueName="[Measures].[__No measures defined]" caption="__No measures defined" measure="1" displayFolder="" count="0" hidden="1"/>
    <cacheHierarchy uniqueName="[Measures].[Sum of Distance]" caption="Sum of Distance" measure="1" displayFolder="" measureGroup="Migration" count="0" oneField="1" hidden="1">
      <fieldsUsage count="1">
        <fieldUsage x="1"/>
      </fieldsUsage>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Migration" uniqueName="[Migration]" caption="Migration"/>
    <dimension name="Turkeys" uniqueName="[Turkeys]" caption="Turkeys"/>
  </dimensions>
  <measureGroups count="2">
    <measureGroup name="Migration" caption="Migration"/>
    <measureGroup name="Turkeys" caption="Turkey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rick Carey" refreshedDate="44443.400312384256" backgroundQuery="1" createdVersion="6" refreshedVersion="6" minRefreshableVersion="3" recordCount="0" supportSubquery="1" supportAdvancedDrill="1" xr:uid="{9B0374E8-1F25-4564-886A-224478504E3A}">
  <cacheSource type="external" connectionId="3"/>
  <cacheFields count="2">
    <cacheField name="[Turkeys].[Length].[Length]" caption="Length" numFmtId="0" hierarchy="14" level="1">
      <sharedItems containsSemiMixedTypes="0" containsString="0" containsNumber="1" minValue="25.8" maxValue="30.2" count="7">
        <n v="25.8"/>
        <n v="26.3"/>
        <n v="26.7"/>
        <n v="27.7"/>
        <n v="29.1"/>
        <n v="29.5"/>
        <n v="30.2"/>
      </sharedItems>
    </cacheField>
    <cacheField name="[Measures].[Sum of Distance]" caption="Sum of Distance" numFmtId="0" hierarchy="21" level="32767"/>
  </cacheFields>
  <cacheHierarchies count="22">
    <cacheHierarchy uniqueName="[Migration].[Tag]" caption="Tag" attribute="1" defaultMemberUniqueName="[Migration].[Tag].[All]" allUniqueName="[Migration].[Tag].[All]" dimensionUniqueName="[Migration]" displayFolder="" count="0" memberValueDatatype="130" unbalanced="0"/>
    <cacheHierarchy uniqueName="[Migration].[Longitude]" caption="Longitude" attribute="1" defaultMemberUniqueName="[Migration].[Longitude].[All]" allUniqueName="[Migration].[Longitude].[All]" dimensionUniqueName="[Migration]" displayFolder="" count="0" memberValueDatatype="5" unbalanced="0"/>
    <cacheHierarchy uniqueName="[Migration].[Latitude]" caption="Latitude" attribute="1" defaultMemberUniqueName="[Migration].[Latitude].[All]" allUniqueName="[Migration].[Latitude].[All]" dimensionUniqueName="[Migration]" displayFolder="" count="0" memberValueDatatype="5" unbalanced="0"/>
    <cacheHierarchy uniqueName="[Migration].[Distance]" caption="Distance" attribute="1" defaultMemberUniqueName="[Migration].[Distance].[All]" allUniqueName="[Migration].[Distance].[All]" dimensionUniqueName="[Migration]" displayFolder="" count="0" memberValueDatatype="5" unbalanced="0"/>
    <cacheHierarchy uniqueName="[Migration].[Speed]" caption="Speed" attribute="1" defaultMemberUniqueName="[Migration].[Speed].[All]" allUniqueName="[Migration].[Speed].[All]" dimensionUniqueName="[Migration]" displayFolder="" count="0" memberValueDatatype="5" unbalanced="0"/>
    <cacheHierarchy uniqueName="[Migration].[Speed Class]" caption="Speed Class" attribute="1" defaultMemberUniqueName="[Migration].[Speed Class].[All]" allUniqueName="[Migration].[Speed Class].[All]" dimensionUniqueName="[Migration]" displayFolder="" count="0" memberValueDatatype="130" unbalanced="0"/>
    <cacheHierarchy uniqueName="[Migration].[Date]" caption="Date" attribute="1" time="1" defaultMemberUniqueName="[Migration].[Date].[All]" allUniqueName="[Migration].[Date].[All]" dimensionUniqueName="[Migration]" displayFolder="" count="0" memberValueDatatype="7" unbalanced="0"/>
    <cacheHierarchy uniqueName="[Migration].[YearMonth]" caption="YearMonth" attribute="1" time="1" defaultMemberUniqueName="[Migration].[YearMonth].[All]" allUniqueName="[Migration].[YearMonth].[All]" dimensionUniqueName="[Migration]" displayFolder="" count="0" memberValueDatatype="7" unbalanced="0"/>
    <cacheHierarchy uniqueName="[Migration].[YearMonth (Year)]" caption="YearMonth (Year)" attribute="1" defaultMemberUniqueName="[Migration].[YearMonth (Year)].[All]" allUniqueName="[Migration].[YearMonth (Year)].[All]" dimensionUniqueName="[Migration]" displayFolder="" count="0" memberValueDatatype="130" unbalanced="0"/>
    <cacheHierarchy uniqueName="[Migration].[YearMonth (Quarter)]" caption="YearMonth (Quarter)" attribute="1" defaultMemberUniqueName="[Migration].[YearMonth (Quarter)].[All]" allUniqueName="[Migration].[YearMonth (Quarter)].[All]" dimensionUniqueName="[Migration]" displayFolder="" count="0" memberValueDatatype="130" unbalanced="0"/>
    <cacheHierarchy uniqueName="[Migration].[YearMonth (Month)]" caption="YearMonth (Month)" attribute="1" defaultMemberUniqueName="[Migration].[YearMonth (Month)].[All]" allUniqueName="[Migration].[YearMonth (Month)].[All]" dimensionUniqueName="[Migration]" displayFolder="" count="0" memberValueDatatype="130" unbalanced="0"/>
    <cacheHierarchy uniqueName="[Turkeys].[Tag]" caption="Tag" attribute="1" defaultMemberUniqueName="[Turkeys].[Tag].[All]" allUniqueName="[Turkeys].[Tag].[All]" dimensionUniqueName="[Turkeys]" displayFolder="" count="0" memberValueDatatype="130" unbalanced="0"/>
    <cacheHierarchy uniqueName="[Turkeys].[Region]" caption="Region" attribute="1" defaultMemberUniqueName="[Turkeys].[Region].[All]" allUniqueName="[Turkeys].[Region].[All]" dimensionUniqueName="[Turkeys]" displayFolder="" count="0" memberValueDatatype="130" unbalanced="0"/>
    <cacheHierarchy uniqueName="[Turkeys].[Subspecies]" caption="Subspecies" attribute="1" defaultMemberUniqueName="[Turkeys].[Subspecies].[All]" allUniqueName="[Turkeys].[Subspecies].[All]" dimensionUniqueName="[Turkeys]" displayFolder="" count="0" memberValueDatatype="130" unbalanced="0"/>
    <cacheHierarchy uniqueName="[Turkeys].[Length]" caption="Length" attribute="1" defaultMemberUniqueName="[Turkeys].[Length].[All]" allUniqueName="[Turkeys].[Length].[All]" dimensionUniqueName="[Turkeys]" displayFolder="" count="2" memberValueDatatype="5" unbalanced="0">
      <fieldsUsage count="2">
        <fieldUsage x="-1"/>
        <fieldUsage x="0"/>
      </fieldsUsage>
    </cacheHierarchy>
    <cacheHierarchy uniqueName="[Turkeys].[Weight]" caption="Weight" attribute="1" defaultMemberUniqueName="[Turkeys].[Weight].[All]" allUniqueName="[Turkeys].[Weight].[All]" dimensionUniqueName="[Turkeys]" displayFolder="" count="0" memberValueDatatype="5" unbalanced="0"/>
    <cacheHierarchy uniqueName="[Turkeys].[Wingspan]" caption="Wingspan" attribute="1" defaultMemberUniqueName="[Turkeys].[Wingspan].[All]" allUniqueName="[Turkeys].[Wingspan].[All]" dimensionUniqueName="[Turkeys]" displayFolder="" count="0" memberValueDatatype="5" unbalanced="0"/>
    <cacheHierarchy uniqueName="[Migration].[YearMonth (Month Index)]" caption="YearMonth (Month Index)" attribute="1" defaultMemberUniqueName="[Migration].[YearMonth (Month Index)].[All]" allUniqueName="[Migration].[YearMonth (Month Index)].[All]" dimensionUniqueName="[Migration]" displayFolder="" count="0" memberValueDatatype="20" unbalanced="0" hidden="1"/>
    <cacheHierarchy uniqueName="[Measures].[__XL_Count Turkeys]" caption="__XL_Count Turkeys" measure="1" displayFolder="" measureGroup="Turkeys" count="0" hidden="1"/>
    <cacheHierarchy uniqueName="[Measures].[__XL_Count Migration]" caption="__XL_Count Migration" measure="1" displayFolder="" measureGroup="Migration" count="0" hidden="1"/>
    <cacheHierarchy uniqueName="[Measures].[__No measures defined]" caption="__No measures defined" measure="1" displayFolder="" count="0" hidden="1"/>
    <cacheHierarchy uniqueName="[Measures].[Sum of Distance]" caption="Sum of Distance" measure="1" displayFolder="" measureGroup="Migration" count="0" oneField="1" hidden="1">
      <fieldsUsage count="1">
        <fieldUsage x="1"/>
      </fieldsUsage>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Migration" uniqueName="[Migration]" caption="Migration"/>
    <dimension name="Turkeys" uniqueName="[Turkeys]" caption="Turkeys"/>
  </dimensions>
  <measureGroups count="2">
    <measureGroup name="Migration" caption="Migration"/>
    <measureGroup name="Turkeys" caption="Turkey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rick Carey" refreshedDate="44443.401918634256" backgroundQuery="1" createdVersion="6" refreshedVersion="6" minRefreshableVersion="3" recordCount="0" supportSubquery="1" supportAdvancedDrill="1" xr:uid="{6F5D5489-4BF5-4F53-938D-500A11FD78AA}">
  <cacheSource type="external" connectionId="3"/>
  <cacheFields count="2">
    <cacheField name="[Turkeys].[Wingspan].[Wingspan]" caption="Wingspan" numFmtId="0" hierarchy="16" level="1">
      <sharedItems containsSemiMixedTypes="0" containsString="0" containsNumber="1" minValue="66.900000000000006" maxValue="69.400000000000006" count="8">
        <n v="66.900000000000006"/>
        <n v="67.2"/>
        <n v="67.8"/>
        <n v="67.900000000000006"/>
        <n v="68.3"/>
        <n v="68.900000000000006"/>
        <n v="69.099999999999994"/>
        <n v="69.400000000000006"/>
      </sharedItems>
    </cacheField>
    <cacheField name="[Measures].[Sum of Distance]" caption="Sum of Distance" numFmtId="0" hierarchy="21" level="32767"/>
  </cacheFields>
  <cacheHierarchies count="22">
    <cacheHierarchy uniqueName="[Migration].[Tag]" caption="Tag" attribute="1" defaultMemberUniqueName="[Migration].[Tag].[All]" allUniqueName="[Migration].[Tag].[All]" dimensionUniqueName="[Migration]" displayFolder="" count="0" memberValueDatatype="130" unbalanced="0"/>
    <cacheHierarchy uniqueName="[Migration].[Longitude]" caption="Longitude" attribute="1" defaultMemberUniqueName="[Migration].[Longitude].[All]" allUniqueName="[Migration].[Longitude].[All]" dimensionUniqueName="[Migration]" displayFolder="" count="0" memberValueDatatype="5" unbalanced="0"/>
    <cacheHierarchy uniqueName="[Migration].[Latitude]" caption="Latitude" attribute="1" defaultMemberUniqueName="[Migration].[Latitude].[All]" allUniqueName="[Migration].[Latitude].[All]" dimensionUniqueName="[Migration]" displayFolder="" count="0" memberValueDatatype="5" unbalanced="0"/>
    <cacheHierarchy uniqueName="[Migration].[Distance]" caption="Distance" attribute="1" defaultMemberUniqueName="[Migration].[Distance].[All]" allUniqueName="[Migration].[Distance].[All]" dimensionUniqueName="[Migration]" displayFolder="" count="0" memberValueDatatype="5" unbalanced="0"/>
    <cacheHierarchy uniqueName="[Migration].[Speed]" caption="Speed" attribute="1" defaultMemberUniqueName="[Migration].[Speed].[All]" allUniqueName="[Migration].[Speed].[All]" dimensionUniqueName="[Migration]" displayFolder="" count="0" memberValueDatatype="5" unbalanced="0"/>
    <cacheHierarchy uniqueName="[Migration].[Speed Class]" caption="Speed Class" attribute="1" defaultMemberUniqueName="[Migration].[Speed Class].[All]" allUniqueName="[Migration].[Speed Class].[All]" dimensionUniqueName="[Migration]" displayFolder="" count="0" memberValueDatatype="130" unbalanced="0"/>
    <cacheHierarchy uniqueName="[Migration].[Date]" caption="Date" attribute="1" time="1" defaultMemberUniqueName="[Migration].[Date].[All]" allUniqueName="[Migration].[Date].[All]" dimensionUniqueName="[Migration]" displayFolder="" count="0" memberValueDatatype="7" unbalanced="0"/>
    <cacheHierarchy uniqueName="[Migration].[YearMonth]" caption="YearMonth" attribute="1" time="1" defaultMemberUniqueName="[Migration].[YearMonth].[All]" allUniqueName="[Migration].[YearMonth].[All]" dimensionUniqueName="[Migration]" displayFolder="" count="0" memberValueDatatype="7" unbalanced="0"/>
    <cacheHierarchy uniqueName="[Migration].[YearMonth (Year)]" caption="YearMonth (Year)" attribute="1" defaultMemberUniqueName="[Migration].[YearMonth (Year)].[All]" allUniqueName="[Migration].[YearMonth (Year)].[All]" dimensionUniqueName="[Migration]" displayFolder="" count="0" memberValueDatatype="130" unbalanced="0"/>
    <cacheHierarchy uniqueName="[Migration].[YearMonth (Quarter)]" caption="YearMonth (Quarter)" attribute="1" defaultMemberUniqueName="[Migration].[YearMonth (Quarter)].[All]" allUniqueName="[Migration].[YearMonth (Quarter)].[All]" dimensionUniqueName="[Migration]" displayFolder="" count="0" memberValueDatatype="130" unbalanced="0"/>
    <cacheHierarchy uniqueName="[Migration].[YearMonth (Month)]" caption="YearMonth (Month)" attribute="1" defaultMemberUniqueName="[Migration].[YearMonth (Month)].[All]" allUniqueName="[Migration].[YearMonth (Month)].[All]" dimensionUniqueName="[Migration]" displayFolder="" count="0" memberValueDatatype="130" unbalanced="0"/>
    <cacheHierarchy uniqueName="[Turkeys].[Tag]" caption="Tag" attribute="1" defaultMemberUniqueName="[Turkeys].[Tag].[All]" allUniqueName="[Turkeys].[Tag].[All]" dimensionUniqueName="[Turkeys]" displayFolder="" count="0" memberValueDatatype="130" unbalanced="0"/>
    <cacheHierarchy uniqueName="[Turkeys].[Region]" caption="Region" attribute="1" defaultMemberUniqueName="[Turkeys].[Region].[All]" allUniqueName="[Turkeys].[Region].[All]" dimensionUniqueName="[Turkeys]" displayFolder="" count="0" memberValueDatatype="130" unbalanced="0"/>
    <cacheHierarchy uniqueName="[Turkeys].[Subspecies]" caption="Subspecies" attribute="1" defaultMemberUniqueName="[Turkeys].[Subspecies].[All]" allUniqueName="[Turkeys].[Subspecies].[All]" dimensionUniqueName="[Turkeys]" displayFolder="" count="0" memberValueDatatype="130" unbalanced="0"/>
    <cacheHierarchy uniqueName="[Turkeys].[Length]" caption="Length" attribute="1" defaultMemberUniqueName="[Turkeys].[Length].[All]" allUniqueName="[Turkeys].[Length].[All]" dimensionUniqueName="[Turkeys]" displayFolder="" count="0" memberValueDatatype="5" unbalanced="0"/>
    <cacheHierarchy uniqueName="[Turkeys].[Weight]" caption="Weight" attribute="1" defaultMemberUniqueName="[Turkeys].[Weight].[All]" allUniqueName="[Turkeys].[Weight].[All]" dimensionUniqueName="[Turkeys]" displayFolder="" count="0" memberValueDatatype="5" unbalanced="0"/>
    <cacheHierarchy uniqueName="[Turkeys].[Wingspan]" caption="Wingspan" attribute="1" defaultMemberUniqueName="[Turkeys].[Wingspan].[All]" allUniqueName="[Turkeys].[Wingspan].[All]" dimensionUniqueName="[Turkeys]" displayFolder="" count="2" memberValueDatatype="5" unbalanced="0">
      <fieldsUsage count="2">
        <fieldUsage x="-1"/>
        <fieldUsage x="0"/>
      </fieldsUsage>
    </cacheHierarchy>
    <cacheHierarchy uniqueName="[Migration].[YearMonth (Month Index)]" caption="YearMonth (Month Index)" attribute="1" defaultMemberUniqueName="[Migration].[YearMonth (Month Index)].[All]" allUniqueName="[Migration].[YearMonth (Month Index)].[All]" dimensionUniqueName="[Migration]" displayFolder="" count="0" memberValueDatatype="20" unbalanced="0" hidden="1"/>
    <cacheHierarchy uniqueName="[Measures].[__XL_Count Turkeys]" caption="__XL_Count Turkeys" measure="1" displayFolder="" measureGroup="Turkeys" count="0" hidden="1"/>
    <cacheHierarchy uniqueName="[Measures].[__XL_Count Migration]" caption="__XL_Count Migration" measure="1" displayFolder="" measureGroup="Migration" count="0" hidden="1"/>
    <cacheHierarchy uniqueName="[Measures].[__No measures defined]" caption="__No measures defined" measure="1" displayFolder="" count="0" hidden="1"/>
    <cacheHierarchy uniqueName="[Measures].[Sum of Distance]" caption="Sum of Distance" measure="1" displayFolder="" measureGroup="Migration" count="0" oneField="1" hidden="1">
      <fieldsUsage count="1">
        <fieldUsage x="1"/>
      </fieldsUsage>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Migration" uniqueName="[Migration]" caption="Migration"/>
    <dimension name="Turkeys" uniqueName="[Turkeys]" caption="Turkeys"/>
  </dimensions>
  <measureGroups count="2">
    <measureGroup name="Migration" caption="Migration"/>
    <measureGroup name="Turkeys" caption="Turkey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rick Carey" refreshedDate="44443.396344791669" backgroundQuery="1" createdVersion="3" refreshedVersion="6" minRefreshableVersion="3" recordCount="0" supportSubquery="1" supportAdvancedDrill="1" xr:uid="{414DE4FA-8502-441A-9E53-A84DFE693151}">
  <cacheSource type="external" connectionId="3">
    <extLst>
      <ext xmlns:x14="http://schemas.microsoft.com/office/spreadsheetml/2009/9/main" uri="{F057638F-6D5F-4e77-A914-E7F072B9BCA8}">
        <x14:sourceConnection name="ThisWorkbookDataModel"/>
      </ext>
    </extLst>
  </cacheSource>
  <cacheFields count="0"/>
  <cacheHierarchies count="23">
    <cacheHierarchy uniqueName="[Measures]" caption="Measures" attribute="1" keyAttribute="1" defaultMemberUniqueName="[Measures].[__No measures defined]" dimensionUniqueName="[Measures]" displayFolder="" measures="1" count="1" memberValueDatatype="130" unbalanced="0"/>
    <cacheHierarchy uniqueName="[Migration].[Tag]" caption="Tag" attribute="1" defaultMemberUniqueName="[Migration].[Tag].[All]" allUniqueName="[Migration].[Tag].[All]" dimensionUniqueName="[Migration]" displayFolder="" count="2" memberValueDatatype="130" unbalanced="0"/>
    <cacheHierarchy uniqueName="[Migration].[Longitude]" caption="Longitude" attribute="1" defaultMemberUniqueName="[Migration].[Longitude].[All]" allUniqueName="[Migration].[Longitude].[All]" dimensionUniqueName="[Migration]" displayFolder="" count="2" memberValueDatatype="5" unbalanced="0"/>
    <cacheHierarchy uniqueName="[Migration].[Latitude]" caption="Latitude" attribute="1" defaultMemberUniqueName="[Migration].[Latitude].[All]" allUniqueName="[Migration].[Latitude].[All]" dimensionUniqueName="[Migration]" displayFolder="" count="2" memberValueDatatype="5" unbalanced="0"/>
    <cacheHierarchy uniqueName="[Migration].[Distance]" caption="Distance" attribute="1" defaultMemberUniqueName="[Migration].[Distance].[All]" allUniqueName="[Migration].[Distance].[All]" dimensionUniqueName="[Migration]" displayFolder="" count="2" memberValueDatatype="5" unbalanced="0"/>
    <cacheHierarchy uniqueName="[Migration].[Speed]" caption="Speed" attribute="1" defaultMemberUniqueName="[Migration].[Speed].[All]" allUniqueName="[Migration].[Speed].[All]" dimensionUniqueName="[Migration]" displayFolder="" count="2" memberValueDatatype="5" unbalanced="0"/>
    <cacheHierarchy uniqueName="[Migration].[Speed Class]" caption="Speed Class" attribute="1" defaultMemberUniqueName="[Migration].[Speed Class].[All]" allUniqueName="[Migration].[Speed Class].[All]" dimensionUniqueName="[Migration]" displayFolder="" count="2" memberValueDatatype="130" unbalanced="0"/>
    <cacheHierarchy uniqueName="[Migration].[Date]" caption="Date" attribute="1" time="1" defaultMemberUniqueName="[Migration].[Date].[All]" allUniqueName="[Migration].[Date].[All]" dimensionUniqueName="[Migration]" displayFolder="" count="2" memberValueDatatype="7" unbalanced="0"/>
    <cacheHierarchy uniqueName="[Migration].[YearMonth]" caption="YearMonth" attribute="1" time="1" defaultMemberUniqueName="[Migration].[YearMonth].[All]" allUniqueName="[Migration].[YearMonth].[All]" dimensionUniqueName="[Migration]" displayFolder="" count="2" memberValueDatatype="7" unbalanced="0"/>
    <cacheHierarchy uniqueName="[Migration].[YearMonth (Year)]" caption="YearMonth (Year)" attribute="1" defaultMemberUniqueName="[Migration].[YearMonth (Year)].[All]" allUniqueName="[Migration].[YearMonth (Year)].[All]" dimensionUniqueName="[Migration]" displayFolder="" count="2" memberValueDatatype="130" unbalanced="0"/>
    <cacheHierarchy uniqueName="[Migration].[YearMonth (Quarter)]" caption="YearMonth (Quarter)" attribute="1" defaultMemberUniqueName="[Migration].[YearMonth (Quarter)].[All]" allUniqueName="[Migration].[YearMonth (Quarter)].[All]" dimensionUniqueName="[Migration]" displayFolder="" count="2" memberValueDatatype="130" unbalanced="0"/>
    <cacheHierarchy uniqueName="[Migration].[YearMonth (Month)]" caption="YearMonth (Month)" attribute="1" defaultMemberUniqueName="[Migration].[YearMonth (Month)].[All]" allUniqueName="[Migration].[YearMonth (Month)].[All]" dimensionUniqueName="[Migration]" displayFolder="" count="2" memberValueDatatype="130" unbalanced="0"/>
    <cacheHierarchy uniqueName="[Turkeys].[Tag]" caption="Tag" attribute="1" defaultMemberUniqueName="[Turkeys].[Tag].[All]" allUniqueName="[Turkeys].[Tag].[All]" dimensionUniqueName="[Turkeys]" displayFolder="" count="2" memberValueDatatype="130" unbalanced="0"/>
    <cacheHierarchy uniqueName="[Turkeys].[Region]" caption="Region" attribute="1" defaultMemberUniqueName="[Turkeys].[Region].[All]" allUniqueName="[Turkeys].[Region].[All]" dimensionUniqueName="[Turkeys]" displayFolder="" count="2" memberValueDatatype="130" unbalanced="0"/>
    <cacheHierarchy uniqueName="[Turkeys].[Subspecies]" caption="Subspecies" attribute="1" defaultMemberUniqueName="[Turkeys].[Subspecies].[All]" allUniqueName="[Turkeys].[Subspecies].[All]" dimensionUniqueName="[Turkeys]" displayFolder="" count="2" memberValueDatatype="130" unbalanced="0"/>
    <cacheHierarchy uniqueName="[Turkeys].[Length]" caption="Length" attribute="1" defaultMemberUniqueName="[Turkeys].[Length].[All]" allUniqueName="[Turkeys].[Length].[All]" dimensionUniqueName="[Turkeys]" displayFolder="" count="2" memberValueDatatype="5" unbalanced="0"/>
    <cacheHierarchy uniqueName="[Turkeys].[Weight]" caption="Weight" attribute="1" defaultMemberUniqueName="[Turkeys].[Weight].[All]" allUniqueName="[Turkeys].[Weight].[All]" dimensionUniqueName="[Turkeys]" displayFolder="" count="2" memberValueDatatype="5" unbalanced="0"/>
    <cacheHierarchy uniqueName="[Turkeys].[Wingspan]" caption="Wingspan" attribute="1" defaultMemberUniqueName="[Turkeys].[Wingspan].[All]" allUniqueName="[Turkeys].[Wingspan].[All]" dimensionUniqueName="[Turkeys]" displayFolder="" count="2" memberValueDatatype="5" unbalanced="0"/>
    <cacheHierarchy uniqueName="[Migration].[YearMonth (Month Index)]" caption="YearMonth (Month Index)" attribute="1" defaultMemberUniqueName="[Migration].[YearMonth (Month Index)].[All]" allUniqueName="[Migration].[YearMonth (Month Index)].[All]" dimensionUniqueName="[Migration]" displayFolder="" count="2" memberValueDatatype="20" unbalanced="0" hidden="1"/>
    <cacheHierarchy uniqueName="[Measures].[__XL_Count Turkeys]" caption="__XL_Count Turkeys" measure="1" displayFolder="" measureGroup="Turkeys" count="0" hidden="1"/>
    <cacheHierarchy uniqueName="[Measures].[__XL_Count Migration]" caption="__XL_Count Migration" measure="1" displayFolder="" measureGroup="Migration" count="0" hidden="1"/>
    <cacheHierarchy uniqueName="[Measures].[__No measures defined]" caption="__No measures defined" measure="1" displayFolder="" count="0" hidden="1"/>
    <cacheHierarchy uniqueName="[Measures].[Sum of Distance]" caption="Sum of Distance" measure="1" displayFolder="" measureGroup="Migration" count="0" hidden="1">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Migration" uniqueName="[Migration]" caption="Migration"/>
    <dimension name="Turkeys" uniqueName="[Turkeys]" caption="Turkeys"/>
  </dimensions>
  <measureGroups count="2">
    <measureGroup name="Migration" caption="Migration"/>
    <measureGroup name="Turkeys" caption="Turkeys"/>
  </measureGroups>
  <maps count="3">
    <map measureGroup="0" dimension="1"/>
    <map measureGroup="0" dimension="2"/>
    <map measureGroup="1" dimension="2"/>
  </maps>
  <extLst>
    <ext xmlns:x14="http://schemas.microsoft.com/office/spreadsheetml/2009/9/main" uri="{725AE2AE-9491-48be-B2B4-4EB974FC3084}">
      <x14:pivotCacheDefinition slicerData="1" pivotCacheId="40308397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8D42CC-8089-4465-921F-407267E362C1}" name="Migration Pivot" cacheId="0" applyNumberFormats="0" applyBorderFormats="0" applyFontFormats="0" applyPatternFormats="0" applyAlignmentFormats="0" applyWidthHeightFormats="1" dataCaption="Values" tag="88ec692d-a4e3-4f8e-8787-9be917bfca3e" updatedVersion="6" minRefreshableVersion="3" useAutoFormatting="1" itemPrintTitles="1" createdVersion="6" indent="0" outline="1" outlineData="1" multipleFieldFilters="0">
  <location ref="B4:C17"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Miles Traveled" fld="0" baseField="0" baseItem="2067089920"/>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urkeys].[Tag].&amp;[B45664]"/>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Miles Traveled"/>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gr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1AE4E4-D0D0-4E59-AE21-E9C14435279B}" name="PivotTable2" cacheId="1" applyNumberFormats="0" applyBorderFormats="0" applyFontFormats="0" applyPatternFormats="0" applyAlignmentFormats="0" applyWidthHeightFormats="1" dataCaption="Values" tag="ad8babf9-cef1-4764-aa82-84c11d9424e3" updatedVersion="6" minRefreshableVersion="3" useAutoFormatting="1" itemPrintTitles="1" createdVersion="6" indent="0" outline="1" outlineData="1" multipleFieldFilters="0">
  <location ref="B4:C13"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Sum of Distance" fld="1" baseField="0" baseItem="0"/>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urkeys]"/>
        <x15:activeTabTopLevelEntity name="[Migr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0FEAF6-CE0B-46F8-9A9B-43356B98A957}" name="PivotTable3" cacheId="2" applyNumberFormats="0" applyBorderFormats="0" applyFontFormats="0" applyPatternFormats="0" applyAlignmentFormats="0" applyWidthHeightFormats="1" dataCaption="Values" tag="ac817c54-ee3d-43a0-811e-ae4daa39bd57" updatedVersion="6" minRefreshableVersion="3" useAutoFormatting="1" itemPrintTitles="1" createdVersion="6" indent="0" outline="1" outlineData="1" multipleFieldFilters="0">
  <location ref="B4:C12"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Distance" fld="1" baseField="0" baseItem="0"/>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urkeys]"/>
        <x15:activeTabTopLevelEntity name="[Migr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4271AA-0DD2-4874-8484-95E0BFFC4218}" name="PivotTable4" cacheId="3" applyNumberFormats="0" applyBorderFormats="0" applyFontFormats="0" applyPatternFormats="0" applyAlignmentFormats="0" applyWidthHeightFormats="1" dataCaption="Values" tag="115847d4-00bc-4b51-b955-1f78bc7db412" updatedVersion="6" minRefreshableVersion="3" useAutoFormatting="1" itemPrintTitles="1" createdVersion="6" indent="0" outline="1" outlineData="1" multipleFieldFilters="0">
  <location ref="B4:C13"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Sum of Distance" fld="1" baseField="0" baseItem="0"/>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urkeys]"/>
        <x15:activeTabTopLevelEntity name="[Migrat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g" xr10:uid="{771C7DF4-5C0B-4163-BFCC-F4F0E932391E}" sourceName="[Turkeys].[Tag]">
  <pivotTables>
    <pivotTable tabId="21" name="Migration Pivot"/>
  </pivotTables>
  <data>
    <olap pivotCacheId="403083979">
      <levels count="2">
        <level uniqueName="[Turkeys].[Tag].[(All)]" sourceCaption="(All)" count="0"/>
        <level uniqueName="[Turkeys].[Tag].[Tag]" sourceCaption="Tag" count="8">
          <ranges>
            <range startItem="0">
              <i n="[Turkeys].[Tag].&amp;[B11978]" c="B11978"/>
              <i n="[Turkeys].[Tag].&amp;[B11980]" c="B11980"/>
              <i n="[Turkeys].[Tag].&amp;[B17867]" c="B17867"/>
              <i n="[Turkeys].[Tag].&amp;[B25456]" c="B25456"/>
              <i n="[Turkeys].[Tag].&amp;[B45664]" c="B45664"/>
              <i n="[Turkeys].[Tag].&amp;[B45665]" c="B45665"/>
              <i n="[Turkeys].[Tag].&amp;[B45666]" c="B45666"/>
              <i n="[Turkeys].[Tag].&amp;[B45667]" c="B45667"/>
            </range>
          </ranges>
        </level>
      </levels>
      <selections count="1">
        <selection n="[Turkeys].[Tag].&amp;[B4566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ag" xr10:uid="{5C168178-B799-4DCF-A33D-F5C5598094EB}" cache="Slicer_Tag" caption="Tag" columnCount="4" level="1" rowHeight="241300"/>
</slicers>
</file>

<file path=xl/theme/theme1.xml><?xml version="1.0" encoding="utf-8"?>
<a:theme xmlns:a="http://schemas.openxmlformats.org/drawingml/2006/main" name="Retrospect">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trospect">
      <a:fillStyleLst>
        <a:solidFill>
          <a:schemeClr val="phClr"/>
        </a:solidFill>
        <a:gradFill rotWithShape="1">
          <a:gsLst>
            <a:gs pos="0">
              <a:schemeClr val="phClr">
                <a:tint val="65000"/>
                <a:shade val="92000"/>
                <a:satMod val="130000"/>
              </a:schemeClr>
            </a:gs>
            <a:gs pos="45000">
              <a:schemeClr val="phClr">
                <a:tint val="60000"/>
                <a:shade val="99000"/>
                <a:satMod val="120000"/>
              </a:schemeClr>
            </a:gs>
            <a:gs pos="100000">
              <a:schemeClr val="phClr">
                <a:tint val="55000"/>
                <a:satMod val="140000"/>
              </a:schemeClr>
            </a:gs>
          </a:gsLst>
          <a:path path="circle">
            <a:fillToRect l="100000" t="100000" r="100000" b="100000"/>
          </a:path>
        </a:gradFill>
        <a:gradFill rotWithShape="1">
          <a:gsLst>
            <a:gs pos="0">
              <a:schemeClr val="phClr">
                <a:shade val="85000"/>
                <a:satMod val="130000"/>
              </a:schemeClr>
            </a:gs>
            <a:gs pos="34000">
              <a:schemeClr val="phClr">
                <a:shade val="87000"/>
                <a:satMod val="125000"/>
              </a:schemeClr>
            </a:gs>
            <a:gs pos="70000">
              <a:schemeClr val="phClr">
                <a:tint val="100000"/>
                <a:shade val="90000"/>
                <a:satMod val="130000"/>
              </a:schemeClr>
            </a:gs>
            <a:gs pos="100000">
              <a:schemeClr val="phClr">
                <a:tint val="100000"/>
                <a:shade val="100000"/>
                <a:satMod val="110000"/>
              </a:schemeClr>
            </a:gs>
          </a:gsLst>
          <a:path path="circle">
            <a:fillToRect l="100000" t="100000" r="100000" b="100000"/>
          </a:path>
        </a:gradFill>
      </a:fillStyleLst>
      <a:lnStyleLst>
        <a:ln w="12700"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6A9F8-36CA-4FC0-ACEB-4D5BCE12823A}">
  <dimension ref="A1:B5"/>
  <sheetViews>
    <sheetView tabSelected="1" zoomScale="120" zoomScaleNormal="120" workbookViewId="0">
      <selection activeCell="B3" sqref="B3"/>
    </sheetView>
  </sheetViews>
  <sheetFormatPr defaultRowHeight="15" x14ac:dyDescent="0.25"/>
  <cols>
    <col min="2" max="2" width="44.5703125" customWidth="1"/>
  </cols>
  <sheetData>
    <row r="1" spans="1:2" ht="35.25" x14ac:dyDescent="0.5">
      <c r="A1" s="11" t="s">
        <v>38</v>
      </c>
    </row>
    <row r="3" spans="1:2" x14ac:dyDescent="0.25">
      <c r="A3" s="5" t="s">
        <v>0</v>
      </c>
      <c r="B3" s="6" t="s">
        <v>50</v>
      </c>
    </row>
    <row r="4" spans="1:2" x14ac:dyDescent="0.25">
      <c r="A4" s="5" t="s">
        <v>1</v>
      </c>
      <c r="B4" s="7">
        <v>45627</v>
      </c>
    </row>
    <row r="5" spans="1:2" x14ac:dyDescent="0.25">
      <c r="A5" s="5" t="s">
        <v>2</v>
      </c>
      <c r="B5" s="6" t="s">
        <v>39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0D9F0-485F-4ADE-8BE8-8E03578ECBE0}">
  <dimension ref="B1:B2"/>
  <sheetViews>
    <sheetView zoomScale="120" zoomScaleNormal="120" workbookViewId="0"/>
  </sheetViews>
  <sheetFormatPr defaultRowHeight="15" x14ac:dyDescent="0.25"/>
  <cols>
    <col min="1" max="1" width="1.85546875" customWidth="1"/>
    <col min="2" max="6" width="8.7109375" customWidth="1"/>
    <col min="7" max="7" width="9.140625" customWidth="1"/>
    <col min="9" max="9" width="3" customWidth="1"/>
  </cols>
  <sheetData>
    <row r="1" spans="2:2" ht="35.25" x14ac:dyDescent="0.5">
      <c r="B1" s="11" t="s">
        <v>38</v>
      </c>
    </row>
    <row r="2" spans="2:2" ht="18.75" x14ac:dyDescent="0.3">
      <c r="B2" s="8" t="s">
        <v>43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C5CDC-6B41-4EBA-A8BF-0585579FA1BB}">
  <dimension ref="B1:F369"/>
  <sheetViews>
    <sheetView zoomScale="120" zoomScaleNormal="120" workbookViewId="0"/>
  </sheetViews>
  <sheetFormatPr defaultRowHeight="15" x14ac:dyDescent="0.25"/>
  <cols>
    <col min="1" max="1" width="1.85546875" customWidth="1"/>
    <col min="2" max="2" width="13.140625" bestFit="1" customWidth="1"/>
    <col min="3" max="3" width="14.28515625" bestFit="1" customWidth="1"/>
    <col min="4" max="4" width="2.28515625" customWidth="1"/>
    <col min="5" max="5" width="11.85546875" customWidth="1"/>
    <col min="6" max="6" width="13.28515625" customWidth="1"/>
    <col min="7" max="7" width="17.28515625" customWidth="1"/>
  </cols>
  <sheetData>
    <row r="1" spans="2:6" ht="35.25" x14ac:dyDescent="0.5">
      <c r="B1" s="11" t="s">
        <v>38</v>
      </c>
    </row>
    <row r="2" spans="2:6" ht="18.75" x14ac:dyDescent="0.3">
      <c r="B2" s="8" t="s">
        <v>46</v>
      </c>
    </row>
    <row r="4" spans="2:6" x14ac:dyDescent="0.25">
      <c r="B4" s="14" t="s">
        <v>53</v>
      </c>
      <c r="C4" t="s">
        <v>52</v>
      </c>
      <c r="E4" s="4" t="str">
        <f t="shared" ref="E4:E16" si="0">B4</f>
        <v>Row Labels</v>
      </c>
      <c r="F4" s="4" t="str">
        <f t="shared" ref="F4:F16" si="1">C4</f>
        <v>Miles Traveled</v>
      </c>
    </row>
    <row r="5" spans="2:6" x14ac:dyDescent="0.25">
      <c r="B5" s="15">
        <v>45199</v>
      </c>
      <c r="C5" s="4">
        <v>977.13800000000003</v>
      </c>
      <c r="E5" s="12">
        <f t="shared" si="0"/>
        <v>45199</v>
      </c>
      <c r="F5" s="17">
        <f t="shared" si="1"/>
        <v>977.13800000000003</v>
      </c>
    </row>
    <row r="6" spans="2:6" x14ac:dyDescent="0.25">
      <c r="B6" s="15">
        <v>45230</v>
      </c>
      <c r="C6" s="4">
        <v>2622.9290000000001</v>
      </c>
      <c r="E6" s="12">
        <f t="shared" si="0"/>
        <v>45230</v>
      </c>
      <c r="F6" s="17">
        <f t="shared" si="1"/>
        <v>2622.9290000000001</v>
      </c>
    </row>
    <row r="7" spans="2:6" x14ac:dyDescent="0.25">
      <c r="B7" s="15">
        <v>45260</v>
      </c>
      <c r="C7" s="4">
        <v>1865.443</v>
      </c>
      <c r="E7" s="12">
        <f t="shared" si="0"/>
        <v>45260</v>
      </c>
      <c r="F7" s="17">
        <f t="shared" si="1"/>
        <v>1865.443</v>
      </c>
    </row>
    <row r="8" spans="2:6" x14ac:dyDescent="0.25">
      <c r="B8" s="15">
        <v>45291</v>
      </c>
      <c r="C8" s="4">
        <v>1005.0940000000001</v>
      </c>
      <c r="E8" s="12">
        <f t="shared" si="0"/>
        <v>45291</v>
      </c>
      <c r="F8" s="17">
        <f t="shared" si="1"/>
        <v>1005.0940000000001</v>
      </c>
    </row>
    <row r="9" spans="2:6" x14ac:dyDescent="0.25">
      <c r="B9" s="15">
        <v>45322</v>
      </c>
      <c r="C9" s="4">
        <v>811.84799999999996</v>
      </c>
      <c r="E9" s="12">
        <f t="shared" si="0"/>
        <v>45322</v>
      </c>
      <c r="F9" s="17">
        <f t="shared" si="1"/>
        <v>811.84799999999996</v>
      </c>
    </row>
    <row r="10" spans="2:6" x14ac:dyDescent="0.25">
      <c r="B10" s="15">
        <v>45351</v>
      </c>
      <c r="C10" s="4">
        <v>404.29500000000002</v>
      </c>
      <c r="E10" s="12">
        <f t="shared" si="0"/>
        <v>45351</v>
      </c>
      <c r="F10" s="17">
        <f t="shared" si="1"/>
        <v>404.29500000000002</v>
      </c>
    </row>
    <row r="11" spans="2:6" x14ac:dyDescent="0.25">
      <c r="B11" s="15">
        <v>45382</v>
      </c>
      <c r="C11" s="4">
        <v>1185.8109999999999</v>
      </c>
      <c r="E11" s="12">
        <f t="shared" si="0"/>
        <v>45382</v>
      </c>
      <c r="F11" s="17">
        <f t="shared" si="1"/>
        <v>1185.8109999999999</v>
      </c>
    </row>
    <row r="12" spans="2:6" x14ac:dyDescent="0.25">
      <c r="B12" s="15">
        <v>45412</v>
      </c>
      <c r="C12" s="4">
        <v>4198.3879999999999</v>
      </c>
      <c r="E12" s="12">
        <f t="shared" si="0"/>
        <v>45412</v>
      </c>
      <c r="F12" s="17">
        <f t="shared" si="1"/>
        <v>4198.3879999999999</v>
      </c>
    </row>
    <row r="13" spans="2:6" x14ac:dyDescent="0.25">
      <c r="B13" s="15">
        <v>45443</v>
      </c>
      <c r="C13" s="4">
        <v>237.66200000000001</v>
      </c>
      <c r="E13" s="12">
        <f t="shared" si="0"/>
        <v>45443</v>
      </c>
      <c r="F13" s="17">
        <f t="shared" si="1"/>
        <v>237.66200000000001</v>
      </c>
    </row>
    <row r="14" spans="2:6" x14ac:dyDescent="0.25">
      <c r="B14" s="15">
        <v>45473</v>
      </c>
      <c r="C14" s="4">
        <v>188.364</v>
      </c>
      <c r="E14" s="12">
        <f t="shared" si="0"/>
        <v>45473</v>
      </c>
      <c r="F14" s="17">
        <f t="shared" si="1"/>
        <v>188.364</v>
      </c>
    </row>
    <row r="15" spans="2:6" x14ac:dyDescent="0.25">
      <c r="B15" s="15">
        <v>45504</v>
      </c>
      <c r="C15" s="4">
        <v>220.173</v>
      </c>
      <c r="E15" s="12">
        <f t="shared" si="0"/>
        <v>45504</v>
      </c>
      <c r="F15" s="17">
        <f t="shared" si="1"/>
        <v>220.173</v>
      </c>
    </row>
    <row r="16" spans="2:6" x14ac:dyDescent="0.25">
      <c r="B16" s="15">
        <v>45535</v>
      </c>
      <c r="C16" s="4">
        <v>171.667</v>
      </c>
      <c r="E16" s="12">
        <f t="shared" si="0"/>
        <v>45535</v>
      </c>
      <c r="F16" s="17">
        <f t="shared" si="1"/>
        <v>171.667</v>
      </c>
    </row>
    <row r="17" spans="2:6" x14ac:dyDescent="0.25">
      <c r="B17" s="16" t="s">
        <v>54</v>
      </c>
      <c r="C17" s="4">
        <v>13888.812</v>
      </c>
    </row>
    <row r="18" spans="2:6" x14ac:dyDescent="0.25">
      <c r="E18" s="12"/>
      <c r="F18" s="13"/>
    </row>
    <row r="19" spans="2:6" x14ac:dyDescent="0.25">
      <c r="E19" s="12"/>
      <c r="F19" s="13"/>
    </row>
    <row r="20" spans="2:6" x14ac:dyDescent="0.25">
      <c r="E20" s="12"/>
      <c r="F20" s="13"/>
    </row>
    <row r="21" spans="2:6" x14ac:dyDescent="0.25">
      <c r="E21" s="12"/>
      <c r="F21" s="13"/>
    </row>
    <row r="22" spans="2:6" x14ac:dyDescent="0.25">
      <c r="E22" s="12"/>
      <c r="F22" s="13"/>
    </row>
    <row r="23" spans="2:6" x14ac:dyDescent="0.25">
      <c r="E23" s="12"/>
      <c r="F23" s="13"/>
    </row>
    <row r="24" spans="2:6" x14ac:dyDescent="0.25">
      <c r="E24" s="12"/>
      <c r="F24" s="13"/>
    </row>
    <row r="25" spans="2:6" x14ac:dyDescent="0.25">
      <c r="E25" s="12"/>
      <c r="F25" s="13"/>
    </row>
    <row r="26" spans="2:6" x14ac:dyDescent="0.25">
      <c r="E26" s="12"/>
      <c r="F26" s="13"/>
    </row>
    <row r="27" spans="2:6" x14ac:dyDescent="0.25">
      <c r="E27" s="12"/>
      <c r="F27" s="13"/>
    </row>
    <row r="28" spans="2:6" x14ac:dyDescent="0.25">
      <c r="E28" s="12"/>
      <c r="F28" s="13"/>
    </row>
    <row r="29" spans="2:6" x14ac:dyDescent="0.25">
      <c r="E29" s="12"/>
      <c r="F29" s="13"/>
    </row>
    <row r="30" spans="2:6" x14ac:dyDescent="0.25">
      <c r="E30" s="12"/>
      <c r="F30" s="13"/>
    </row>
    <row r="31" spans="2:6" x14ac:dyDescent="0.25">
      <c r="E31" s="12"/>
      <c r="F31" s="13"/>
    </row>
    <row r="32" spans="2:6" x14ac:dyDescent="0.25">
      <c r="E32" s="12"/>
      <c r="F32" s="13"/>
    </row>
    <row r="33" spans="5:6" x14ac:dyDescent="0.25">
      <c r="E33" s="12"/>
      <c r="F33" s="13"/>
    </row>
    <row r="34" spans="5:6" x14ac:dyDescent="0.25">
      <c r="E34" s="12"/>
      <c r="F34" s="13"/>
    </row>
    <row r="35" spans="5:6" x14ac:dyDescent="0.25">
      <c r="E35" s="12"/>
      <c r="F35" s="13"/>
    </row>
    <row r="36" spans="5:6" x14ac:dyDescent="0.25">
      <c r="E36" s="12"/>
      <c r="F36" s="13"/>
    </row>
    <row r="37" spans="5:6" x14ac:dyDescent="0.25">
      <c r="E37" s="12"/>
      <c r="F37" s="13"/>
    </row>
    <row r="38" spans="5:6" x14ac:dyDescent="0.25">
      <c r="E38" s="12"/>
      <c r="F38" s="13"/>
    </row>
    <row r="39" spans="5:6" x14ac:dyDescent="0.25">
      <c r="E39" s="12"/>
      <c r="F39" s="13"/>
    </row>
    <row r="40" spans="5:6" x14ac:dyDescent="0.25">
      <c r="E40" s="12"/>
      <c r="F40" s="13"/>
    </row>
    <row r="41" spans="5:6" x14ac:dyDescent="0.25">
      <c r="E41" s="12"/>
      <c r="F41" s="13"/>
    </row>
    <row r="42" spans="5:6" x14ac:dyDescent="0.25">
      <c r="E42" s="12"/>
      <c r="F42" s="13"/>
    </row>
    <row r="43" spans="5:6" x14ac:dyDescent="0.25">
      <c r="E43" s="12"/>
      <c r="F43" s="13"/>
    </row>
    <row r="44" spans="5:6" x14ac:dyDescent="0.25">
      <c r="E44" s="12"/>
      <c r="F44" s="13"/>
    </row>
    <row r="45" spans="5:6" x14ac:dyDescent="0.25">
      <c r="E45" s="12"/>
      <c r="F45" s="13"/>
    </row>
    <row r="46" spans="5:6" x14ac:dyDescent="0.25">
      <c r="E46" s="12"/>
      <c r="F46" s="13"/>
    </row>
    <row r="47" spans="5:6" x14ac:dyDescent="0.25">
      <c r="E47" s="12"/>
      <c r="F47" s="13"/>
    </row>
    <row r="48" spans="5:6" x14ac:dyDescent="0.25">
      <c r="E48" s="12"/>
      <c r="F48" s="13"/>
    </row>
    <row r="49" spans="5:6" x14ac:dyDescent="0.25">
      <c r="E49" s="12"/>
      <c r="F49" s="13"/>
    </row>
    <row r="50" spans="5:6" x14ac:dyDescent="0.25">
      <c r="E50" s="12"/>
      <c r="F50" s="13"/>
    </row>
    <row r="51" spans="5:6" x14ac:dyDescent="0.25">
      <c r="E51" s="12"/>
      <c r="F51" s="13"/>
    </row>
    <row r="52" spans="5:6" x14ac:dyDescent="0.25">
      <c r="E52" s="12"/>
      <c r="F52" s="13"/>
    </row>
    <row r="53" spans="5:6" x14ac:dyDescent="0.25">
      <c r="E53" s="12"/>
      <c r="F53" s="13"/>
    </row>
    <row r="54" spans="5:6" x14ac:dyDescent="0.25">
      <c r="E54" s="12"/>
      <c r="F54" s="13"/>
    </row>
    <row r="55" spans="5:6" x14ac:dyDescent="0.25">
      <c r="E55" s="12"/>
      <c r="F55" s="13"/>
    </row>
    <row r="56" spans="5:6" x14ac:dyDescent="0.25">
      <c r="E56" s="12"/>
      <c r="F56" s="13"/>
    </row>
    <row r="57" spans="5:6" x14ac:dyDescent="0.25">
      <c r="E57" s="12"/>
      <c r="F57" s="13"/>
    </row>
    <row r="58" spans="5:6" x14ac:dyDescent="0.25">
      <c r="E58" s="12"/>
      <c r="F58" s="13"/>
    </row>
    <row r="59" spans="5:6" x14ac:dyDescent="0.25">
      <c r="E59" s="12"/>
      <c r="F59" s="13"/>
    </row>
    <row r="60" spans="5:6" x14ac:dyDescent="0.25">
      <c r="E60" s="12"/>
      <c r="F60" s="13"/>
    </row>
    <row r="61" spans="5:6" x14ac:dyDescent="0.25">
      <c r="E61" s="12"/>
      <c r="F61" s="13"/>
    </row>
    <row r="62" spans="5:6" x14ac:dyDescent="0.25">
      <c r="E62" s="12"/>
      <c r="F62" s="13"/>
    </row>
    <row r="63" spans="5:6" x14ac:dyDescent="0.25">
      <c r="E63" s="12"/>
      <c r="F63" s="13"/>
    </row>
    <row r="64" spans="5:6" x14ac:dyDescent="0.25">
      <c r="E64" s="12"/>
      <c r="F64" s="13"/>
    </row>
    <row r="65" spans="5:6" x14ac:dyDescent="0.25">
      <c r="E65" s="12"/>
      <c r="F65" s="13"/>
    </row>
    <row r="66" spans="5:6" x14ac:dyDescent="0.25">
      <c r="E66" s="12"/>
      <c r="F66" s="13"/>
    </row>
    <row r="67" spans="5:6" x14ac:dyDescent="0.25">
      <c r="E67" s="12"/>
      <c r="F67" s="13"/>
    </row>
    <row r="68" spans="5:6" x14ac:dyDescent="0.25">
      <c r="E68" s="12"/>
      <c r="F68" s="13"/>
    </row>
    <row r="69" spans="5:6" x14ac:dyDescent="0.25">
      <c r="E69" s="12"/>
      <c r="F69" s="13"/>
    </row>
    <row r="70" spans="5:6" x14ac:dyDescent="0.25">
      <c r="E70" s="12"/>
      <c r="F70" s="13"/>
    </row>
    <row r="71" spans="5:6" x14ac:dyDescent="0.25">
      <c r="E71" s="12"/>
      <c r="F71" s="13"/>
    </row>
    <row r="72" spans="5:6" x14ac:dyDescent="0.25">
      <c r="E72" s="12"/>
      <c r="F72" s="13"/>
    </row>
    <row r="73" spans="5:6" x14ac:dyDescent="0.25">
      <c r="E73" s="12"/>
      <c r="F73" s="13"/>
    </row>
    <row r="74" spans="5:6" x14ac:dyDescent="0.25">
      <c r="E74" s="12"/>
      <c r="F74" s="13"/>
    </row>
    <row r="75" spans="5:6" x14ac:dyDescent="0.25">
      <c r="E75" s="12"/>
      <c r="F75" s="13"/>
    </row>
    <row r="76" spans="5:6" x14ac:dyDescent="0.25">
      <c r="E76" s="12"/>
      <c r="F76" s="13"/>
    </row>
    <row r="77" spans="5:6" x14ac:dyDescent="0.25">
      <c r="E77" s="12"/>
      <c r="F77" s="13"/>
    </row>
    <row r="78" spans="5:6" x14ac:dyDescent="0.25">
      <c r="E78" s="12"/>
      <c r="F78" s="13"/>
    </row>
    <row r="79" spans="5:6" x14ac:dyDescent="0.25">
      <c r="E79" s="12"/>
      <c r="F79" s="13"/>
    </row>
    <row r="80" spans="5:6" x14ac:dyDescent="0.25">
      <c r="E80" s="12"/>
      <c r="F80" s="13"/>
    </row>
    <row r="81" spans="5:6" x14ac:dyDescent="0.25">
      <c r="E81" s="12"/>
      <c r="F81" s="13"/>
    </row>
    <row r="82" spans="5:6" x14ac:dyDescent="0.25">
      <c r="E82" s="12"/>
      <c r="F82" s="13"/>
    </row>
    <row r="83" spans="5:6" x14ac:dyDescent="0.25">
      <c r="E83" s="12"/>
      <c r="F83" s="13"/>
    </row>
    <row r="84" spans="5:6" x14ac:dyDescent="0.25">
      <c r="E84" s="12"/>
      <c r="F84" s="13"/>
    </row>
    <row r="85" spans="5:6" x14ac:dyDescent="0.25">
      <c r="E85" s="12"/>
      <c r="F85" s="13"/>
    </row>
    <row r="86" spans="5:6" x14ac:dyDescent="0.25">
      <c r="E86" s="12"/>
      <c r="F86" s="13"/>
    </row>
    <row r="87" spans="5:6" x14ac:dyDescent="0.25">
      <c r="E87" s="12"/>
      <c r="F87" s="13"/>
    </row>
    <row r="88" spans="5:6" x14ac:dyDescent="0.25">
      <c r="E88" s="12"/>
      <c r="F88" s="13"/>
    </row>
    <row r="89" spans="5:6" x14ac:dyDescent="0.25">
      <c r="E89" s="12"/>
      <c r="F89" s="13"/>
    </row>
    <row r="90" spans="5:6" x14ac:dyDescent="0.25">
      <c r="E90" s="12"/>
      <c r="F90" s="13"/>
    </row>
    <row r="91" spans="5:6" x14ac:dyDescent="0.25">
      <c r="E91" s="12"/>
      <c r="F91" s="13"/>
    </row>
    <row r="92" spans="5:6" x14ac:dyDescent="0.25">
      <c r="E92" s="12"/>
      <c r="F92" s="13"/>
    </row>
    <row r="93" spans="5:6" x14ac:dyDescent="0.25">
      <c r="E93" s="12"/>
      <c r="F93" s="13"/>
    </row>
    <row r="94" spans="5:6" x14ac:dyDescent="0.25">
      <c r="E94" s="12"/>
      <c r="F94" s="13"/>
    </row>
    <row r="95" spans="5:6" x14ac:dyDescent="0.25">
      <c r="E95" s="12"/>
      <c r="F95" s="13"/>
    </row>
    <row r="96" spans="5:6" x14ac:dyDescent="0.25">
      <c r="E96" s="12"/>
      <c r="F96" s="13"/>
    </row>
    <row r="97" spans="5:6" x14ac:dyDescent="0.25">
      <c r="E97" s="12"/>
      <c r="F97" s="13"/>
    </row>
    <row r="98" spans="5:6" x14ac:dyDescent="0.25">
      <c r="E98" s="12"/>
      <c r="F98" s="13"/>
    </row>
    <row r="99" spans="5:6" x14ac:dyDescent="0.25">
      <c r="E99" s="12"/>
      <c r="F99" s="13"/>
    </row>
    <row r="100" spans="5:6" x14ac:dyDescent="0.25">
      <c r="E100" s="12"/>
      <c r="F100" s="13"/>
    </row>
    <row r="101" spans="5:6" x14ac:dyDescent="0.25">
      <c r="E101" s="12"/>
      <c r="F101" s="13"/>
    </row>
    <row r="102" spans="5:6" x14ac:dyDescent="0.25">
      <c r="E102" s="12"/>
      <c r="F102" s="13"/>
    </row>
    <row r="103" spans="5:6" x14ac:dyDescent="0.25">
      <c r="E103" s="12"/>
      <c r="F103" s="13"/>
    </row>
    <row r="104" spans="5:6" x14ac:dyDescent="0.25">
      <c r="E104" s="12"/>
      <c r="F104" s="13"/>
    </row>
    <row r="105" spans="5:6" x14ac:dyDescent="0.25">
      <c r="E105" s="12"/>
      <c r="F105" s="13"/>
    </row>
    <row r="106" spans="5:6" x14ac:dyDescent="0.25">
      <c r="E106" s="12"/>
      <c r="F106" s="13"/>
    </row>
    <row r="107" spans="5:6" x14ac:dyDescent="0.25">
      <c r="E107" s="12"/>
      <c r="F107" s="13"/>
    </row>
    <row r="108" spans="5:6" x14ac:dyDescent="0.25">
      <c r="E108" s="12"/>
      <c r="F108" s="13"/>
    </row>
    <row r="109" spans="5:6" x14ac:dyDescent="0.25">
      <c r="E109" s="12"/>
      <c r="F109" s="13"/>
    </row>
    <row r="110" spans="5:6" x14ac:dyDescent="0.25">
      <c r="E110" s="12"/>
      <c r="F110" s="13"/>
    </row>
    <row r="111" spans="5:6" x14ac:dyDescent="0.25">
      <c r="E111" s="12"/>
      <c r="F111" s="13"/>
    </row>
    <row r="112" spans="5:6" x14ac:dyDescent="0.25">
      <c r="E112" s="12"/>
      <c r="F112" s="13"/>
    </row>
    <row r="113" spans="5:6" x14ac:dyDescent="0.25">
      <c r="E113" s="12"/>
      <c r="F113" s="13"/>
    </row>
    <row r="114" spans="5:6" x14ac:dyDescent="0.25">
      <c r="E114" s="12"/>
      <c r="F114" s="13"/>
    </row>
    <row r="115" spans="5:6" x14ac:dyDescent="0.25">
      <c r="E115" s="12"/>
      <c r="F115" s="13"/>
    </row>
    <row r="116" spans="5:6" x14ac:dyDescent="0.25">
      <c r="E116" s="12"/>
      <c r="F116" s="13"/>
    </row>
    <row r="117" spans="5:6" x14ac:dyDescent="0.25">
      <c r="E117" s="12"/>
      <c r="F117" s="13"/>
    </row>
    <row r="118" spans="5:6" x14ac:dyDescent="0.25">
      <c r="E118" s="12"/>
      <c r="F118" s="13"/>
    </row>
    <row r="119" spans="5:6" x14ac:dyDescent="0.25">
      <c r="E119" s="12"/>
      <c r="F119" s="13"/>
    </row>
    <row r="120" spans="5:6" x14ac:dyDescent="0.25">
      <c r="E120" s="12"/>
      <c r="F120" s="13"/>
    </row>
    <row r="121" spans="5:6" x14ac:dyDescent="0.25">
      <c r="E121" s="12"/>
      <c r="F121" s="13"/>
    </row>
    <row r="122" spans="5:6" x14ac:dyDescent="0.25">
      <c r="E122" s="12"/>
      <c r="F122" s="13"/>
    </row>
    <row r="123" spans="5:6" x14ac:dyDescent="0.25">
      <c r="E123" s="12"/>
      <c r="F123" s="13"/>
    </row>
    <row r="124" spans="5:6" x14ac:dyDescent="0.25">
      <c r="E124" s="12"/>
      <c r="F124" s="13"/>
    </row>
    <row r="125" spans="5:6" x14ac:dyDescent="0.25">
      <c r="E125" s="12"/>
      <c r="F125" s="13"/>
    </row>
    <row r="126" spans="5:6" x14ac:dyDescent="0.25">
      <c r="E126" s="12"/>
      <c r="F126" s="13"/>
    </row>
    <row r="127" spans="5:6" x14ac:dyDescent="0.25">
      <c r="E127" s="12"/>
      <c r="F127" s="13"/>
    </row>
    <row r="128" spans="5:6" x14ac:dyDescent="0.25">
      <c r="E128" s="12"/>
      <c r="F128" s="13"/>
    </row>
    <row r="129" spans="5:6" x14ac:dyDescent="0.25">
      <c r="E129" s="12"/>
      <c r="F129" s="13"/>
    </row>
    <row r="130" spans="5:6" x14ac:dyDescent="0.25">
      <c r="E130" s="12"/>
      <c r="F130" s="13"/>
    </row>
    <row r="131" spans="5:6" x14ac:dyDescent="0.25">
      <c r="E131" s="12"/>
      <c r="F131" s="13"/>
    </row>
    <row r="132" spans="5:6" x14ac:dyDescent="0.25">
      <c r="E132" s="12"/>
      <c r="F132" s="13"/>
    </row>
    <row r="133" spans="5:6" x14ac:dyDescent="0.25">
      <c r="E133" s="12"/>
      <c r="F133" s="13"/>
    </row>
    <row r="134" spans="5:6" x14ac:dyDescent="0.25">
      <c r="E134" s="12"/>
      <c r="F134" s="13"/>
    </row>
    <row r="135" spans="5:6" x14ac:dyDescent="0.25">
      <c r="E135" s="12"/>
      <c r="F135" s="13"/>
    </row>
    <row r="136" spans="5:6" x14ac:dyDescent="0.25">
      <c r="E136" s="12"/>
      <c r="F136" s="13"/>
    </row>
    <row r="137" spans="5:6" x14ac:dyDescent="0.25">
      <c r="E137" s="12"/>
      <c r="F137" s="13"/>
    </row>
    <row r="138" spans="5:6" x14ac:dyDescent="0.25">
      <c r="E138" s="12"/>
      <c r="F138" s="13"/>
    </row>
    <row r="139" spans="5:6" x14ac:dyDescent="0.25">
      <c r="E139" s="12"/>
      <c r="F139" s="13"/>
    </row>
    <row r="140" spans="5:6" x14ac:dyDescent="0.25">
      <c r="E140" s="12"/>
      <c r="F140" s="13"/>
    </row>
    <row r="141" spans="5:6" x14ac:dyDescent="0.25">
      <c r="E141" s="12"/>
      <c r="F141" s="13"/>
    </row>
    <row r="142" spans="5:6" x14ac:dyDescent="0.25">
      <c r="E142" s="12"/>
      <c r="F142" s="13"/>
    </row>
    <row r="143" spans="5:6" x14ac:dyDescent="0.25">
      <c r="E143" s="12"/>
      <c r="F143" s="13"/>
    </row>
    <row r="144" spans="5:6" x14ac:dyDescent="0.25">
      <c r="E144" s="12"/>
      <c r="F144" s="13"/>
    </row>
    <row r="145" spans="5:6" x14ac:dyDescent="0.25">
      <c r="E145" s="12"/>
      <c r="F145" s="13"/>
    </row>
    <row r="146" spans="5:6" x14ac:dyDescent="0.25">
      <c r="E146" s="12"/>
      <c r="F146" s="13"/>
    </row>
    <row r="147" spans="5:6" x14ac:dyDescent="0.25">
      <c r="E147" s="12"/>
      <c r="F147" s="13"/>
    </row>
    <row r="148" spans="5:6" x14ac:dyDescent="0.25">
      <c r="E148" s="12"/>
      <c r="F148" s="13"/>
    </row>
    <row r="149" spans="5:6" x14ac:dyDescent="0.25">
      <c r="E149" s="12"/>
      <c r="F149" s="13"/>
    </row>
    <row r="150" spans="5:6" x14ac:dyDescent="0.25">
      <c r="E150" s="12"/>
      <c r="F150" s="13"/>
    </row>
    <row r="151" spans="5:6" x14ac:dyDescent="0.25">
      <c r="E151" s="12"/>
      <c r="F151" s="13"/>
    </row>
    <row r="152" spans="5:6" x14ac:dyDescent="0.25">
      <c r="E152" s="12"/>
      <c r="F152" s="13"/>
    </row>
    <row r="153" spans="5:6" x14ac:dyDescent="0.25">
      <c r="E153" s="12"/>
      <c r="F153" s="13"/>
    </row>
    <row r="154" spans="5:6" x14ac:dyDescent="0.25">
      <c r="E154" s="12"/>
      <c r="F154" s="13"/>
    </row>
    <row r="155" spans="5:6" x14ac:dyDescent="0.25">
      <c r="E155" s="12"/>
      <c r="F155" s="13"/>
    </row>
    <row r="156" spans="5:6" x14ac:dyDescent="0.25">
      <c r="E156" s="12"/>
      <c r="F156" s="13"/>
    </row>
    <row r="157" spans="5:6" x14ac:dyDescent="0.25">
      <c r="E157" s="12"/>
      <c r="F157" s="13"/>
    </row>
    <row r="158" spans="5:6" x14ac:dyDescent="0.25">
      <c r="E158" s="12"/>
      <c r="F158" s="13"/>
    </row>
    <row r="159" spans="5:6" x14ac:dyDescent="0.25">
      <c r="E159" s="12"/>
      <c r="F159" s="13"/>
    </row>
    <row r="160" spans="5:6" x14ac:dyDescent="0.25">
      <c r="E160" s="12"/>
      <c r="F160" s="13"/>
    </row>
    <row r="161" spans="5:6" x14ac:dyDescent="0.25">
      <c r="E161" s="12"/>
      <c r="F161" s="13"/>
    </row>
    <row r="162" spans="5:6" x14ac:dyDescent="0.25">
      <c r="E162" s="12"/>
      <c r="F162" s="13"/>
    </row>
    <row r="163" spans="5:6" x14ac:dyDescent="0.25">
      <c r="E163" s="12"/>
      <c r="F163" s="13"/>
    </row>
    <row r="164" spans="5:6" x14ac:dyDescent="0.25">
      <c r="E164" s="12"/>
      <c r="F164" s="13"/>
    </row>
    <row r="165" spans="5:6" x14ac:dyDescent="0.25">
      <c r="E165" s="12"/>
      <c r="F165" s="13"/>
    </row>
    <row r="166" spans="5:6" x14ac:dyDescent="0.25">
      <c r="E166" s="12"/>
      <c r="F166" s="13"/>
    </row>
    <row r="167" spans="5:6" x14ac:dyDescent="0.25">
      <c r="E167" s="12"/>
      <c r="F167" s="13"/>
    </row>
    <row r="168" spans="5:6" x14ac:dyDescent="0.25">
      <c r="E168" s="12"/>
      <c r="F168" s="13"/>
    </row>
    <row r="169" spans="5:6" x14ac:dyDescent="0.25">
      <c r="E169" s="12"/>
      <c r="F169" s="13"/>
    </row>
    <row r="170" spans="5:6" x14ac:dyDescent="0.25">
      <c r="E170" s="12"/>
      <c r="F170" s="13"/>
    </row>
    <row r="171" spans="5:6" x14ac:dyDescent="0.25">
      <c r="E171" s="12"/>
      <c r="F171" s="13"/>
    </row>
    <row r="172" spans="5:6" x14ac:dyDescent="0.25">
      <c r="E172" s="12"/>
      <c r="F172" s="13"/>
    </row>
    <row r="173" spans="5:6" x14ac:dyDescent="0.25">
      <c r="E173" s="12"/>
      <c r="F173" s="13"/>
    </row>
    <row r="174" spans="5:6" x14ac:dyDescent="0.25">
      <c r="E174" s="12"/>
      <c r="F174" s="13"/>
    </row>
    <row r="175" spans="5:6" x14ac:dyDescent="0.25">
      <c r="E175" s="12"/>
      <c r="F175" s="13"/>
    </row>
    <row r="176" spans="5:6" x14ac:dyDescent="0.25">
      <c r="E176" s="12"/>
      <c r="F176" s="13"/>
    </row>
    <row r="177" spans="5:6" x14ac:dyDescent="0.25">
      <c r="E177" s="12"/>
      <c r="F177" s="13"/>
    </row>
    <row r="178" spans="5:6" x14ac:dyDescent="0.25">
      <c r="E178" s="12"/>
      <c r="F178" s="13"/>
    </row>
    <row r="179" spans="5:6" x14ac:dyDescent="0.25">
      <c r="E179" s="12"/>
      <c r="F179" s="13"/>
    </row>
    <row r="180" spans="5:6" x14ac:dyDescent="0.25">
      <c r="E180" s="12"/>
      <c r="F180" s="13"/>
    </row>
    <row r="181" spans="5:6" x14ac:dyDescent="0.25">
      <c r="E181" s="12"/>
      <c r="F181" s="13"/>
    </row>
    <row r="182" spans="5:6" x14ac:dyDescent="0.25">
      <c r="E182" s="12"/>
      <c r="F182" s="13"/>
    </row>
    <row r="183" spans="5:6" x14ac:dyDescent="0.25">
      <c r="E183" s="12"/>
      <c r="F183" s="13"/>
    </row>
    <row r="184" spans="5:6" x14ac:dyDescent="0.25">
      <c r="E184" s="12"/>
      <c r="F184" s="13"/>
    </row>
    <row r="185" spans="5:6" x14ac:dyDescent="0.25">
      <c r="E185" s="12"/>
      <c r="F185" s="13"/>
    </row>
    <row r="186" spans="5:6" x14ac:dyDescent="0.25">
      <c r="E186" s="12"/>
      <c r="F186" s="13"/>
    </row>
    <row r="187" spans="5:6" x14ac:dyDescent="0.25">
      <c r="E187" s="12"/>
      <c r="F187" s="13"/>
    </row>
    <row r="188" spans="5:6" x14ac:dyDescent="0.25">
      <c r="E188" s="12"/>
      <c r="F188" s="13"/>
    </row>
    <row r="189" spans="5:6" x14ac:dyDescent="0.25">
      <c r="E189" s="12"/>
      <c r="F189" s="13"/>
    </row>
    <row r="190" spans="5:6" x14ac:dyDescent="0.25">
      <c r="E190" s="12"/>
      <c r="F190" s="13"/>
    </row>
    <row r="191" spans="5:6" x14ac:dyDescent="0.25">
      <c r="E191" s="12"/>
      <c r="F191" s="13"/>
    </row>
    <row r="192" spans="5:6" x14ac:dyDescent="0.25">
      <c r="E192" s="12"/>
      <c r="F192" s="13"/>
    </row>
    <row r="193" spans="5:6" x14ac:dyDescent="0.25">
      <c r="E193" s="12"/>
      <c r="F193" s="13"/>
    </row>
    <row r="194" spans="5:6" x14ac:dyDescent="0.25">
      <c r="E194" s="12"/>
      <c r="F194" s="13"/>
    </row>
    <row r="195" spans="5:6" x14ac:dyDescent="0.25">
      <c r="E195" s="12"/>
      <c r="F195" s="13"/>
    </row>
    <row r="196" spans="5:6" x14ac:dyDescent="0.25">
      <c r="E196" s="12"/>
      <c r="F196" s="13"/>
    </row>
    <row r="197" spans="5:6" x14ac:dyDescent="0.25">
      <c r="E197" s="12"/>
      <c r="F197" s="13"/>
    </row>
    <row r="198" spans="5:6" x14ac:dyDescent="0.25">
      <c r="E198" s="12"/>
      <c r="F198" s="13"/>
    </row>
    <row r="199" spans="5:6" x14ac:dyDescent="0.25">
      <c r="E199" s="12"/>
      <c r="F199" s="13"/>
    </row>
    <row r="200" spans="5:6" x14ac:dyDescent="0.25">
      <c r="E200" s="12"/>
      <c r="F200" s="13"/>
    </row>
    <row r="201" spans="5:6" x14ac:dyDescent="0.25">
      <c r="E201" s="12"/>
      <c r="F201" s="13"/>
    </row>
    <row r="202" spans="5:6" x14ac:dyDescent="0.25">
      <c r="E202" s="12"/>
      <c r="F202" s="13"/>
    </row>
    <row r="203" spans="5:6" x14ac:dyDescent="0.25">
      <c r="E203" s="12"/>
      <c r="F203" s="13"/>
    </row>
    <row r="204" spans="5:6" x14ac:dyDescent="0.25">
      <c r="E204" s="12"/>
      <c r="F204" s="13"/>
    </row>
    <row r="205" spans="5:6" x14ac:dyDescent="0.25">
      <c r="E205" s="12"/>
      <c r="F205" s="13"/>
    </row>
    <row r="206" spans="5:6" x14ac:dyDescent="0.25">
      <c r="E206" s="12"/>
      <c r="F206" s="13"/>
    </row>
    <row r="207" spans="5:6" x14ac:dyDescent="0.25">
      <c r="E207" s="12"/>
      <c r="F207" s="13"/>
    </row>
    <row r="208" spans="5:6" x14ac:dyDescent="0.25">
      <c r="E208" s="12"/>
      <c r="F208" s="13"/>
    </row>
    <row r="209" spans="5:6" x14ac:dyDescent="0.25">
      <c r="E209" s="12"/>
      <c r="F209" s="13"/>
    </row>
    <row r="210" spans="5:6" x14ac:dyDescent="0.25">
      <c r="E210" s="12"/>
      <c r="F210" s="13"/>
    </row>
    <row r="211" spans="5:6" x14ac:dyDescent="0.25">
      <c r="E211" s="12"/>
      <c r="F211" s="13"/>
    </row>
    <row r="212" spans="5:6" x14ac:dyDescent="0.25">
      <c r="E212" s="12"/>
      <c r="F212" s="13"/>
    </row>
    <row r="213" spans="5:6" x14ac:dyDescent="0.25">
      <c r="E213" s="12"/>
      <c r="F213" s="13"/>
    </row>
    <row r="214" spans="5:6" x14ac:dyDescent="0.25">
      <c r="E214" s="12"/>
      <c r="F214" s="13"/>
    </row>
    <row r="215" spans="5:6" x14ac:dyDescent="0.25">
      <c r="E215" s="12"/>
      <c r="F215" s="13"/>
    </row>
    <row r="216" spans="5:6" x14ac:dyDescent="0.25">
      <c r="E216" s="12"/>
      <c r="F216" s="13"/>
    </row>
    <row r="217" spans="5:6" x14ac:dyDescent="0.25">
      <c r="E217" s="12"/>
      <c r="F217" s="13"/>
    </row>
    <row r="218" spans="5:6" x14ac:dyDescent="0.25">
      <c r="E218" s="12"/>
      <c r="F218" s="13"/>
    </row>
    <row r="219" spans="5:6" x14ac:dyDescent="0.25">
      <c r="E219" s="12"/>
      <c r="F219" s="13"/>
    </row>
    <row r="220" spans="5:6" x14ac:dyDescent="0.25">
      <c r="E220" s="12"/>
      <c r="F220" s="13"/>
    </row>
    <row r="221" spans="5:6" x14ac:dyDescent="0.25">
      <c r="E221" s="12"/>
      <c r="F221" s="13"/>
    </row>
    <row r="222" spans="5:6" x14ac:dyDescent="0.25">
      <c r="E222" s="12"/>
      <c r="F222" s="13"/>
    </row>
    <row r="223" spans="5:6" x14ac:dyDescent="0.25">
      <c r="E223" s="12"/>
      <c r="F223" s="13"/>
    </row>
    <row r="224" spans="5:6" x14ac:dyDescent="0.25">
      <c r="E224" s="12"/>
      <c r="F224" s="13"/>
    </row>
    <row r="225" spans="5:6" x14ac:dyDescent="0.25">
      <c r="E225" s="12"/>
      <c r="F225" s="13"/>
    </row>
    <row r="226" spans="5:6" x14ac:dyDescent="0.25">
      <c r="E226" s="12"/>
      <c r="F226" s="13"/>
    </row>
    <row r="227" spans="5:6" x14ac:dyDescent="0.25">
      <c r="E227" s="12"/>
      <c r="F227" s="13"/>
    </row>
    <row r="228" spans="5:6" x14ac:dyDescent="0.25">
      <c r="E228" s="12"/>
      <c r="F228" s="13"/>
    </row>
    <row r="229" spans="5:6" x14ac:dyDescent="0.25">
      <c r="E229" s="12"/>
      <c r="F229" s="13"/>
    </row>
    <row r="230" spans="5:6" x14ac:dyDescent="0.25">
      <c r="E230" s="12"/>
      <c r="F230" s="13"/>
    </row>
    <row r="231" spans="5:6" x14ac:dyDescent="0.25">
      <c r="E231" s="12"/>
      <c r="F231" s="13"/>
    </row>
    <row r="232" spans="5:6" x14ac:dyDescent="0.25">
      <c r="E232" s="12"/>
      <c r="F232" s="13"/>
    </row>
    <row r="233" spans="5:6" x14ac:dyDescent="0.25">
      <c r="E233" s="12"/>
      <c r="F233" s="13"/>
    </row>
    <row r="234" spans="5:6" x14ac:dyDescent="0.25">
      <c r="E234" s="12"/>
      <c r="F234" s="13"/>
    </row>
    <row r="235" spans="5:6" x14ac:dyDescent="0.25">
      <c r="E235" s="12"/>
      <c r="F235" s="13"/>
    </row>
    <row r="236" spans="5:6" x14ac:dyDescent="0.25">
      <c r="E236" s="12"/>
      <c r="F236" s="13"/>
    </row>
    <row r="237" spans="5:6" x14ac:dyDescent="0.25">
      <c r="E237" s="12"/>
      <c r="F237" s="13"/>
    </row>
    <row r="238" spans="5:6" x14ac:dyDescent="0.25">
      <c r="E238" s="12"/>
      <c r="F238" s="13"/>
    </row>
    <row r="239" spans="5:6" x14ac:dyDescent="0.25">
      <c r="E239" s="12"/>
      <c r="F239" s="13"/>
    </row>
    <row r="240" spans="5:6" x14ac:dyDescent="0.25">
      <c r="E240" s="12"/>
      <c r="F240" s="13"/>
    </row>
    <row r="241" spans="5:6" x14ac:dyDescent="0.25">
      <c r="E241" s="12"/>
      <c r="F241" s="13"/>
    </row>
    <row r="242" spans="5:6" x14ac:dyDescent="0.25">
      <c r="E242" s="12"/>
      <c r="F242" s="13"/>
    </row>
    <row r="243" spans="5:6" x14ac:dyDescent="0.25">
      <c r="E243" s="12"/>
      <c r="F243" s="13"/>
    </row>
    <row r="244" spans="5:6" x14ac:dyDescent="0.25">
      <c r="E244" s="12"/>
      <c r="F244" s="13"/>
    </row>
    <row r="245" spans="5:6" x14ac:dyDescent="0.25">
      <c r="E245" s="12"/>
      <c r="F245" s="13"/>
    </row>
    <row r="246" spans="5:6" x14ac:dyDescent="0.25">
      <c r="E246" s="12"/>
      <c r="F246" s="13"/>
    </row>
    <row r="247" spans="5:6" x14ac:dyDescent="0.25">
      <c r="E247" s="12"/>
      <c r="F247" s="13"/>
    </row>
    <row r="248" spans="5:6" x14ac:dyDescent="0.25">
      <c r="E248" s="12"/>
      <c r="F248" s="13"/>
    </row>
    <row r="249" spans="5:6" x14ac:dyDescent="0.25">
      <c r="E249" s="12"/>
      <c r="F249" s="13"/>
    </row>
    <row r="250" spans="5:6" x14ac:dyDescent="0.25">
      <c r="E250" s="12"/>
      <c r="F250" s="13"/>
    </row>
    <row r="251" spans="5:6" x14ac:dyDescent="0.25">
      <c r="E251" s="12"/>
      <c r="F251" s="13"/>
    </row>
    <row r="252" spans="5:6" x14ac:dyDescent="0.25">
      <c r="E252" s="12"/>
      <c r="F252" s="13"/>
    </row>
    <row r="253" spans="5:6" x14ac:dyDescent="0.25">
      <c r="E253" s="12"/>
      <c r="F253" s="13"/>
    </row>
    <row r="254" spans="5:6" x14ac:dyDescent="0.25">
      <c r="E254" s="12"/>
      <c r="F254" s="13"/>
    </row>
    <row r="255" spans="5:6" x14ac:dyDescent="0.25">
      <c r="E255" s="12"/>
      <c r="F255" s="13"/>
    </row>
    <row r="256" spans="5:6" x14ac:dyDescent="0.25">
      <c r="E256" s="12"/>
      <c r="F256" s="13"/>
    </row>
    <row r="257" spans="5:6" x14ac:dyDescent="0.25">
      <c r="E257" s="12"/>
      <c r="F257" s="13"/>
    </row>
    <row r="258" spans="5:6" x14ac:dyDescent="0.25">
      <c r="E258" s="12"/>
      <c r="F258" s="13"/>
    </row>
    <row r="259" spans="5:6" x14ac:dyDescent="0.25">
      <c r="E259" s="12"/>
      <c r="F259" s="13"/>
    </row>
    <row r="260" spans="5:6" x14ac:dyDescent="0.25">
      <c r="E260" s="12"/>
      <c r="F260" s="13"/>
    </row>
    <row r="261" spans="5:6" x14ac:dyDescent="0.25">
      <c r="E261" s="12"/>
      <c r="F261" s="13"/>
    </row>
    <row r="262" spans="5:6" x14ac:dyDescent="0.25">
      <c r="E262" s="12"/>
      <c r="F262" s="13"/>
    </row>
    <row r="263" spans="5:6" x14ac:dyDescent="0.25">
      <c r="E263" s="12"/>
      <c r="F263" s="13"/>
    </row>
    <row r="264" spans="5:6" x14ac:dyDescent="0.25">
      <c r="E264" s="12"/>
      <c r="F264" s="13"/>
    </row>
    <row r="265" spans="5:6" x14ac:dyDescent="0.25">
      <c r="E265" s="12"/>
      <c r="F265" s="13"/>
    </row>
    <row r="266" spans="5:6" x14ac:dyDescent="0.25">
      <c r="E266" s="12"/>
      <c r="F266" s="13"/>
    </row>
    <row r="267" spans="5:6" x14ac:dyDescent="0.25">
      <c r="E267" s="12"/>
      <c r="F267" s="13"/>
    </row>
    <row r="268" spans="5:6" x14ac:dyDescent="0.25">
      <c r="E268" s="12"/>
      <c r="F268" s="13"/>
    </row>
    <row r="269" spans="5:6" x14ac:dyDescent="0.25">
      <c r="E269" s="12"/>
      <c r="F269" s="13"/>
    </row>
    <row r="270" spans="5:6" x14ac:dyDescent="0.25">
      <c r="E270" s="12"/>
      <c r="F270" s="13"/>
    </row>
    <row r="271" spans="5:6" x14ac:dyDescent="0.25">
      <c r="E271" s="12"/>
      <c r="F271" s="13"/>
    </row>
    <row r="272" spans="5:6" x14ac:dyDescent="0.25">
      <c r="E272" s="12"/>
      <c r="F272" s="13"/>
    </row>
    <row r="273" spans="5:6" x14ac:dyDescent="0.25">
      <c r="E273" s="12"/>
      <c r="F273" s="13"/>
    </row>
    <row r="274" spans="5:6" x14ac:dyDescent="0.25">
      <c r="E274" s="12"/>
      <c r="F274" s="13"/>
    </row>
    <row r="275" spans="5:6" x14ac:dyDescent="0.25">
      <c r="E275" s="12"/>
      <c r="F275" s="13"/>
    </row>
    <row r="276" spans="5:6" x14ac:dyDescent="0.25">
      <c r="E276" s="12"/>
      <c r="F276" s="13"/>
    </row>
    <row r="277" spans="5:6" x14ac:dyDescent="0.25">
      <c r="E277" s="12"/>
      <c r="F277" s="13"/>
    </row>
    <row r="278" spans="5:6" x14ac:dyDescent="0.25">
      <c r="E278" s="12"/>
      <c r="F278" s="13"/>
    </row>
    <row r="279" spans="5:6" x14ac:dyDescent="0.25">
      <c r="E279" s="12"/>
      <c r="F279" s="13"/>
    </row>
    <row r="280" spans="5:6" x14ac:dyDescent="0.25">
      <c r="E280" s="12"/>
      <c r="F280" s="13"/>
    </row>
    <row r="281" spans="5:6" x14ac:dyDescent="0.25">
      <c r="E281" s="12"/>
      <c r="F281" s="13"/>
    </row>
    <row r="282" spans="5:6" x14ac:dyDescent="0.25">
      <c r="E282" s="12"/>
      <c r="F282" s="13"/>
    </row>
    <row r="283" spans="5:6" x14ac:dyDescent="0.25">
      <c r="E283" s="12"/>
      <c r="F283" s="13"/>
    </row>
    <row r="284" spans="5:6" x14ac:dyDescent="0.25">
      <c r="E284" s="12"/>
      <c r="F284" s="13"/>
    </row>
    <row r="285" spans="5:6" x14ac:dyDescent="0.25">
      <c r="E285" s="12"/>
      <c r="F285" s="13"/>
    </row>
    <row r="286" spans="5:6" x14ac:dyDescent="0.25">
      <c r="E286" s="12"/>
      <c r="F286" s="13"/>
    </row>
    <row r="287" spans="5:6" x14ac:dyDescent="0.25">
      <c r="E287" s="12"/>
      <c r="F287" s="13"/>
    </row>
    <row r="288" spans="5:6" x14ac:dyDescent="0.25">
      <c r="E288" s="12"/>
      <c r="F288" s="13"/>
    </row>
    <row r="289" spans="5:6" x14ac:dyDescent="0.25">
      <c r="E289" s="12"/>
      <c r="F289" s="13"/>
    </row>
    <row r="290" spans="5:6" x14ac:dyDescent="0.25">
      <c r="E290" s="12"/>
      <c r="F290" s="13"/>
    </row>
    <row r="291" spans="5:6" x14ac:dyDescent="0.25">
      <c r="E291" s="12"/>
      <c r="F291" s="13"/>
    </row>
    <row r="292" spans="5:6" x14ac:dyDescent="0.25">
      <c r="E292" s="12"/>
      <c r="F292" s="13"/>
    </row>
    <row r="293" spans="5:6" x14ac:dyDescent="0.25">
      <c r="E293" s="12"/>
      <c r="F293" s="13"/>
    </row>
    <row r="294" spans="5:6" x14ac:dyDescent="0.25">
      <c r="E294" s="12"/>
      <c r="F294" s="13"/>
    </row>
    <row r="295" spans="5:6" x14ac:dyDescent="0.25">
      <c r="E295" s="12"/>
      <c r="F295" s="13"/>
    </row>
    <row r="296" spans="5:6" x14ac:dyDescent="0.25">
      <c r="E296" s="12"/>
      <c r="F296" s="13"/>
    </row>
    <row r="297" spans="5:6" x14ac:dyDescent="0.25">
      <c r="E297" s="12"/>
      <c r="F297" s="13"/>
    </row>
    <row r="298" spans="5:6" x14ac:dyDescent="0.25">
      <c r="E298" s="12"/>
      <c r="F298" s="13"/>
    </row>
    <row r="299" spans="5:6" x14ac:dyDescent="0.25">
      <c r="E299" s="12"/>
      <c r="F299" s="13"/>
    </row>
    <row r="300" spans="5:6" x14ac:dyDescent="0.25">
      <c r="E300" s="12"/>
      <c r="F300" s="13"/>
    </row>
    <row r="301" spans="5:6" x14ac:dyDescent="0.25">
      <c r="E301" s="12"/>
      <c r="F301" s="13"/>
    </row>
    <row r="302" spans="5:6" x14ac:dyDescent="0.25">
      <c r="E302" s="12"/>
      <c r="F302" s="13"/>
    </row>
    <row r="303" spans="5:6" x14ac:dyDescent="0.25">
      <c r="E303" s="12"/>
      <c r="F303" s="13"/>
    </row>
    <row r="304" spans="5:6" x14ac:dyDescent="0.25">
      <c r="E304" s="12"/>
      <c r="F304" s="13"/>
    </row>
    <row r="305" spans="5:6" x14ac:dyDescent="0.25">
      <c r="E305" s="12"/>
      <c r="F305" s="13"/>
    </row>
    <row r="306" spans="5:6" x14ac:dyDescent="0.25">
      <c r="E306" s="12"/>
      <c r="F306" s="13"/>
    </row>
    <row r="307" spans="5:6" x14ac:dyDescent="0.25">
      <c r="E307" s="12"/>
      <c r="F307" s="13"/>
    </row>
    <row r="308" spans="5:6" x14ac:dyDescent="0.25">
      <c r="E308" s="12"/>
      <c r="F308" s="13"/>
    </row>
    <row r="309" spans="5:6" x14ac:dyDescent="0.25">
      <c r="E309" s="12"/>
      <c r="F309" s="13"/>
    </row>
    <row r="310" spans="5:6" x14ac:dyDescent="0.25">
      <c r="E310" s="12"/>
      <c r="F310" s="13"/>
    </row>
    <row r="311" spans="5:6" x14ac:dyDescent="0.25">
      <c r="E311" s="12"/>
      <c r="F311" s="13"/>
    </row>
    <row r="312" spans="5:6" x14ac:dyDescent="0.25">
      <c r="E312" s="12"/>
      <c r="F312" s="13"/>
    </row>
    <row r="313" spans="5:6" x14ac:dyDescent="0.25">
      <c r="E313" s="12"/>
      <c r="F313" s="13"/>
    </row>
    <row r="314" spans="5:6" x14ac:dyDescent="0.25">
      <c r="E314" s="12"/>
      <c r="F314" s="13"/>
    </row>
    <row r="315" spans="5:6" x14ac:dyDescent="0.25">
      <c r="E315" s="12"/>
      <c r="F315" s="13"/>
    </row>
    <row r="316" spans="5:6" x14ac:dyDescent="0.25">
      <c r="E316" s="12"/>
      <c r="F316" s="13"/>
    </row>
    <row r="317" spans="5:6" x14ac:dyDescent="0.25">
      <c r="E317" s="12"/>
      <c r="F317" s="13"/>
    </row>
    <row r="318" spans="5:6" x14ac:dyDescent="0.25">
      <c r="E318" s="12"/>
      <c r="F318" s="13"/>
    </row>
    <row r="319" spans="5:6" x14ac:dyDescent="0.25">
      <c r="E319" s="12"/>
      <c r="F319" s="13"/>
    </row>
    <row r="320" spans="5:6" x14ac:dyDescent="0.25">
      <c r="E320" s="12"/>
      <c r="F320" s="13"/>
    </row>
    <row r="321" spans="5:6" x14ac:dyDescent="0.25">
      <c r="E321" s="12"/>
      <c r="F321" s="13"/>
    </row>
    <row r="322" spans="5:6" x14ac:dyDescent="0.25">
      <c r="E322" s="12"/>
      <c r="F322" s="13"/>
    </row>
    <row r="323" spans="5:6" x14ac:dyDescent="0.25">
      <c r="E323" s="12"/>
      <c r="F323" s="13"/>
    </row>
    <row r="324" spans="5:6" x14ac:dyDescent="0.25">
      <c r="E324" s="12"/>
      <c r="F324" s="13"/>
    </row>
    <row r="325" spans="5:6" x14ac:dyDescent="0.25">
      <c r="E325" s="12"/>
      <c r="F325" s="13"/>
    </row>
    <row r="326" spans="5:6" x14ac:dyDescent="0.25">
      <c r="E326" s="12"/>
      <c r="F326" s="13"/>
    </row>
    <row r="327" spans="5:6" x14ac:dyDescent="0.25">
      <c r="E327" s="12"/>
      <c r="F327" s="13"/>
    </row>
    <row r="328" spans="5:6" x14ac:dyDescent="0.25">
      <c r="E328" s="12"/>
      <c r="F328" s="13"/>
    </row>
    <row r="329" spans="5:6" x14ac:dyDescent="0.25">
      <c r="E329" s="12"/>
      <c r="F329" s="13"/>
    </row>
    <row r="330" spans="5:6" x14ac:dyDescent="0.25">
      <c r="E330" s="12"/>
      <c r="F330" s="13"/>
    </row>
    <row r="331" spans="5:6" x14ac:dyDescent="0.25">
      <c r="E331" s="12"/>
      <c r="F331" s="13"/>
    </row>
    <row r="332" spans="5:6" x14ac:dyDescent="0.25">
      <c r="E332" s="12"/>
      <c r="F332" s="13"/>
    </row>
    <row r="333" spans="5:6" x14ac:dyDescent="0.25">
      <c r="E333" s="12"/>
      <c r="F333" s="13"/>
    </row>
    <row r="334" spans="5:6" x14ac:dyDescent="0.25">
      <c r="E334" s="12"/>
      <c r="F334" s="13"/>
    </row>
    <row r="335" spans="5:6" x14ac:dyDescent="0.25">
      <c r="E335" s="12"/>
      <c r="F335" s="13"/>
    </row>
    <row r="336" spans="5:6" x14ac:dyDescent="0.25">
      <c r="E336" s="12"/>
      <c r="F336" s="13"/>
    </row>
    <row r="337" spans="5:6" x14ac:dyDescent="0.25">
      <c r="E337" s="12"/>
      <c r="F337" s="13"/>
    </row>
    <row r="338" spans="5:6" x14ac:dyDescent="0.25">
      <c r="E338" s="12"/>
      <c r="F338" s="13"/>
    </row>
    <row r="339" spans="5:6" x14ac:dyDescent="0.25">
      <c r="E339" s="12"/>
      <c r="F339" s="13"/>
    </row>
    <row r="340" spans="5:6" x14ac:dyDescent="0.25">
      <c r="E340" s="12"/>
      <c r="F340" s="13"/>
    </row>
    <row r="341" spans="5:6" x14ac:dyDescent="0.25">
      <c r="E341" s="12"/>
      <c r="F341" s="13"/>
    </row>
    <row r="342" spans="5:6" x14ac:dyDescent="0.25">
      <c r="E342" s="12"/>
      <c r="F342" s="13"/>
    </row>
    <row r="343" spans="5:6" x14ac:dyDescent="0.25">
      <c r="E343" s="12"/>
      <c r="F343" s="13"/>
    </row>
    <row r="344" spans="5:6" x14ac:dyDescent="0.25">
      <c r="E344" s="12"/>
      <c r="F344" s="13"/>
    </row>
    <row r="345" spans="5:6" x14ac:dyDescent="0.25">
      <c r="E345" s="12"/>
      <c r="F345" s="13"/>
    </row>
    <row r="346" spans="5:6" x14ac:dyDescent="0.25">
      <c r="E346" s="12"/>
      <c r="F346" s="13"/>
    </row>
    <row r="347" spans="5:6" x14ac:dyDescent="0.25">
      <c r="E347" s="12"/>
      <c r="F347" s="13"/>
    </row>
    <row r="348" spans="5:6" x14ac:dyDescent="0.25">
      <c r="E348" s="12"/>
      <c r="F348" s="13"/>
    </row>
    <row r="349" spans="5:6" x14ac:dyDescent="0.25">
      <c r="E349" s="12"/>
      <c r="F349" s="13"/>
    </row>
    <row r="350" spans="5:6" x14ac:dyDescent="0.25">
      <c r="E350" s="12"/>
      <c r="F350" s="13"/>
    </row>
    <row r="351" spans="5:6" x14ac:dyDescent="0.25">
      <c r="E351" s="12"/>
      <c r="F351" s="13"/>
    </row>
    <row r="352" spans="5:6" x14ac:dyDescent="0.25">
      <c r="E352" s="12"/>
      <c r="F352" s="13"/>
    </row>
    <row r="353" spans="5:6" x14ac:dyDescent="0.25">
      <c r="E353" s="12"/>
      <c r="F353" s="13"/>
    </row>
    <row r="354" spans="5:6" x14ac:dyDescent="0.25">
      <c r="E354" s="12"/>
      <c r="F354" s="13"/>
    </row>
    <row r="355" spans="5:6" x14ac:dyDescent="0.25">
      <c r="E355" s="12"/>
      <c r="F355" s="13"/>
    </row>
    <row r="356" spans="5:6" x14ac:dyDescent="0.25">
      <c r="E356" s="12"/>
      <c r="F356" s="13"/>
    </row>
    <row r="357" spans="5:6" x14ac:dyDescent="0.25">
      <c r="E357" s="12"/>
      <c r="F357" s="13"/>
    </row>
    <row r="358" spans="5:6" x14ac:dyDescent="0.25">
      <c r="E358" s="12"/>
      <c r="F358" s="13"/>
    </row>
    <row r="359" spans="5:6" x14ac:dyDescent="0.25">
      <c r="E359" s="12"/>
      <c r="F359" s="13"/>
    </row>
    <row r="360" spans="5:6" x14ac:dyDescent="0.25">
      <c r="E360" s="12"/>
      <c r="F360" s="13"/>
    </row>
    <row r="361" spans="5:6" x14ac:dyDescent="0.25">
      <c r="E361" s="12"/>
      <c r="F361" s="13"/>
    </row>
    <row r="362" spans="5:6" x14ac:dyDescent="0.25">
      <c r="E362" s="12"/>
      <c r="F362" s="13"/>
    </row>
    <row r="363" spans="5:6" x14ac:dyDescent="0.25">
      <c r="E363" s="12"/>
      <c r="F363" s="13"/>
    </row>
    <row r="364" spans="5:6" x14ac:dyDescent="0.25">
      <c r="E364" s="12"/>
      <c r="F364" s="13"/>
    </row>
    <row r="365" spans="5:6" x14ac:dyDescent="0.25">
      <c r="E365" s="12"/>
      <c r="F365" s="13"/>
    </row>
    <row r="366" spans="5:6" x14ac:dyDescent="0.25">
      <c r="E366" s="12"/>
      <c r="F366" s="13"/>
    </row>
    <row r="367" spans="5:6" x14ac:dyDescent="0.25">
      <c r="E367" s="12"/>
      <c r="F367" s="13"/>
    </row>
    <row r="368" spans="5:6" x14ac:dyDescent="0.25">
      <c r="E368" s="12"/>
      <c r="F368" s="13"/>
    </row>
    <row r="369" spans="5:6" x14ac:dyDescent="0.25">
      <c r="E369" s="12"/>
      <c r="F369" s="13"/>
    </row>
  </sheetData>
  <pageMargins left="0.7" right="0.7" top="0.75" bottom="0.75" header="0.3" footer="0.3"/>
  <pageSetup orientation="portrait" horizontalDpi="4294967295" verticalDpi="4294967295"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87380-64C9-469B-A1D0-CD49208032EF}">
  <dimension ref="B1:F13"/>
  <sheetViews>
    <sheetView zoomScale="120" zoomScaleNormal="120" workbookViewId="0"/>
  </sheetViews>
  <sheetFormatPr defaultRowHeight="15" x14ac:dyDescent="0.25"/>
  <cols>
    <col min="1" max="1" width="1.85546875" customWidth="1"/>
    <col min="2" max="2" width="13.140625" bestFit="1" customWidth="1"/>
    <col min="3" max="3" width="15.7109375" bestFit="1" customWidth="1"/>
    <col min="4" max="4" width="3.85546875" customWidth="1"/>
    <col min="6" max="6" width="10.85546875" bestFit="1" customWidth="1"/>
  </cols>
  <sheetData>
    <row r="1" spans="2:6" ht="35.25" x14ac:dyDescent="0.5">
      <c r="B1" s="11" t="s">
        <v>38</v>
      </c>
    </row>
    <row r="2" spans="2:6" ht="18.75" x14ac:dyDescent="0.3">
      <c r="B2" s="8" t="s">
        <v>49</v>
      </c>
    </row>
    <row r="4" spans="2:6" x14ac:dyDescent="0.25">
      <c r="B4" s="14" t="s">
        <v>53</v>
      </c>
      <c r="C4" t="s">
        <v>51</v>
      </c>
      <c r="E4" s="4" t="str">
        <f t="shared" ref="E4:E12" si="0">B4</f>
        <v>Row Labels</v>
      </c>
      <c r="F4" s="4" t="str">
        <f t="shared" ref="F4:F12" si="1">C4</f>
        <v>Sum of Distance</v>
      </c>
    </row>
    <row r="5" spans="2:6" x14ac:dyDescent="0.25">
      <c r="B5" s="16">
        <v>69.7</v>
      </c>
      <c r="C5" s="4">
        <v>2812.0070000000001</v>
      </c>
      <c r="E5" s="4">
        <f t="shared" si="0"/>
        <v>69.7</v>
      </c>
      <c r="F5" s="17">
        <f t="shared" si="1"/>
        <v>2812.0070000000001</v>
      </c>
    </row>
    <row r="6" spans="2:6" x14ac:dyDescent="0.25">
      <c r="B6" s="16">
        <v>69.900000000000006</v>
      </c>
      <c r="C6" s="4">
        <v>1653.693</v>
      </c>
      <c r="E6" s="4">
        <f t="shared" si="0"/>
        <v>69.900000000000006</v>
      </c>
      <c r="F6" s="17">
        <f t="shared" si="1"/>
        <v>1653.693</v>
      </c>
    </row>
    <row r="7" spans="2:6" x14ac:dyDescent="0.25">
      <c r="B7" s="16">
        <v>70.099999999999994</v>
      </c>
      <c r="C7" s="4">
        <v>2362.1190000000001</v>
      </c>
      <c r="E7" s="4">
        <f t="shared" si="0"/>
        <v>70.099999999999994</v>
      </c>
      <c r="F7" s="17">
        <f t="shared" si="1"/>
        <v>2362.1190000000001</v>
      </c>
    </row>
    <row r="8" spans="2:6" x14ac:dyDescent="0.25">
      <c r="B8" s="16">
        <v>70.2</v>
      </c>
      <c r="C8" s="4">
        <v>5059.3029999999999</v>
      </c>
      <c r="E8" s="4">
        <f t="shared" si="0"/>
        <v>70.2</v>
      </c>
      <c r="F8" s="17">
        <f t="shared" si="1"/>
        <v>5059.3029999999999</v>
      </c>
    </row>
    <row r="9" spans="2:6" x14ac:dyDescent="0.25">
      <c r="B9" s="16">
        <v>70.400000000000006</v>
      </c>
      <c r="C9" s="4">
        <v>13888.812</v>
      </c>
      <c r="E9" s="4">
        <f t="shared" si="0"/>
        <v>70.400000000000006</v>
      </c>
      <c r="F9" s="17">
        <f t="shared" si="1"/>
        <v>13888.812</v>
      </c>
    </row>
    <row r="10" spans="2:6" x14ac:dyDescent="0.25">
      <c r="B10" s="16">
        <v>70.5</v>
      </c>
      <c r="C10" s="4">
        <v>3767.7919999999999</v>
      </c>
      <c r="E10" s="4">
        <f t="shared" si="0"/>
        <v>70.5</v>
      </c>
      <c r="F10" s="17">
        <f t="shared" si="1"/>
        <v>3767.7919999999999</v>
      </c>
    </row>
    <row r="11" spans="2:6" x14ac:dyDescent="0.25">
      <c r="B11" s="16">
        <v>70.8</v>
      </c>
      <c r="C11" s="4">
        <v>15347.037</v>
      </c>
      <c r="E11" s="4">
        <f t="shared" si="0"/>
        <v>70.8</v>
      </c>
      <c r="F11" s="17">
        <f t="shared" si="1"/>
        <v>15347.037</v>
      </c>
    </row>
    <row r="12" spans="2:6" x14ac:dyDescent="0.25">
      <c r="B12" s="16">
        <v>71.099999999999994</v>
      </c>
      <c r="C12" s="4">
        <v>12066.407999999999</v>
      </c>
      <c r="E12">
        <f t="shared" si="0"/>
        <v>71.099999999999994</v>
      </c>
      <c r="F12" s="18">
        <f t="shared" si="1"/>
        <v>12066.407999999999</v>
      </c>
    </row>
    <row r="13" spans="2:6" x14ac:dyDescent="0.25">
      <c r="B13" s="16" t="s">
        <v>54</v>
      </c>
      <c r="C13" s="4">
        <v>56957.171000000002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FA491-F9CB-43BE-9CA0-D0BA0D7D436A}">
  <dimension ref="B1:F12"/>
  <sheetViews>
    <sheetView zoomScale="120" zoomScaleNormal="120" workbookViewId="0"/>
  </sheetViews>
  <sheetFormatPr defaultRowHeight="15" x14ac:dyDescent="0.25"/>
  <cols>
    <col min="1" max="1" width="1.85546875" customWidth="1"/>
    <col min="2" max="2" width="13.140625" bestFit="1" customWidth="1"/>
    <col min="3" max="3" width="15.7109375" bestFit="1" customWidth="1"/>
    <col min="4" max="4" width="3.85546875" customWidth="1"/>
    <col min="6" max="6" width="10.85546875" bestFit="1" customWidth="1"/>
  </cols>
  <sheetData>
    <row r="1" spans="2:6" ht="35.25" x14ac:dyDescent="0.5">
      <c r="B1" s="11" t="s">
        <v>38</v>
      </c>
    </row>
    <row r="2" spans="2:6" ht="18.75" x14ac:dyDescent="0.3">
      <c r="B2" s="8" t="s">
        <v>48</v>
      </c>
    </row>
    <row r="4" spans="2:6" x14ac:dyDescent="0.25">
      <c r="B4" s="14" t="s">
        <v>53</v>
      </c>
      <c r="C4" t="s">
        <v>51</v>
      </c>
      <c r="E4" s="4" t="str">
        <f t="shared" ref="E4:F11" si="0">B4</f>
        <v>Row Labels</v>
      </c>
      <c r="F4" s="4" t="str">
        <f t="shared" si="0"/>
        <v>Sum of Distance</v>
      </c>
    </row>
    <row r="5" spans="2:6" x14ac:dyDescent="0.25">
      <c r="B5" s="16">
        <v>25.8</v>
      </c>
      <c r="C5" s="4">
        <v>1653.693</v>
      </c>
      <c r="E5" s="4">
        <f t="shared" si="0"/>
        <v>25.8</v>
      </c>
      <c r="F5" s="17">
        <f t="shared" si="0"/>
        <v>1653.693</v>
      </c>
    </row>
    <row r="6" spans="2:6" x14ac:dyDescent="0.25">
      <c r="B6" s="16">
        <v>26.3</v>
      </c>
      <c r="C6" s="4">
        <v>5174.1260000000002</v>
      </c>
      <c r="E6" s="4">
        <f t="shared" si="0"/>
        <v>26.3</v>
      </c>
      <c r="F6" s="17">
        <f t="shared" si="0"/>
        <v>5174.1260000000002</v>
      </c>
    </row>
    <row r="7" spans="2:6" x14ac:dyDescent="0.25">
      <c r="B7" s="16">
        <v>26.7</v>
      </c>
      <c r="C7" s="4">
        <v>3767.7919999999999</v>
      </c>
      <c r="E7" s="4">
        <f t="shared" si="0"/>
        <v>26.7</v>
      </c>
      <c r="F7" s="17">
        <f t="shared" si="0"/>
        <v>3767.7919999999999</v>
      </c>
    </row>
    <row r="8" spans="2:6" x14ac:dyDescent="0.25">
      <c r="B8" s="16">
        <v>27.7</v>
      </c>
      <c r="C8" s="4">
        <v>13888.812</v>
      </c>
      <c r="E8" s="4">
        <f t="shared" si="0"/>
        <v>27.7</v>
      </c>
      <c r="F8" s="17">
        <f t="shared" si="0"/>
        <v>13888.812</v>
      </c>
    </row>
    <row r="9" spans="2:6" x14ac:dyDescent="0.25">
      <c r="B9" s="16">
        <v>29.1</v>
      </c>
      <c r="C9" s="4">
        <v>5059.3029999999999</v>
      </c>
      <c r="E9" s="4">
        <f t="shared" si="0"/>
        <v>29.1</v>
      </c>
      <c r="F9" s="17">
        <f t="shared" si="0"/>
        <v>5059.3029999999999</v>
      </c>
    </row>
    <row r="10" spans="2:6" x14ac:dyDescent="0.25">
      <c r="B10" s="16">
        <v>29.5</v>
      </c>
      <c r="C10" s="4">
        <v>15347.037</v>
      </c>
      <c r="E10" s="4">
        <f t="shared" si="0"/>
        <v>29.5</v>
      </c>
      <c r="F10" s="17">
        <f t="shared" si="0"/>
        <v>15347.037</v>
      </c>
    </row>
    <row r="11" spans="2:6" x14ac:dyDescent="0.25">
      <c r="B11" s="16">
        <v>30.2</v>
      </c>
      <c r="C11" s="4">
        <v>12066.407999999999</v>
      </c>
      <c r="E11" s="4">
        <f t="shared" si="0"/>
        <v>30.2</v>
      </c>
      <c r="F11" s="17">
        <f t="shared" si="0"/>
        <v>12066.407999999999</v>
      </c>
    </row>
    <row r="12" spans="2:6" x14ac:dyDescent="0.25">
      <c r="B12" s="16" t="s">
        <v>54</v>
      </c>
      <c r="C12" s="4">
        <v>56957.171000000002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78A3E-3079-4D85-8049-F19E8B8A1846}">
  <dimension ref="B1:F13"/>
  <sheetViews>
    <sheetView zoomScale="120" zoomScaleNormal="120" workbookViewId="0"/>
  </sheetViews>
  <sheetFormatPr defaultRowHeight="15" x14ac:dyDescent="0.25"/>
  <cols>
    <col min="1" max="1" width="1.85546875" customWidth="1"/>
    <col min="2" max="2" width="13.140625" bestFit="1" customWidth="1"/>
    <col min="3" max="3" width="15.7109375" bestFit="1" customWidth="1"/>
    <col min="4" max="4" width="3.85546875" customWidth="1"/>
    <col min="6" max="6" width="10.85546875" bestFit="1" customWidth="1"/>
  </cols>
  <sheetData>
    <row r="1" spans="2:6" ht="35.25" x14ac:dyDescent="0.5">
      <c r="B1" s="11" t="s">
        <v>38</v>
      </c>
    </row>
    <row r="2" spans="2:6" ht="18.75" x14ac:dyDescent="0.3">
      <c r="B2" s="8" t="s">
        <v>47</v>
      </c>
    </row>
    <row r="4" spans="2:6" x14ac:dyDescent="0.25">
      <c r="B4" s="14" t="s">
        <v>53</v>
      </c>
      <c r="C4" t="s">
        <v>51</v>
      </c>
      <c r="E4" s="4" t="str">
        <f t="shared" ref="E4:E12" si="0">B4</f>
        <v>Row Labels</v>
      </c>
      <c r="F4" s="4" t="str">
        <f t="shared" ref="F4:F12" si="1">C4</f>
        <v>Sum of Distance</v>
      </c>
    </row>
    <row r="5" spans="2:6" x14ac:dyDescent="0.25">
      <c r="B5" s="16">
        <v>66.900000000000006</v>
      </c>
      <c r="C5" s="4">
        <v>1653.693</v>
      </c>
      <c r="E5" s="4">
        <f t="shared" si="0"/>
        <v>66.900000000000006</v>
      </c>
      <c r="F5" s="17">
        <f t="shared" si="1"/>
        <v>1653.693</v>
      </c>
    </row>
    <row r="6" spans="2:6" x14ac:dyDescent="0.25">
      <c r="B6" s="16">
        <v>67.2</v>
      </c>
      <c r="C6" s="4">
        <v>2812.0070000000001</v>
      </c>
      <c r="E6" s="4">
        <f t="shared" si="0"/>
        <v>67.2</v>
      </c>
      <c r="F6" s="17">
        <f t="shared" si="1"/>
        <v>2812.0070000000001</v>
      </c>
    </row>
    <row r="7" spans="2:6" x14ac:dyDescent="0.25">
      <c r="B7" s="16">
        <v>67.8</v>
      </c>
      <c r="C7" s="4">
        <v>2362.1190000000001</v>
      </c>
      <c r="E7" s="4">
        <f t="shared" si="0"/>
        <v>67.8</v>
      </c>
      <c r="F7" s="17">
        <f t="shared" si="1"/>
        <v>2362.1190000000001</v>
      </c>
    </row>
    <row r="8" spans="2:6" x14ac:dyDescent="0.25">
      <c r="B8" s="16">
        <v>67.900000000000006</v>
      </c>
      <c r="C8" s="4">
        <v>3767.7919999999999</v>
      </c>
      <c r="E8" s="4">
        <f t="shared" si="0"/>
        <v>67.900000000000006</v>
      </c>
      <c r="F8" s="17">
        <f t="shared" si="1"/>
        <v>3767.7919999999999</v>
      </c>
    </row>
    <row r="9" spans="2:6" x14ac:dyDescent="0.25">
      <c r="B9" s="16">
        <v>68.3</v>
      </c>
      <c r="C9" s="4">
        <v>5059.3029999999999</v>
      </c>
      <c r="E9" s="4">
        <f t="shared" si="0"/>
        <v>68.3</v>
      </c>
      <c r="F9" s="17">
        <f t="shared" si="1"/>
        <v>5059.3029999999999</v>
      </c>
    </row>
    <row r="10" spans="2:6" x14ac:dyDescent="0.25">
      <c r="B10" s="16">
        <v>68.900000000000006</v>
      </c>
      <c r="C10" s="4">
        <v>12066.407999999999</v>
      </c>
      <c r="E10" s="4">
        <f t="shared" si="0"/>
        <v>68.900000000000006</v>
      </c>
      <c r="F10" s="17">
        <f t="shared" si="1"/>
        <v>12066.407999999999</v>
      </c>
    </row>
    <row r="11" spans="2:6" x14ac:dyDescent="0.25">
      <c r="B11" s="16">
        <v>69.099999999999994</v>
      </c>
      <c r="C11" s="4">
        <v>15347.037</v>
      </c>
      <c r="E11" s="4">
        <f t="shared" si="0"/>
        <v>69.099999999999994</v>
      </c>
      <c r="F11" s="17">
        <f t="shared" si="1"/>
        <v>15347.037</v>
      </c>
    </row>
    <row r="12" spans="2:6" x14ac:dyDescent="0.25">
      <c r="B12" s="16">
        <v>69.400000000000006</v>
      </c>
      <c r="C12" s="4">
        <v>13888.812</v>
      </c>
      <c r="E12">
        <f t="shared" si="0"/>
        <v>69.400000000000006</v>
      </c>
      <c r="F12" s="18">
        <f t="shared" si="1"/>
        <v>13888.812</v>
      </c>
    </row>
    <row r="13" spans="2:6" x14ac:dyDescent="0.25">
      <c r="B13" s="16" t="s">
        <v>54</v>
      </c>
      <c r="C13" s="4">
        <v>56957.171000000002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9E7ED-9E61-4AEF-8D16-A7A0B1A983E9}">
  <dimension ref="B1:D24"/>
  <sheetViews>
    <sheetView zoomScale="120" zoomScaleNormal="120" workbookViewId="0"/>
  </sheetViews>
  <sheetFormatPr defaultRowHeight="15" x14ac:dyDescent="0.25"/>
  <cols>
    <col min="1" max="1" width="3.140625" customWidth="1"/>
    <col min="2" max="2" width="18.85546875" customWidth="1"/>
    <col min="3" max="3" width="13.7109375" customWidth="1"/>
    <col min="4" max="4" width="44" customWidth="1"/>
  </cols>
  <sheetData>
    <row r="1" spans="2:4" ht="35.25" x14ac:dyDescent="0.5">
      <c r="B1" s="11" t="s">
        <v>38</v>
      </c>
    </row>
    <row r="2" spans="2:4" ht="18.75" x14ac:dyDescent="0.3">
      <c r="B2" s="8" t="s">
        <v>8</v>
      </c>
    </row>
    <row r="4" spans="2:4" x14ac:dyDescent="0.25">
      <c r="B4" s="2" t="s">
        <v>9</v>
      </c>
    </row>
    <row r="5" spans="2:4" x14ac:dyDescent="0.25">
      <c r="B5" s="9" t="s">
        <v>4</v>
      </c>
      <c r="C5" s="9" t="s">
        <v>5</v>
      </c>
      <c r="D5" s="9" t="s">
        <v>3</v>
      </c>
    </row>
    <row r="6" spans="2:4" x14ac:dyDescent="0.25">
      <c r="B6" s="10" t="s">
        <v>10</v>
      </c>
      <c r="C6" s="3" t="s">
        <v>7</v>
      </c>
      <c r="D6" s="1" t="s">
        <v>19</v>
      </c>
    </row>
    <row r="7" spans="2:4" x14ac:dyDescent="0.25">
      <c r="B7" s="10" t="s">
        <v>11</v>
      </c>
      <c r="C7" s="3" t="s">
        <v>7</v>
      </c>
      <c r="D7" s="1" t="s">
        <v>12</v>
      </c>
    </row>
    <row r="8" spans="2:4" x14ac:dyDescent="0.25">
      <c r="B8" s="10" t="s">
        <v>13</v>
      </c>
      <c r="C8" s="3" t="s">
        <v>7</v>
      </c>
      <c r="D8" s="1" t="s">
        <v>14</v>
      </c>
    </row>
    <row r="9" spans="2:4" x14ac:dyDescent="0.25">
      <c r="B9" s="10" t="s">
        <v>15</v>
      </c>
      <c r="C9" s="3" t="s">
        <v>7</v>
      </c>
      <c r="D9" s="1" t="s">
        <v>16</v>
      </c>
    </row>
    <row r="10" spans="2:4" x14ac:dyDescent="0.25">
      <c r="B10" s="10" t="s">
        <v>17</v>
      </c>
      <c r="C10" s="3" t="s">
        <v>6</v>
      </c>
      <c r="D10" s="1" t="s">
        <v>18</v>
      </c>
    </row>
    <row r="11" spans="2:4" x14ac:dyDescent="0.25">
      <c r="B11" s="10" t="s">
        <v>20</v>
      </c>
      <c r="C11" s="3" t="s">
        <v>6</v>
      </c>
      <c r="D11" s="1" t="s">
        <v>21</v>
      </c>
    </row>
    <row r="12" spans="2:4" x14ac:dyDescent="0.25">
      <c r="B12" s="10" t="s">
        <v>22</v>
      </c>
      <c r="C12" s="3" t="s">
        <v>6</v>
      </c>
      <c r="D12" s="1" t="s">
        <v>23</v>
      </c>
    </row>
    <row r="13" spans="2:4" x14ac:dyDescent="0.25">
      <c r="B13" s="10" t="s">
        <v>44</v>
      </c>
      <c r="C13" s="3" t="s">
        <v>7</v>
      </c>
      <c r="D13" s="1" t="s">
        <v>45</v>
      </c>
    </row>
    <row r="14" spans="2:4" x14ac:dyDescent="0.25">
      <c r="B14" s="10" t="s">
        <v>24</v>
      </c>
      <c r="C14" s="3" t="s">
        <v>7</v>
      </c>
      <c r="D14" s="1" t="s">
        <v>25</v>
      </c>
    </row>
    <row r="16" spans="2:4" x14ac:dyDescent="0.25">
      <c r="B16" s="2" t="s">
        <v>26</v>
      </c>
    </row>
    <row r="17" spans="2:4" x14ac:dyDescent="0.25">
      <c r="B17" s="9" t="s">
        <v>4</v>
      </c>
      <c r="C17" s="9" t="s">
        <v>5</v>
      </c>
      <c r="D17" s="9" t="s">
        <v>3</v>
      </c>
    </row>
    <row r="18" spans="2:4" x14ac:dyDescent="0.25">
      <c r="B18" s="10" t="s">
        <v>10</v>
      </c>
      <c r="C18" s="3" t="s">
        <v>7</v>
      </c>
      <c r="D18" s="1" t="s">
        <v>19</v>
      </c>
    </row>
    <row r="19" spans="2:4" x14ac:dyDescent="0.25">
      <c r="B19" s="10" t="s">
        <v>27</v>
      </c>
      <c r="C19" s="3" t="s">
        <v>28</v>
      </c>
      <c r="D19" s="1" t="s">
        <v>29</v>
      </c>
    </row>
    <row r="20" spans="2:4" x14ac:dyDescent="0.25">
      <c r="B20" s="10" t="s">
        <v>30</v>
      </c>
      <c r="C20" s="3" t="s">
        <v>31</v>
      </c>
      <c r="D20" s="1" t="s">
        <v>32</v>
      </c>
    </row>
    <row r="21" spans="2:4" x14ac:dyDescent="0.25">
      <c r="B21" s="10" t="s">
        <v>33</v>
      </c>
      <c r="C21" s="3" t="s">
        <v>31</v>
      </c>
      <c r="D21" s="1" t="s">
        <v>34</v>
      </c>
    </row>
    <row r="22" spans="2:4" x14ac:dyDescent="0.25">
      <c r="B22" s="10" t="s">
        <v>35</v>
      </c>
      <c r="C22" s="3" t="s">
        <v>31</v>
      </c>
      <c r="D22" s="1" t="s">
        <v>36</v>
      </c>
    </row>
    <row r="23" spans="2:4" x14ac:dyDescent="0.25">
      <c r="B23" s="10" t="s">
        <v>37</v>
      </c>
      <c r="C23" s="3" t="s">
        <v>31</v>
      </c>
      <c r="D23" s="1" t="s">
        <v>42</v>
      </c>
    </row>
    <row r="24" spans="2:4" x14ac:dyDescent="0.25">
      <c r="B24" s="10" t="s">
        <v>40</v>
      </c>
      <c r="C24" s="3" t="s">
        <v>7</v>
      </c>
      <c r="D24" s="1" t="s">
        <v>41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C32CD8BD-2123-454D-A43F-013374CDA079}">
  <ds:schemaRefs/>
</ds:datastoreItem>
</file>

<file path=customXml/itemProps2.xml><?xml version="1.0" encoding="utf-8"?>
<ds:datastoreItem xmlns:ds="http://schemas.openxmlformats.org/officeDocument/2006/customXml" ds:itemID="{50ACC210-E789-4B23-A43F-0B9DE42D7DC6}">
  <ds:schemaRefs/>
</ds:datastoreItem>
</file>

<file path=customXml/itemProps3.xml><?xml version="1.0" encoding="utf-8"?>
<ds:datastoreItem xmlns:ds="http://schemas.openxmlformats.org/officeDocument/2006/customXml" ds:itemID="{22F647B0-DDA2-4D85-9967-B6B22A26A176}">
  <ds:schemaRefs/>
</ds:datastoreItem>
</file>

<file path=customXml/itemProps4.xml><?xml version="1.0" encoding="utf-8"?>
<ds:datastoreItem xmlns:ds="http://schemas.openxmlformats.org/officeDocument/2006/customXml" ds:itemID="{4B2A7CBC-00A5-4716-9C3D-0C06C98B52CA}">
  <ds:schemaRefs/>
</ds:datastoreItem>
</file>

<file path=customXml/itemProps5.xml><?xml version="1.0" encoding="utf-8"?>
<ds:datastoreItem xmlns:ds="http://schemas.openxmlformats.org/officeDocument/2006/customXml" ds:itemID="{CB51B4FF-DD44-4AFD-A99D-3D3EE77C0806}">
  <ds:schemaRefs/>
</ds:datastoreItem>
</file>

<file path=customXml/itemProps6.xml><?xml version="1.0" encoding="utf-8"?>
<ds:datastoreItem xmlns:ds="http://schemas.openxmlformats.org/officeDocument/2006/customXml" ds:itemID="{F418BC5D-DF83-4F35-882F-28818D3C327B}">
  <ds:schemaRefs/>
</ds:datastoreItem>
</file>

<file path=customXml/itemProps7.xml><?xml version="1.0" encoding="utf-8"?>
<ds:datastoreItem xmlns:ds="http://schemas.openxmlformats.org/officeDocument/2006/customXml" ds:itemID="{423D5530-B88C-461B-8BE2-71DECC4699BE}">
  <ds:schemaRefs/>
</ds:datastoreItem>
</file>

<file path=customXml/itemProps8.xml><?xml version="1.0" encoding="utf-8"?>
<ds:datastoreItem xmlns:ds="http://schemas.openxmlformats.org/officeDocument/2006/customXml" ds:itemID="{E9976D36-921D-46FB-9E6E-C75A159C3925}">
  <ds:schemaRefs/>
</ds:datastoreItem>
</file>

<file path=customXml/itemProps9.xml><?xml version="1.0" encoding="utf-8"?>
<ds:datastoreItem xmlns:ds="http://schemas.openxmlformats.org/officeDocument/2006/customXml" ds:itemID="{F124D7DA-B709-412F-8C63-7CECE43EF3E0}">
  <ds:schemaRefs/>
</ds:datastoreItem>
</file>

<file path=customXml/itemProps10.xml><?xml version="1.0" encoding="utf-8"?>
<ds:datastoreItem xmlns:ds="http://schemas.openxmlformats.org/officeDocument/2006/customXml" ds:itemID="{F231032A-1982-4D4E-BFC6-AC1214FE35BD}">
  <ds:schemaRefs>
    <ds:schemaRef ds:uri="http://www.w3.org/2001/XMLSchema"/>
    <ds:schemaRef ds:uri="http://microsoft.data.visualization.Client.Excel/1.0"/>
  </ds:schemaRefs>
</ds:datastoreItem>
</file>

<file path=customXml/itemProps11.xml><?xml version="1.0" encoding="utf-8"?>
<ds:datastoreItem xmlns:ds="http://schemas.openxmlformats.org/officeDocument/2006/customXml" ds:itemID="{4A542ADE-7218-4E6D-9990-F56CD720276D}">
  <ds:schemaRefs/>
</ds:datastoreItem>
</file>

<file path=customXml/itemProps12.xml><?xml version="1.0" encoding="utf-8"?>
<ds:datastoreItem xmlns:ds="http://schemas.openxmlformats.org/officeDocument/2006/customXml" ds:itemID="{DDEA0812-4A90-4F13-A274-E0834ACD6EA9}">
  <ds:schemaRefs/>
</ds:datastoreItem>
</file>

<file path=customXml/itemProps13.xml><?xml version="1.0" encoding="utf-8"?>
<ds:datastoreItem xmlns:ds="http://schemas.openxmlformats.org/officeDocument/2006/customXml" ds:itemID="{C65D340C-4ADC-4138-9CC1-5620A2F1AFD0}">
  <ds:schemaRefs/>
</ds:datastoreItem>
</file>

<file path=customXml/itemProps14.xml><?xml version="1.0" encoding="utf-8"?>
<ds:datastoreItem xmlns:ds="http://schemas.openxmlformats.org/officeDocument/2006/customXml" ds:itemID="{410C7C09-14A5-4913-8D89-F41527EE3BB7}">
  <ds:schemaRefs/>
</ds:datastoreItem>
</file>

<file path=customXml/itemProps15.xml><?xml version="1.0" encoding="utf-8"?>
<ds:datastoreItem xmlns:ds="http://schemas.openxmlformats.org/officeDocument/2006/customXml" ds:itemID="{90365C79-A728-4723-BA5F-F03D53A08D93}">
  <ds:schemaRefs/>
</ds:datastoreItem>
</file>

<file path=customXml/itemProps16.xml><?xml version="1.0" encoding="utf-8"?>
<ds:datastoreItem xmlns:ds="http://schemas.openxmlformats.org/officeDocument/2006/customXml" ds:itemID="{B5B2C533-421C-419F-97B4-9A281628BDB5}">
  <ds:schemaRefs>
    <ds:schemaRef ds:uri="http://www.w3.org/2001/XMLSchema"/>
    <ds:schemaRef ds:uri="http://microsoft.data.visualization.engine.tours/1.0"/>
  </ds:schemaRefs>
</ds:datastoreItem>
</file>

<file path=customXml/itemProps17.xml><?xml version="1.0" encoding="utf-8"?>
<ds:datastoreItem xmlns:ds="http://schemas.openxmlformats.org/officeDocument/2006/customXml" ds:itemID="{0A284C3E-A912-40A9-99B5-6D1D9C250E0B}">
  <ds:schemaRefs/>
</ds:datastoreItem>
</file>

<file path=customXml/itemProps18.xml><?xml version="1.0" encoding="utf-8"?>
<ds:datastoreItem xmlns:ds="http://schemas.openxmlformats.org/officeDocument/2006/customXml" ds:itemID="{6F6995A5-47F1-4733-B28C-94D2980B5732}">
  <ds:schemaRefs/>
</ds:datastoreItem>
</file>

<file path=customXml/itemProps19.xml><?xml version="1.0" encoding="utf-8"?>
<ds:datastoreItem xmlns:ds="http://schemas.openxmlformats.org/officeDocument/2006/customXml" ds:itemID="{7F70A4F4-4DD8-463D-AF42-80E6FA2797F7}">
  <ds:schemaRefs/>
</ds:datastoreItem>
</file>

<file path=customXml/itemProps20.xml><?xml version="1.0" encoding="utf-8"?>
<ds:datastoreItem xmlns:ds="http://schemas.openxmlformats.org/officeDocument/2006/customXml" ds:itemID="{AA5E4901-9E58-4260-B429-9CD09FCDD091}">
  <ds:schemaRefs/>
</ds:datastoreItem>
</file>

<file path=customXml/itemProps21.xml><?xml version="1.0" encoding="utf-8"?>
<ds:datastoreItem xmlns:ds="http://schemas.openxmlformats.org/officeDocument/2006/customXml" ds:itemID="{941BBBC9-C27B-4508-AAE5-58A90A416DB3}">
  <ds:schemaRefs/>
</ds:datastoreItem>
</file>

<file path=customXml/itemProps22.xml><?xml version="1.0" encoding="utf-8"?>
<ds:datastoreItem xmlns:ds="http://schemas.openxmlformats.org/officeDocument/2006/customXml" ds:itemID="{63E045F5-323E-4690-8063-E23F0FF766B8}">
  <ds:schemaRefs/>
</ds:datastoreItem>
</file>

<file path=customXml/itemProps23.xml><?xml version="1.0" encoding="utf-8"?>
<ds:datastoreItem xmlns:ds="http://schemas.openxmlformats.org/officeDocument/2006/customXml" ds:itemID="{74829059-0B4F-40DC-BA26-0DBD9E8C6C33}">
  <ds:schemaRefs/>
</ds:datastoreItem>
</file>

<file path=customXml/itemProps24.xml><?xml version="1.0" encoding="utf-8"?>
<ds:datastoreItem xmlns:ds="http://schemas.openxmlformats.org/officeDocument/2006/customXml" ds:itemID="{D247D4B8-4BBB-4943-AD6B-411F73682483}">
  <ds:schemaRefs>
    <ds:schemaRef ds:uri="http://schemas.microsoft.com/DataMashup"/>
  </ds:schemaRefs>
</ds:datastoreItem>
</file>

<file path=customXml/itemProps25.xml><?xml version="1.0" encoding="utf-8"?>
<ds:datastoreItem xmlns:ds="http://schemas.openxmlformats.org/officeDocument/2006/customXml" ds:itemID="{01F0F359-0A1C-4673-8A3D-4690D06083B3}">
  <ds:schemaRefs/>
</ds:datastoreItem>
</file>

<file path=customXml/itemProps26.xml><?xml version="1.0" encoding="utf-8"?>
<ds:datastoreItem xmlns:ds="http://schemas.openxmlformats.org/officeDocument/2006/customXml" ds:itemID="{3A03CD23-410A-423D-843F-1194444AC632}">
  <ds:schemaRefs/>
</ds:datastoreItem>
</file>

<file path=customXml/itemProps27.xml><?xml version="1.0" encoding="utf-8"?>
<ds:datastoreItem xmlns:ds="http://schemas.openxmlformats.org/officeDocument/2006/customXml" ds:itemID="{780779BE-AF58-4A42-A273-C14FD6AE22AE}">
  <ds:schemaRefs/>
</ds:datastoreItem>
</file>

<file path=customXml/itemProps28.xml><?xml version="1.0" encoding="utf-8"?>
<ds:datastoreItem xmlns:ds="http://schemas.openxmlformats.org/officeDocument/2006/customXml" ds:itemID="{E03F14DF-BB09-4055-AC99-6D46E7680845}">
  <ds:schemaRefs/>
</ds:datastoreItem>
</file>

<file path=customXml/itemProps29.xml><?xml version="1.0" encoding="utf-8"?>
<ds:datastoreItem xmlns:ds="http://schemas.openxmlformats.org/officeDocument/2006/customXml" ds:itemID="{88111381-69F2-4CAE-8B63-F88602158B87}">
  <ds:schemaRefs/>
</ds:datastoreItem>
</file>

<file path=customXml/itemProps30.xml><?xml version="1.0" encoding="utf-8"?>
<ds:datastoreItem xmlns:ds="http://schemas.openxmlformats.org/officeDocument/2006/customXml" ds:itemID="{F5056605-8287-4AB7-B0A0-5165012ECADD}">
  <ds:schemaRefs/>
</ds:datastoreItem>
</file>

<file path=customXml/itemProps31.xml><?xml version="1.0" encoding="utf-8"?>
<ds:datastoreItem xmlns:ds="http://schemas.openxmlformats.org/officeDocument/2006/customXml" ds:itemID="{A96A31CB-920B-4072-8716-AC6FC823CE0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Documentation</vt:lpstr>
      <vt:lpstr>Migration Dashboard</vt:lpstr>
      <vt:lpstr>Migration Pivot</vt:lpstr>
      <vt:lpstr>Weight Analysis</vt:lpstr>
      <vt:lpstr>Length Analysis</vt:lpstr>
      <vt:lpstr>Wingspan Analysis</vt:lpstr>
      <vt:lpstr>Datasets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NP Excel Module 10, Case Problem 2</dc:title>
  <dc:creator>Your Name</dc:creator>
  <cp:lastModifiedBy>Patrick Carey</cp:lastModifiedBy>
  <dcterms:created xsi:type="dcterms:W3CDTF">2015-11-12T22:55:14Z</dcterms:created>
  <dcterms:modified xsi:type="dcterms:W3CDTF">2021-12-01T08:09:34Z</dcterms:modified>
</cp:coreProperties>
</file>
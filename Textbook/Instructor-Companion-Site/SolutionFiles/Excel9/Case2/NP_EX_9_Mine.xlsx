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9\Case2\"/>
    </mc:Choice>
  </mc:AlternateContent>
  <xr:revisionPtr revIDLastSave="0" documentId="13_ncr:1_{861EF047-B0B0-41B9-8596-872F93E40E1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ocumentation" sheetId="1" r:id="rId1"/>
    <sheet name="Project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3" i="2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7" i="2"/>
  <c r="H7" i="2" s="1"/>
  <c r="G6" i="2"/>
  <c r="H6" i="2" s="1"/>
  <c r="B12" i="2"/>
  <c r="G32" i="2" s="1"/>
  <c r="H32" i="2" s="1"/>
  <c r="I6" i="2" l="1"/>
  <c r="I7" i="2"/>
  <c r="B22" i="2"/>
  <c r="B30" i="2"/>
  <c r="B38" i="2"/>
  <c r="I8" i="2"/>
  <c r="I16" i="2"/>
  <c r="I24" i="2"/>
  <c r="I32" i="2"/>
  <c r="B29" i="2"/>
  <c r="B23" i="2"/>
  <c r="B31" i="2"/>
  <c r="B39" i="2"/>
  <c r="I9" i="2"/>
  <c r="I17" i="2"/>
  <c r="I25" i="2"/>
  <c r="B37" i="2"/>
  <c r="B24" i="2"/>
  <c r="B32" i="2"/>
  <c r="B21" i="2"/>
  <c r="I10" i="2"/>
  <c r="I18" i="2"/>
  <c r="I26" i="2"/>
  <c r="B34" i="2"/>
  <c r="I12" i="2"/>
  <c r="I28" i="2"/>
  <c r="B35" i="2"/>
  <c r="I13" i="2"/>
  <c r="I29" i="2"/>
  <c r="B36" i="2"/>
  <c r="I14" i="2"/>
  <c r="I23" i="2"/>
  <c r="B25" i="2"/>
  <c r="B33" i="2"/>
  <c r="I11" i="2"/>
  <c r="I19" i="2"/>
  <c r="I27" i="2"/>
  <c r="I20" i="2"/>
  <c r="B27" i="2"/>
  <c r="I21" i="2"/>
  <c r="I22" i="2"/>
  <c r="I31" i="2"/>
  <c r="B26" i="2"/>
  <c r="I30" i="2"/>
  <c r="I15" i="2"/>
  <c r="B28" i="2"/>
  <c r="B14" i="2"/>
</calcChain>
</file>

<file path=xl/sharedStrings.xml><?xml version="1.0" encoding="utf-8"?>
<sst xmlns="http://schemas.openxmlformats.org/spreadsheetml/2006/main" count="56" uniqueCount="55">
  <si>
    <t>Author</t>
  </si>
  <si>
    <t>Date</t>
  </si>
  <si>
    <t>Purpose</t>
  </si>
  <si>
    <t>Startup Costs ($mil)</t>
  </si>
  <si>
    <t>Year</t>
  </si>
  <si>
    <t>Income ($mil)</t>
  </si>
  <si>
    <t>Profit ($mil)</t>
  </si>
  <si>
    <t>Cleanup</t>
  </si>
  <si>
    <t>Startup</t>
  </si>
  <si>
    <t>Cost of Goods ($mil)</t>
  </si>
  <si>
    <t>Fixed Costs ($mil)</t>
  </si>
  <si>
    <t>Discount Rate</t>
  </si>
  <si>
    <t>Guess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</si>
  <si>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</si>
  <si>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</si>
  <si>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</si>
  <si>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</si>
  <si>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</si>
  <si>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</si>
  <si>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</si>
  <si>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</si>
  <si>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</si>
  <si>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</si>
  <si>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</si>
  <si>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</si>
  <si>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</si>
  <si>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</si>
  <si>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</si>
  <si>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</si>
  <si>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</si>
  <si>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</si>
  <si>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</si>
  <si>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</si>
  <si>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</si>
  <si>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</si>
  <si>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</si>
  <si>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</si>
  <si>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</si>
  <si>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Net Present Value ($mil)</t>
  </si>
  <si>
    <t>Total Income ($mil)</t>
  </si>
  <si>
    <t>Total Expenses ($mil)</t>
  </si>
  <si>
    <t>Internal Rate of Return</t>
  </si>
  <si>
    <t>Operational Cost Percentage</t>
  </si>
  <si>
    <t>Current Cleanup Costs ($mil)</t>
  </si>
  <si>
    <t>Inflation Rate</t>
  </si>
  <si>
    <t>Years of Operation</t>
  </si>
  <si>
    <t>Final Cleanup Costs ($mil)</t>
  </si>
  <si>
    <t>Projections</t>
  </si>
  <si>
    <t>Initial Assumptions</t>
  </si>
  <si>
    <t>Year-by-Year Projections</t>
  </si>
  <si>
    <t>Midwest Copper</t>
  </si>
  <si>
    <t>To calculate the net present value and internal rate of return for a copper mine near Spirit River, Minnesota</t>
  </si>
  <si>
    <t>Spirit River Copper Mine Analysis</t>
  </si>
  <si>
    <t>Linda Rubin</t>
  </si>
  <si>
    <t>Cumulative Profit ($mil)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</si>
</sst>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</numFmts>
  <fonts count="1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color theme="8" tint="0.79998168889431442"/>
      <name val="Century Gothic"/>
      <family val="2"/>
      <scheme val="minor"/>
    </font>
    <font>
      <sz val="11"/>
      <color theme="9" tint="-0.249977111117893"/>
      <name val="Century Gothic"/>
      <family val="2"/>
      <scheme val="minor"/>
    </font>
    <font>
      <b/>
      <sz val="26"/>
      <color theme="9"/>
      <name val="Century Gothic"/>
      <family val="1"/>
      <scheme val="major"/>
    </font>
    <font>
      <b/>
      <sz val="11"/>
      <color theme="1"/>
      <name val="Century Gothic"/>
      <family val="1"/>
      <scheme val="minor"/>
    </font>
    <font>
      <b/>
      <sz val="14"/>
      <color theme="7"/>
      <name val="Century Gothic"/>
      <family val="2"/>
      <scheme val="minor"/>
    </font>
    <font>
      <b/>
      <sz val="12"/>
      <color theme="7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2" applyNumberFormat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8" fillId="0" borderId="0" xfId="3" applyFont="1"/>
    <xf numFmtId="0" fontId="5" fillId="3" borderId="4" xfId="6" applyBorder="1"/>
    <xf numFmtId="0" fontId="5" fillId="3" borderId="0" xfId="6" applyAlignment="1">
      <alignment horizontal="center"/>
    </xf>
    <xf numFmtId="0" fontId="5" fillId="3" borderId="0" xfId="6" applyBorder="1"/>
    <xf numFmtId="164" fontId="0" fillId="0" borderId="4" xfId="0" applyNumberFormat="1" applyBorder="1"/>
    <xf numFmtId="10" fontId="0" fillId="0" borderId="4" xfId="0" applyNumberFormat="1" applyBorder="1"/>
    <xf numFmtId="0" fontId="9" fillId="4" borderId="0" xfId="7" applyFont="1"/>
    <xf numFmtId="44" fontId="9" fillId="4" borderId="0" xfId="7" applyNumberFormat="1" applyFont="1"/>
    <xf numFmtId="44" fontId="9" fillId="4" borderId="0" xfId="2" applyFont="1" applyFill="1"/>
    <xf numFmtId="0" fontId="0" fillId="0" borderId="0" xfId="0" applyFill="1"/>
    <xf numFmtId="0" fontId="4" fillId="2" borderId="2" xfId="5"/>
    <xf numFmtId="164" fontId="4" fillId="2" borderId="2" xfId="5" applyNumberFormat="1"/>
    <xf numFmtId="0" fontId="10" fillId="0" borderId="0" xfId="4" applyFont="1" applyBorder="1" applyAlignment="1">
      <alignment horizontal="left"/>
    </xf>
    <xf numFmtId="0" fontId="11" fillId="0" borderId="0" xfId="4" applyFont="1" applyBorder="1" applyAlignment="1">
      <alignment horizontal="left"/>
    </xf>
    <xf numFmtId="0" fontId="6" fillId="5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vertical="top" wrapText="1"/>
    </xf>
    <xf numFmtId="14" fontId="7" fillId="0" borderId="3" xfId="0" applyNumberFormat="1" applyFont="1" applyBorder="1" applyAlignment="1">
      <alignment vertical="top" wrapText="1"/>
    </xf>
    <xf numFmtId="8" fontId="0" fillId="0" borderId="0" xfId="1" applyNumberFormat="1" applyFont="1" applyFill="1"/>
    <xf numFmtId="8" fontId="9" fillId="4" borderId="0" xfId="2" applyNumberFormat="1" applyFont="1" applyFill="1"/>
    <xf numFmtId="165" fontId="9" fillId="4" borderId="0" xfId="7" applyNumberFormat="1" applyFont="1"/>
    <xf numFmtId="8" fontId="9" fillId="4" borderId="0" xfId="7" applyNumberFormat="1" applyFont="1"/>
    <xf numFmtId="8" fontId="12" fillId="0" borderId="0" xfId="1" applyNumberFormat="1" applyFont="1" applyFill="1"/>
    <xf numFmtId="165" fontId="4" fillId="2" borderId="2" xfId="2" applyNumberFormat="1" applyFont="1" applyFill="1" applyBorder="1"/>
    <xf numFmtId="165" fontId="0" fillId="0" borderId="4" xfId="2" applyNumberFormat="1" applyFont="1" applyBorder="1"/>
    <xf numFmtId="8" fontId="0" fillId="0" borderId="4" xfId="0" applyNumberFormat="1" applyBorder="1"/>
  </cellXfs>
  <cellStyles count="8">
    <cellStyle name="20% - Accent4" xfId="7" builtinId="42"/>
    <cellStyle name="Accent4" xfId="6" builtinId="41"/>
    <cellStyle name="Comma" xfId="1" builtinId="3"/>
    <cellStyle name="Currency" xfId="2" builtinId="4"/>
    <cellStyle name="Heading 1" xfId="4" builtinId="16"/>
    <cellStyle name="Input" xfId="5" builtinId="20"/>
    <cellStyle name="Normal" xfId="0" builtinId="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Analysis'!$I$5</c:f>
              <c:strCache>
                <c:ptCount val="1"/>
                <c:pt idx="0">
                  <c:v>Cumulative Profit ($mil)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 Analysis'!$D$6:$D$32</c:f>
              <c:strCache>
                <c:ptCount val="27"/>
                <c:pt idx="0">
                  <c:v>Startup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  <c:pt idx="11">
                  <c:v>Year 11</c:v>
                </c:pt>
                <c:pt idx="12">
                  <c:v>Year 12</c:v>
                </c:pt>
                <c:pt idx="13">
                  <c:v>Year 13</c:v>
                </c:pt>
                <c:pt idx="14">
                  <c:v>Year 14</c:v>
                </c:pt>
                <c:pt idx="15">
                  <c:v>Year 15</c:v>
                </c:pt>
                <c:pt idx="16">
                  <c:v>Year 16</c:v>
                </c:pt>
                <c:pt idx="17">
                  <c:v>Year 17</c:v>
                </c:pt>
                <c:pt idx="18">
                  <c:v>Year 18</c:v>
                </c:pt>
                <c:pt idx="19">
                  <c:v>Year 19</c:v>
                </c:pt>
                <c:pt idx="20">
                  <c:v>Year 20</c:v>
                </c:pt>
                <c:pt idx="21">
                  <c:v>Year 21</c:v>
                </c:pt>
                <c:pt idx="22">
                  <c:v>Year 22</c:v>
                </c:pt>
                <c:pt idx="23">
                  <c:v>Year 23</c:v>
                </c:pt>
                <c:pt idx="24">
                  <c:v>Year 24</c:v>
                </c:pt>
                <c:pt idx="25">
                  <c:v>Year 25</c:v>
                </c:pt>
                <c:pt idx="26">
                  <c:v>Cleanup</c:v>
                </c:pt>
              </c:strCache>
            </c:strRef>
          </c:cat>
          <c:val>
            <c:numRef>
              <c:f>'Project Analysis'!$I$6:$I$32</c:f>
              <c:numCache>
                <c:formatCode>"$"#,##0.00_);[Red]\("$"#,##0.00\)</c:formatCode>
                <c:ptCount val="27"/>
                <c:pt idx="0">
                  <c:v>-12.3</c:v>
                </c:pt>
                <c:pt idx="1">
                  <c:v>-13.59</c:v>
                </c:pt>
                <c:pt idx="2">
                  <c:v>-14.736016114731015</c:v>
                </c:pt>
                <c:pt idx="3">
                  <c:v>-15.649459640867777</c:v>
                </c:pt>
                <c:pt idx="4">
                  <c:v>-16.20312027915422</c:v>
                </c:pt>
                <c:pt idx="5">
                  <c:v>-16.214765793995628</c:v>
                </c:pt>
                <c:pt idx="6">
                  <c:v>-15.423794397577113</c:v>
                </c:pt>
                <c:pt idx="7">
                  <c:v>-13.45799763184403</c:v>
                </c:pt>
                <c:pt idx="8">
                  <c:v>-9.786245492291</c:v>
                </c:pt>
                <c:pt idx="9">
                  <c:v>-3.6511318172816045</c:v>
                </c:pt>
                <c:pt idx="10">
                  <c:v>6.0269069203597168</c:v>
                </c:pt>
                <c:pt idx="11">
                  <c:v>13.893238150302036</c:v>
                </c:pt>
                <c:pt idx="12">
                  <c:v>20.182444431420407</c:v>
                </c:pt>
                <c:pt idx="13">
                  <c:v>25.095614153494296</c:v>
                </c:pt>
                <c:pt idx="14">
                  <c:v>28.804989304765876</c:v>
                </c:pt>
                <c:pt idx="15">
                  <c:v>31.457963033563054</c:v>
                </c:pt>
                <c:pt idx="16">
                  <c:v>33.18051775349916</c:v>
                </c:pt>
                <c:pt idx="17">
                  <c:v>34.080181867351399</c:v>
                </c:pt>
                <c:pt idx="18">
                  <c:v>34.248572280126162</c:v>
                </c:pt>
                <c:pt idx="19">
                  <c:v>33.763580489896036</c:v>
                </c:pt>
                <c:pt idx="20">
                  <c:v>32.69125197310742</c:v>
                </c:pt>
                <c:pt idx="21">
                  <c:v>31.590156307997667</c:v>
                </c:pt>
                <c:pt idx="22">
                  <c:v>30.422370209398892</c:v>
                </c:pt>
                <c:pt idx="23">
                  <c:v>29.153762720659991</c:v>
                </c:pt>
                <c:pt idx="24">
                  <c:v>27.753615980794979</c:v>
                </c:pt>
                <c:pt idx="25">
                  <c:v>26.194283914916468</c:v>
                </c:pt>
                <c:pt idx="26">
                  <c:v>-4.3710642562665782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E-4AD5-9F6F-8C5A93CD0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732352"/>
        <c:axId val="507037888"/>
      </c:lineChart>
      <c:catAx>
        <c:axId val="63273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37888"/>
        <c:crosses val="autoZero"/>
        <c:auto val="1"/>
        <c:lblAlgn val="ctr"/>
        <c:lblOffset val="100"/>
        <c:noMultiLvlLbl val="0"/>
      </c:catAx>
      <c:valAx>
        <c:axId val="5070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73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'Project Analysis'!$B$20</c:f>
              <c:strCache>
                <c:ptCount val="1"/>
                <c:pt idx="0">
                  <c:v>Net Present Value ($mil)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'Project Analysis'!$A$21:$A$39</c:f>
              <c:numCache>
                <c:formatCode>0.0%</c:formatCode>
                <c:ptCount val="19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5.5E-2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7.4999999999999997E-2</c:v>
                </c:pt>
                <c:pt idx="14">
                  <c:v>0.08</c:v>
                </c:pt>
                <c:pt idx="15">
                  <c:v>8.5000000000000006E-2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0.1</c:v>
                </c:pt>
              </c:numCache>
            </c:numRef>
          </c:xVal>
          <c:yVal>
            <c:numRef>
              <c:f>'Project Analysis'!$B$21:$B$39</c:f>
              <c:numCache>
                <c:formatCode>"$"#,##0.00_);[Red]\("$"#,##0.00\)</c:formatCode>
                <c:ptCount val="19"/>
                <c:pt idx="0">
                  <c:v>-0.99673112826132559</c:v>
                </c:pt>
                <c:pt idx="1">
                  <c:v>0.15650388153362726</c:v>
                </c:pt>
                <c:pt idx="2">
                  <c:v>1.0256267717021075</c:v>
                </c:pt>
                <c:pt idx="3">
                  <c:v>1.6549913787923973</c:v>
                </c:pt>
                <c:pt idx="4">
                  <c:v>2.0826133159844211</c:v>
                </c:pt>
                <c:pt idx="5">
                  <c:v>2.3410625895676098</c:v>
                </c:pt>
                <c:pt idx="6">
                  <c:v>2.4582293329019329</c:v>
                </c:pt>
                <c:pt idx="7">
                  <c:v>2.4579810288428714</c:v>
                </c:pt>
                <c:pt idx="8">
                  <c:v>2.3607268725163433</c:v>
                </c:pt>
                <c:pt idx="9">
                  <c:v>2.1839026191819837</c:v>
                </c:pt>
                <c:pt idx="10">
                  <c:v>1.9423873028262051</c:v>
                </c:pt>
                <c:pt idx="11">
                  <c:v>1.6488615463244987</c:v>
                </c:pt>
                <c:pt idx="12">
                  <c:v>1.3141157682479978</c:v>
                </c:pt>
                <c:pt idx="13">
                  <c:v>0.94731538653206471</c:v>
                </c:pt>
                <c:pt idx="14">
                  <c:v>0.55622909311392554</c:v>
                </c:pt>
                <c:pt idx="15">
                  <c:v>0.14742539914865738</c:v>
                </c:pt>
                <c:pt idx="16">
                  <c:v>-0.27355809539998965</c:v>
                </c:pt>
                <c:pt idx="17">
                  <c:v>-0.70206889049437216</c:v>
                </c:pt>
                <c:pt idx="18">
                  <c:v>-1.1342139593606486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51-4F59-954E-262B15F76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795984"/>
        <c:axId val="623916624"/>
      </c:scatterChart>
      <c:valAx>
        <c:axId val="50179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16624"/>
        <c:crosses val="autoZero"/>
        <c:crossBetween val="midCat"/>
      </c:valAx>
      <c:valAx>
        <c:axId val="62391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79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158749</xdr:colOff>
      <xdr:row>4</xdr:row>
      <xdr:rowOff>0</xdr:rowOff>
    </xdr:from>
    <xdr:to>
      <xdr:col>16</xdr:col>
      <xdr:colOff>682624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DE5E4-93BA-41A6-8E4C-621438636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158749</xdr:colOff>
      <xdr:row>21</xdr:row>
      <xdr:rowOff>0</xdr:rowOff>
    </xdr:from>
    <xdr:to>
      <xdr:col>16</xdr:col>
      <xdr:colOff>682624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FC53F0-C6DE-4718-ADA1-4D2826881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6.5" x14ac:dyDescent="0.3"/>
  <cols>
    <col min="2" max="2" width="40.875" customWidth="1"/>
  </cols>
  <sheetData>
    <row r="1" spans="1:2" ht="32.25" x14ac:dyDescent="0.4">
      <c r="A1" s="1" t="s">
        <v>50</v>
      </c>
    </row>
    <row r="3" spans="1:2" x14ac:dyDescent="0.3">
      <c r="A3" s="15" t="s">
        <v>0</v>
      </c>
      <c r="B3" s="16" t="s">
        <v>53</v>
      </c>
    </row>
    <row r="4" spans="1:2" x14ac:dyDescent="0.3">
      <c r="A4" s="15" t="s">
        <v>1</v>
      </c>
      <c r="B4" s="17">
        <v>45352</v>
      </c>
    </row>
    <row r="5" spans="1:2" ht="49.5" x14ac:dyDescent="0.3">
      <c r="A5" s="15" t="s">
        <v>2</v>
      </c>
      <c r="B5" s="16" t="s">
        <v>51</v>
      </c>
    </row>
  </sheetData>
  <pageMargins left="0.7" right="0.7" top="0.75" bottom="0.75" header="0.3" footer="0.3"/>
  <pageSetup orientation="portrait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9"/>
  <sheetViews>
    <sheetView zoomScale="120" zoomScaleNormal="120" workbookViewId="0"/>
  </sheetViews>
  <sheetFormatPr defaultRowHeight="16.5" x14ac:dyDescent="0.3"/>
  <cols>
    <col min="1" max="1" width="29" customWidth="1"/>
    <col min="2" max="2" width="23.875" customWidth="1"/>
    <col min="3" max="3" width="2.25" customWidth="1"/>
    <col min="4" max="4" width="9" customWidth="1"/>
    <col min="5" max="5" width="14.75" customWidth="1"/>
    <col min="6" max="6" width="19.25" customWidth="1"/>
    <col min="7" max="7" width="22.5" customWidth="1"/>
    <col min="8" max="8" width="18.875" customWidth="1"/>
    <col min="9" max="9" width="23.5" customWidth="1"/>
    <col min="10" max="10" width="2.125" customWidth="1"/>
  </cols>
  <sheetData>
    <row r="1" spans="1:9" ht="32.25" x14ac:dyDescent="0.4">
      <c r="A1" s="1" t="s">
        <v>50</v>
      </c>
    </row>
    <row r="2" spans="1:9" ht="18.75" x14ac:dyDescent="0.3">
      <c r="A2" s="13" t="s">
        <v>52</v>
      </c>
    </row>
    <row r="4" spans="1:9" x14ac:dyDescent="0.3">
      <c r="A4" s="14" t="s">
        <v>48</v>
      </c>
      <c r="D4" s="14" t="s">
        <v>49</v>
      </c>
    </row>
    <row r="5" spans="1:9" x14ac:dyDescent="0.3">
      <c r="A5" s="2" t="s">
        <v>3</v>
      </c>
      <c r="B5" s="23">
        <v>12.3</v>
      </c>
      <c r="D5" s="3" t="s">
        <v>4</v>
      </c>
      <c r="E5" s="3" t="s">
        <v>5</v>
      </c>
      <c r="F5" s="3" t="s">
        <v>9</v>
      </c>
      <c r="G5" s="3" t="s">
        <v>10</v>
      </c>
      <c r="H5" s="3" t="s">
        <v>6</v>
      </c>
      <c r="I5" s="3" t="s">
        <v>54</v>
      </c>
    </row>
    <row r="6" spans="1:9" x14ac:dyDescent="0.3">
      <c r="A6" s="2" t="s">
        <v>42</v>
      </c>
      <c r="B6" s="12">
        <v>0.32</v>
      </c>
      <c r="D6" s="7" t="s">
        <v>8</v>
      </c>
      <c r="E6" s="8"/>
      <c r="F6" s="8"/>
      <c r="G6" s="20">
        <f>B5</f>
        <v>12.3</v>
      </c>
      <c r="H6" s="21">
        <f>E6-(F6+G6)</f>
        <v>-12.3</v>
      </c>
      <c r="I6" s="21">
        <f>SUM($H$6:H6)</f>
        <v>-12.3</v>
      </c>
    </row>
    <row r="7" spans="1:9" x14ac:dyDescent="0.3">
      <c r="A7" s="2" t="s">
        <v>43</v>
      </c>
      <c r="B7" s="23">
        <v>13.25</v>
      </c>
      <c r="D7" s="10" t="s">
        <v>13</v>
      </c>
      <c r="E7" s="18">
        <v>0.75000000000000022</v>
      </c>
      <c r="F7" s="18">
        <f>E7*$B$6</f>
        <v>0.24000000000000007</v>
      </c>
      <c r="G7" s="18">
        <v>1.8</v>
      </c>
      <c r="H7" s="18">
        <f t="shared" ref="H7:H32" si="0">E7-(F7+G7)</f>
        <v>-1.2899999999999998</v>
      </c>
      <c r="I7" s="22">
        <f>SUM($H$6:H7)</f>
        <v>-13.59</v>
      </c>
    </row>
    <row r="8" spans="1:9" x14ac:dyDescent="0.3">
      <c r="A8" s="4" t="s">
        <v>45</v>
      </c>
      <c r="B8" s="11">
        <v>25</v>
      </c>
      <c r="D8" s="10" t="s">
        <v>14</v>
      </c>
      <c r="E8" s="18">
        <v>1.0676233606896846</v>
      </c>
      <c r="F8" s="18">
        <f t="shared" ref="F8:F31" si="1">E8*$B$6</f>
        <v>0.34163947542069906</v>
      </c>
      <c r="G8" s="18">
        <v>1.8720000000000001</v>
      </c>
      <c r="H8" s="18">
        <f t="shared" si="0"/>
        <v>-1.1460161147310144</v>
      </c>
      <c r="I8" s="22">
        <f>SUM($H$6:H8)</f>
        <v>-14.736016114731015</v>
      </c>
    </row>
    <row r="9" spans="1:9" x14ac:dyDescent="0.3">
      <c r="A9" s="2" t="s">
        <v>44</v>
      </c>
      <c r="B9" s="12">
        <v>3.4000000000000002E-2</v>
      </c>
      <c r="D9" s="10" t="s">
        <v>15</v>
      </c>
      <c r="E9" s="18">
        <v>1.519759520387115</v>
      </c>
      <c r="F9" s="18">
        <f t="shared" si="1"/>
        <v>0.48632304652387681</v>
      </c>
      <c r="G9" s="18">
        <v>1.9468800000000002</v>
      </c>
      <c r="H9" s="18">
        <f t="shared" si="0"/>
        <v>-0.91344352613676194</v>
      </c>
      <c r="I9" s="22">
        <f>SUM($H$6:H9)</f>
        <v>-15.649459640867777</v>
      </c>
    </row>
    <row r="10" spans="1:9" x14ac:dyDescent="0.3">
      <c r="D10" s="10" t="s">
        <v>16</v>
      </c>
      <c r="E10" s="18">
        <v>2.1633743554611127</v>
      </c>
      <c r="F10" s="18">
        <f t="shared" si="1"/>
        <v>0.6922797937475561</v>
      </c>
      <c r="G10" s="18">
        <v>2.0247552000000004</v>
      </c>
      <c r="H10" s="18">
        <f t="shared" si="0"/>
        <v>-0.55366063828644396</v>
      </c>
      <c r="I10" s="22">
        <f>SUM($H$6:H10)</f>
        <v>-16.20312027915422</v>
      </c>
    </row>
    <row r="11" spans="1:9" x14ac:dyDescent="0.3">
      <c r="A11" s="14" t="s">
        <v>47</v>
      </c>
      <c r="D11" s="10" t="s">
        <v>17</v>
      </c>
      <c r="E11" s="18">
        <v>3.0795586664096968</v>
      </c>
      <c r="F11" s="18">
        <f t="shared" si="1"/>
        <v>0.98545877325110298</v>
      </c>
      <c r="G11" s="18">
        <v>2.1057454080000007</v>
      </c>
      <c r="H11" s="18">
        <f t="shared" si="0"/>
        <v>-1.1645514841406968E-2</v>
      </c>
      <c r="I11" s="22">
        <f>SUM($H$6:H11)</f>
        <v>-16.214765793995628</v>
      </c>
    </row>
    <row r="12" spans="1:9" x14ac:dyDescent="0.3">
      <c r="A12" s="2" t="s">
        <v>46</v>
      </c>
      <c r="B12" s="24">
        <f>-FV(B9,B8,0,B7)</f>
        <v>30.565348171183047</v>
      </c>
      <c r="D12" s="10" t="s">
        <v>18</v>
      </c>
      <c r="E12" s="18">
        <v>4.3837450304978169</v>
      </c>
      <c r="F12" s="18">
        <f t="shared" si="1"/>
        <v>1.4027984097593014</v>
      </c>
      <c r="G12" s="18">
        <v>2.1899752243200008</v>
      </c>
      <c r="H12" s="18">
        <f t="shared" si="0"/>
        <v>0.79097139641851477</v>
      </c>
      <c r="I12" s="22">
        <f>SUM($H$6:H12)</f>
        <v>-15.423794397577113</v>
      </c>
    </row>
    <row r="13" spans="1:9" x14ac:dyDescent="0.3">
      <c r="A13" s="2" t="s">
        <v>39</v>
      </c>
      <c r="B13" s="24">
        <f>SUM(E:E)</f>
        <v>155.98793148472251</v>
      </c>
      <c r="D13" s="10" t="s">
        <v>19</v>
      </c>
      <c r="E13" s="18">
        <v>6.2402514691557105</v>
      </c>
      <c r="F13" s="18">
        <f t="shared" si="1"/>
        <v>1.9968804701298275</v>
      </c>
      <c r="G13" s="18">
        <v>2.2775742332928006</v>
      </c>
      <c r="H13" s="18">
        <f t="shared" si="0"/>
        <v>1.9657967657330824</v>
      </c>
      <c r="I13" s="22">
        <f>SUM($H$6:H13)</f>
        <v>-13.45799763184403</v>
      </c>
    </row>
    <row r="14" spans="1:9" x14ac:dyDescent="0.3">
      <c r="A14" s="2" t="s">
        <v>40</v>
      </c>
      <c r="B14" s="24">
        <f>SUM(F:G)</f>
        <v>160.35899574098909</v>
      </c>
      <c r="D14" s="10" t="s">
        <v>20</v>
      </c>
      <c r="E14" s="18">
        <v>8.8829843267316804</v>
      </c>
      <c r="F14" s="18">
        <f t="shared" si="1"/>
        <v>2.8425549845541376</v>
      </c>
      <c r="G14" s="18">
        <v>2.3686772026245126</v>
      </c>
      <c r="H14" s="18">
        <f t="shared" si="0"/>
        <v>3.6717521395530301</v>
      </c>
      <c r="I14" s="22">
        <f>SUM($H$6:H14)</f>
        <v>-9.786245492291</v>
      </c>
    </row>
    <row r="15" spans="1:9" x14ac:dyDescent="0.3">
      <c r="D15" s="10" t="s">
        <v>21</v>
      </c>
      <c r="E15" s="18">
        <v>12.644908773145426</v>
      </c>
      <c r="F15" s="18">
        <f t="shared" si="1"/>
        <v>4.0463708074065368</v>
      </c>
      <c r="G15" s="18">
        <v>2.4634242907294936</v>
      </c>
      <c r="H15" s="18">
        <f t="shared" si="0"/>
        <v>6.1351136750093955</v>
      </c>
      <c r="I15" s="22">
        <f>SUM($H$6:H15)</f>
        <v>-3.6511318172816045</v>
      </c>
    </row>
    <row r="16" spans="1:9" x14ac:dyDescent="0.3">
      <c r="A16" s="2" t="s">
        <v>12</v>
      </c>
      <c r="B16" s="2" t="s">
        <v>41</v>
      </c>
      <c r="D16" s="10" t="s">
        <v>22</v>
      </c>
      <c r="E16" s="18">
        <v>17.999999999999993</v>
      </c>
      <c r="F16" s="18">
        <f t="shared" si="1"/>
        <v>5.759999999999998</v>
      </c>
      <c r="G16" s="18">
        <v>2.5619612623586736</v>
      </c>
      <c r="H16" s="18">
        <f t="shared" si="0"/>
        <v>9.6780387376413213</v>
      </c>
      <c r="I16" s="22">
        <f>SUM($H$6:H16)</f>
        <v>6.0269069203597168</v>
      </c>
    </row>
    <row r="17" spans="1:9" x14ac:dyDescent="0.3">
      <c r="A17" s="5">
        <v>0.01</v>
      </c>
      <c r="B17" s="6">
        <f>IRR(H6:H32,A17)</f>
        <v>1.4236594910798983E-2</v>
      </c>
      <c r="D17" s="10" t="s">
        <v>23</v>
      </c>
      <c r="E17" s="18">
        <v>15.486427857051968</v>
      </c>
      <c r="F17" s="18">
        <f t="shared" si="1"/>
        <v>4.9556569142566298</v>
      </c>
      <c r="G17" s="18">
        <v>2.6644397128530204</v>
      </c>
      <c r="H17" s="18">
        <f t="shared" si="0"/>
        <v>7.8663312299423183</v>
      </c>
      <c r="I17" s="22">
        <f>SUM($H$6:H17)</f>
        <v>13.893238150302036</v>
      </c>
    </row>
    <row r="18" spans="1:9" x14ac:dyDescent="0.3">
      <c r="A18" s="5">
        <v>0.1</v>
      </c>
      <c r="B18" s="6">
        <f>IRR(H6:H32,A18)</f>
        <v>8.6764428844474661E-2</v>
      </c>
      <c r="D18" s="10" t="s">
        <v>24</v>
      </c>
      <c r="E18" s="18">
        <v>13.323858209537518</v>
      </c>
      <c r="F18" s="18">
        <f t="shared" si="1"/>
        <v>4.2636346270520056</v>
      </c>
      <c r="G18" s="18">
        <v>2.7710173013671411</v>
      </c>
      <c r="H18" s="18">
        <f t="shared" si="0"/>
        <v>6.2892062811183713</v>
      </c>
      <c r="I18" s="22">
        <f>SUM($H$6:H18)</f>
        <v>20.182444431420407</v>
      </c>
    </row>
    <row r="19" spans="1:9" x14ac:dyDescent="0.3">
      <c r="D19" s="10" t="s">
        <v>25</v>
      </c>
      <c r="E19" s="18">
        <v>11.46327605219958</v>
      </c>
      <c r="F19" s="18">
        <f t="shared" si="1"/>
        <v>3.6682483367038659</v>
      </c>
      <c r="G19" s="18">
        <v>2.8818579934218271</v>
      </c>
      <c r="H19" s="18">
        <f t="shared" si="0"/>
        <v>4.9131697220738868</v>
      </c>
      <c r="I19" s="22">
        <f>SUM($H$6:H19)</f>
        <v>25.095614153494296</v>
      </c>
    </row>
    <row r="20" spans="1:9" x14ac:dyDescent="0.3">
      <c r="A20" s="2" t="s">
        <v>11</v>
      </c>
      <c r="B20" s="2" t="s">
        <v>38</v>
      </c>
      <c r="D20" s="10" t="s">
        <v>26</v>
      </c>
      <c r="E20" s="18">
        <v>9.8625109771033532</v>
      </c>
      <c r="F20" s="18">
        <f t="shared" si="1"/>
        <v>3.156003512673073</v>
      </c>
      <c r="G20" s="18">
        <v>2.9971323131587004</v>
      </c>
      <c r="H20" s="18">
        <f t="shared" si="0"/>
        <v>3.7093751512715798</v>
      </c>
      <c r="I20" s="22">
        <f>SUM($H$6:H20)</f>
        <v>28.804989304765876</v>
      </c>
    </row>
    <row r="21" spans="1:9" x14ac:dyDescent="0.3">
      <c r="A21" s="5">
        <v>0.01</v>
      </c>
      <c r="B21" s="25">
        <f>$H$6+NPV(A21,$H$7:$H$32)</f>
        <v>-0.99673112826132559</v>
      </c>
      <c r="D21" s="10" t="s">
        <v>27</v>
      </c>
      <c r="E21" s="18">
        <v>8.4852813742385713</v>
      </c>
      <c r="F21" s="18">
        <f t="shared" si="1"/>
        <v>2.7152900397563431</v>
      </c>
      <c r="G21" s="18">
        <v>3.1170176056850485</v>
      </c>
      <c r="H21" s="18">
        <f t="shared" si="0"/>
        <v>2.6529737287971802</v>
      </c>
      <c r="I21" s="22">
        <f>SUM($H$6:H21)</f>
        <v>31.457963033563054</v>
      </c>
    </row>
    <row r="22" spans="1:9" x14ac:dyDescent="0.3">
      <c r="A22" s="5">
        <v>1.4999999999999999E-2</v>
      </c>
      <c r="B22" s="25">
        <f t="shared" ref="B22:B39" si="2">$H$6+NPV(A22,$H$7:$H$32)</f>
        <v>0.15650388153362726</v>
      </c>
      <c r="D22" s="10" t="s">
        <v>28</v>
      </c>
      <c r="E22" s="18">
        <v>7.3003721027184696</v>
      </c>
      <c r="F22" s="18">
        <f t="shared" si="1"/>
        <v>2.3361190728699102</v>
      </c>
      <c r="G22" s="18">
        <v>3.2416983099124503</v>
      </c>
      <c r="H22" s="18">
        <f t="shared" si="0"/>
        <v>1.7225547199361095</v>
      </c>
      <c r="I22" s="22">
        <f>SUM($H$6:H22)</f>
        <v>33.18051775349916</v>
      </c>
    </row>
    <row r="23" spans="1:9" x14ac:dyDescent="0.3">
      <c r="A23" s="5">
        <v>0.02</v>
      </c>
      <c r="B23" s="25">
        <f t="shared" si="2"/>
        <v>1.0256267717021075</v>
      </c>
      <c r="D23" s="10" t="s">
        <v>29</v>
      </c>
      <c r="E23" s="18">
        <v>6.2809269943546893</v>
      </c>
      <c r="F23" s="18">
        <f t="shared" si="1"/>
        <v>2.0098966381935006</v>
      </c>
      <c r="G23" s="18">
        <v>3.3713662423089485</v>
      </c>
      <c r="H23" s="18">
        <f t="shared" si="0"/>
        <v>0.8996641138522401</v>
      </c>
      <c r="I23" s="22">
        <f>SUM($H$6:H23)</f>
        <v>34.080181867351399</v>
      </c>
    </row>
    <row r="24" spans="1:9" x14ac:dyDescent="0.3">
      <c r="A24" s="5">
        <v>2.5000000000000001E-2</v>
      </c>
      <c r="B24" s="25">
        <f t="shared" si="2"/>
        <v>1.6549913787923973</v>
      </c>
      <c r="D24" s="10" t="s">
        <v>30</v>
      </c>
      <c r="E24" s="18">
        <v>5.403840154082455</v>
      </c>
      <c r="F24" s="18">
        <f t="shared" si="1"/>
        <v>1.7292288493063857</v>
      </c>
      <c r="G24" s="18">
        <v>3.5062208920013069</v>
      </c>
      <c r="H24" s="18">
        <f t="shared" si="0"/>
        <v>0.16839041277476241</v>
      </c>
      <c r="I24" s="22">
        <f>SUM($H$6:H24)</f>
        <v>34.248572280126162</v>
      </c>
    </row>
    <row r="25" spans="1:9" x14ac:dyDescent="0.3">
      <c r="A25" s="5">
        <v>0.03</v>
      </c>
      <c r="B25" s="25">
        <f t="shared" si="2"/>
        <v>2.0826133159844211</v>
      </c>
      <c r="D25" s="10" t="s">
        <v>31</v>
      </c>
      <c r="E25" s="18">
        <v>4.6492322609576977</v>
      </c>
      <c r="F25" s="18">
        <f t="shared" si="1"/>
        <v>1.4877543235064632</v>
      </c>
      <c r="G25" s="18">
        <v>3.6464697276813594</v>
      </c>
      <c r="H25" s="18">
        <f t="shared" si="0"/>
        <v>-0.48499179023012484</v>
      </c>
      <c r="I25" s="22">
        <f>SUM($H$6:H25)</f>
        <v>33.763580489896036</v>
      </c>
    </row>
    <row r="26" spans="1:9" x14ac:dyDescent="0.3">
      <c r="A26" s="5">
        <v>3.5000000000000003E-2</v>
      </c>
      <c r="B26" s="25">
        <f t="shared" si="2"/>
        <v>2.3410625895676098</v>
      </c>
      <c r="D26" s="10" t="s">
        <v>32</v>
      </c>
      <c r="E26" s="18">
        <v>4.0000000000000009</v>
      </c>
      <c r="F26" s="18">
        <f t="shared" si="1"/>
        <v>1.2800000000000002</v>
      </c>
      <c r="G26" s="18">
        <v>3.7923285167886136</v>
      </c>
      <c r="H26" s="18">
        <f t="shared" si="0"/>
        <v>-1.0723285167886134</v>
      </c>
      <c r="I26" s="22">
        <f>SUM($H$6:H26)</f>
        <v>32.69125197310742</v>
      </c>
    </row>
    <row r="27" spans="1:9" x14ac:dyDescent="0.3">
      <c r="A27" s="5">
        <v>0.04</v>
      </c>
      <c r="B27" s="25">
        <f t="shared" si="2"/>
        <v>2.4582293329019329</v>
      </c>
      <c r="D27" s="10" t="s">
        <v>33</v>
      </c>
      <c r="E27" s="18">
        <v>3.4000000000000008</v>
      </c>
      <c r="F27" s="18">
        <f t="shared" si="1"/>
        <v>1.0880000000000003</v>
      </c>
      <c r="G27" s="18">
        <v>3.4130956651097524</v>
      </c>
      <c r="H27" s="18">
        <f t="shared" si="0"/>
        <v>-1.1010956651097517</v>
      </c>
      <c r="I27" s="22">
        <f>SUM($H$6:H27)</f>
        <v>31.590156307997667</v>
      </c>
    </row>
    <row r="28" spans="1:9" x14ac:dyDescent="0.3">
      <c r="A28" s="5">
        <v>4.4999999999999998E-2</v>
      </c>
      <c r="B28" s="25">
        <f t="shared" si="2"/>
        <v>2.4579810288428714</v>
      </c>
      <c r="D28" s="10" t="s">
        <v>34</v>
      </c>
      <c r="E28" s="18">
        <v>2.8000000000000007</v>
      </c>
      <c r="F28" s="18">
        <f t="shared" si="1"/>
        <v>0.89600000000000024</v>
      </c>
      <c r="G28" s="18">
        <v>3.071786098598777</v>
      </c>
      <c r="H28" s="18">
        <f t="shared" si="0"/>
        <v>-1.1677860985987767</v>
      </c>
      <c r="I28" s="22">
        <f>SUM($H$6:H28)</f>
        <v>30.422370209398892</v>
      </c>
    </row>
    <row r="29" spans="1:9" x14ac:dyDescent="0.3">
      <c r="A29" s="5">
        <v>0.05</v>
      </c>
      <c r="B29" s="25">
        <f t="shared" si="2"/>
        <v>2.3607268725163433</v>
      </c>
      <c r="D29" s="10" t="s">
        <v>35</v>
      </c>
      <c r="E29" s="18">
        <v>2.2000000000000002</v>
      </c>
      <c r="F29" s="18">
        <f t="shared" si="1"/>
        <v>0.70400000000000007</v>
      </c>
      <c r="G29" s="18">
        <v>2.7646074887388998</v>
      </c>
      <c r="H29" s="18">
        <f t="shared" si="0"/>
        <v>-1.2686074887388998</v>
      </c>
      <c r="I29" s="22">
        <f>SUM($H$6:H29)</f>
        <v>29.153762720659991</v>
      </c>
    </row>
    <row r="30" spans="1:9" x14ac:dyDescent="0.3">
      <c r="A30" s="5">
        <v>5.5E-2</v>
      </c>
      <c r="B30" s="25">
        <f t="shared" si="2"/>
        <v>2.1839026191819837</v>
      </c>
      <c r="D30" s="10" t="s">
        <v>36</v>
      </c>
      <c r="E30" s="18">
        <v>1.5999999999999996</v>
      </c>
      <c r="F30" s="18">
        <f t="shared" si="1"/>
        <v>0.5119999999999999</v>
      </c>
      <c r="G30" s="18">
        <v>2.4881467398650097</v>
      </c>
      <c r="H30" s="18">
        <f t="shared" si="0"/>
        <v>-1.40014673986501</v>
      </c>
      <c r="I30" s="22">
        <f>SUM($H$6:H30)</f>
        <v>27.753615980794979</v>
      </c>
    </row>
    <row r="31" spans="1:9" x14ac:dyDescent="0.3">
      <c r="A31" s="5">
        <v>0.06</v>
      </c>
      <c r="B31" s="25">
        <f t="shared" si="2"/>
        <v>1.9423873028262051</v>
      </c>
      <c r="D31" s="10" t="s">
        <v>37</v>
      </c>
      <c r="E31" s="18">
        <v>0.99999999999999956</v>
      </c>
      <c r="F31" s="18">
        <f t="shared" si="1"/>
        <v>0.31999999999999984</v>
      </c>
      <c r="G31" s="18">
        <v>2.239332065878509</v>
      </c>
      <c r="H31" s="18">
        <f t="shared" si="0"/>
        <v>-1.5593320658785093</v>
      </c>
      <c r="I31" s="22">
        <f>SUM($H$6:H31)</f>
        <v>26.194283914916468</v>
      </c>
    </row>
    <row r="32" spans="1:9" x14ac:dyDescent="0.3">
      <c r="A32" s="5">
        <v>6.5000000000000002E-2</v>
      </c>
      <c r="B32" s="25">
        <f t="shared" si="2"/>
        <v>1.6488615463244987</v>
      </c>
      <c r="D32" s="7" t="s">
        <v>7</v>
      </c>
      <c r="E32" s="9"/>
      <c r="F32" s="9"/>
      <c r="G32" s="19">
        <f>B12</f>
        <v>30.565348171183047</v>
      </c>
      <c r="H32" s="19">
        <f t="shared" si="0"/>
        <v>-30.565348171183047</v>
      </c>
      <c r="I32" s="19">
        <f>SUM($H$6:H32)</f>
        <v>-4.3710642562665782</v>
      </c>
    </row>
    <row r="33" spans="1:2" x14ac:dyDescent="0.3">
      <c r="A33" s="5">
        <v>7.0000000000000007E-2</v>
      </c>
      <c r="B33" s="25">
        <f t="shared" si="2"/>
        <v>1.3141157682479978</v>
      </c>
    </row>
    <row r="34" spans="1:2" x14ac:dyDescent="0.3">
      <c r="A34" s="5">
        <v>7.4999999999999997E-2</v>
      </c>
      <c r="B34" s="25">
        <f t="shared" si="2"/>
        <v>0.94731538653206471</v>
      </c>
    </row>
    <row r="35" spans="1:2" x14ac:dyDescent="0.3">
      <c r="A35" s="5">
        <v>0.08</v>
      </c>
      <c r="B35" s="25">
        <f t="shared" si="2"/>
        <v>0.55622909311392554</v>
      </c>
    </row>
    <row r="36" spans="1:2" x14ac:dyDescent="0.3">
      <c r="A36" s="5">
        <v>8.5000000000000006E-2</v>
      </c>
      <c r="B36" s="25">
        <f t="shared" si="2"/>
        <v>0.14742539914865738</v>
      </c>
    </row>
    <row r="37" spans="1:2" x14ac:dyDescent="0.3">
      <c r="A37" s="5">
        <v>0.09</v>
      </c>
      <c r="B37" s="25">
        <f t="shared" si="2"/>
        <v>-0.27355809539998965</v>
      </c>
    </row>
    <row r="38" spans="1:2" x14ac:dyDescent="0.3">
      <c r="A38" s="5">
        <v>9.5000000000000001E-2</v>
      </c>
      <c r="B38" s="25">
        <f t="shared" si="2"/>
        <v>-0.70206889049437216</v>
      </c>
    </row>
    <row r="39" spans="1:2" x14ac:dyDescent="0.3">
      <c r="A39" s="5">
        <v>0.1</v>
      </c>
      <c r="B39" s="25">
        <f t="shared" si="2"/>
        <v>-1.1342139593606486</v>
      </c>
    </row>
  </sheetData>
  <pageMargins left="0.7" right="0.7" top="0.75" bottom="0.75" header="0.3" footer="0.3"/>
  <pageSetup scale="55" orientation="landscape" r:id="rId1"/>
  <headerFooter>
    <oddFooter>&amp;R&amp;F &amp;A 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Project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Case Problem 2</dc:title>
  <dc:creator/>
  <cp:lastModifiedBy>Patrick Carey</cp:lastModifiedBy>
  <cp:lastPrinted>2015-11-30T21:27:33Z</cp:lastPrinted>
  <dcterms:created xsi:type="dcterms:W3CDTF">2015-11-30T14:42:02Z</dcterms:created>
  <dcterms:modified xsi:type="dcterms:W3CDTF">2021-11-25T15:17:10Z</dcterms:modified>
</cp:coreProperties>
</file>
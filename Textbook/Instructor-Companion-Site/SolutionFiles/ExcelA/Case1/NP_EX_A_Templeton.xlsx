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A\Case1\"/>
    </mc:Choice>
  </mc:AlternateContent>
  <xr:revisionPtr revIDLastSave="0" documentId="13_ncr:1_{0942F18B-F143-41F2-B38D-EEF49D9D0509}" xr6:coauthVersionLast="46" xr6:coauthVersionMax="46" xr10:uidLastSave="{00000000-0000-0000-0000-000000000000}"/>
  <bookViews>
    <workbookView xWindow="-120" yWindow="-120" windowWidth="29040" windowHeight="15840" xr2:uid="{055FB232-7E68-4DFF-B421-1AA0D2991FDC}"/>
  </bookViews>
  <sheets>
    <sheet name="Documentation" sheetId="3" r:id="rId1"/>
    <sheet name="Employees" sheetId="1" r:id="rId2"/>
    <sheet name="Code Lookups" sheetId="2" r:id="rId3"/>
  </sheets>
  <definedNames>
    <definedName name="_xlnm._FilterDatabase" localSheetId="1" hidden="1">Employees!$J$4:$N$2028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</calcChain>
</file>

<file path=xl/sharedStrings.xml><?xml version="1.0" encoding="utf-8"?>
<sst xmlns="http://schemas.openxmlformats.org/spreadsheetml/2006/main" count="6294" uniqueCount="4246">
  <si>
    <t>Templeton Insurance</t>
  </si>
  <si>
    <t>Employee List</t>
  </si>
  <si>
    <t>Employee ID</t>
  </si>
  <si>
    <t>First</t>
  </si>
  <si>
    <t>Last</t>
  </si>
  <si>
    <t>William</t>
  </si>
  <si>
    <t>Durkin</t>
  </si>
  <si>
    <t>Donna</t>
  </si>
  <si>
    <t>Berry</t>
  </si>
  <si>
    <t>Nancy</t>
  </si>
  <si>
    <t>Franklin</t>
  </si>
  <si>
    <t>Cori</t>
  </si>
  <si>
    <t>Guyton</t>
  </si>
  <si>
    <t>Jimmy</t>
  </si>
  <si>
    <t>Hamner</t>
  </si>
  <si>
    <t>Clifford</t>
  </si>
  <si>
    <t>Crowley</t>
  </si>
  <si>
    <t>Emil</t>
  </si>
  <si>
    <t>Banner</t>
  </si>
  <si>
    <t>Charles</t>
  </si>
  <si>
    <t>Loyd</t>
  </si>
  <si>
    <t>Peggy</t>
  </si>
  <si>
    <t>Hersey</t>
  </si>
  <si>
    <t>Brittany</t>
  </si>
  <si>
    <t>Shover</t>
  </si>
  <si>
    <t>Marvin</t>
  </si>
  <si>
    <t>Doucette</t>
  </si>
  <si>
    <t>Jessica</t>
  </si>
  <si>
    <t>Roark</t>
  </si>
  <si>
    <t>Arthur</t>
  </si>
  <si>
    <t>Tran</t>
  </si>
  <si>
    <t>Sam</t>
  </si>
  <si>
    <t>Hall</t>
  </si>
  <si>
    <t>Bridgett</t>
  </si>
  <si>
    <t>Hahn</t>
  </si>
  <si>
    <t>Betty</t>
  </si>
  <si>
    <t>Hannum</t>
  </si>
  <si>
    <t>Micheal</t>
  </si>
  <si>
    <t>Brown</t>
  </si>
  <si>
    <t>Joe</t>
  </si>
  <si>
    <t>Salas</t>
  </si>
  <si>
    <t>Barry</t>
  </si>
  <si>
    <t>Robinson</t>
  </si>
  <si>
    <t>Pamela</t>
  </si>
  <si>
    <t>Vanderhoof</t>
  </si>
  <si>
    <t>Tiffany</t>
  </si>
  <si>
    <t>Findlay</t>
  </si>
  <si>
    <t>Michael</t>
  </si>
  <si>
    <t>Ho</t>
  </si>
  <si>
    <t>Destiny</t>
  </si>
  <si>
    <t>Halvorsen</t>
  </si>
  <si>
    <t>Jerry</t>
  </si>
  <si>
    <t>Shelton</t>
  </si>
  <si>
    <t>Melissa</t>
  </si>
  <si>
    <t>Dominguez</t>
  </si>
  <si>
    <t>Lucille</t>
  </si>
  <si>
    <t>Loza</t>
  </si>
  <si>
    <t>Margaret</t>
  </si>
  <si>
    <t>Miller</t>
  </si>
  <si>
    <t>Beverly</t>
  </si>
  <si>
    <t>Lyles</t>
  </si>
  <si>
    <t>Chrystal</t>
  </si>
  <si>
    <t>Smith</t>
  </si>
  <si>
    <t>Deandrea</t>
  </si>
  <si>
    <t>Gallagher</t>
  </si>
  <si>
    <t>Cecile</t>
  </si>
  <si>
    <t>Hawkins</t>
  </si>
  <si>
    <t>Sheldon</t>
  </si>
  <si>
    <t>Emmons</t>
  </si>
  <si>
    <t>Ronnie</t>
  </si>
  <si>
    <t>Turner</t>
  </si>
  <si>
    <t>David</t>
  </si>
  <si>
    <t>Johnson</t>
  </si>
  <si>
    <t>Albert</t>
  </si>
  <si>
    <t>Willeford</t>
  </si>
  <si>
    <t>Thomas</t>
  </si>
  <si>
    <t>Conner</t>
  </si>
  <si>
    <t>Patrick</t>
  </si>
  <si>
    <t>Sica</t>
  </si>
  <si>
    <t>Kristine</t>
  </si>
  <si>
    <t>Cordray</t>
  </si>
  <si>
    <t>Marie</t>
  </si>
  <si>
    <t>Benford</t>
  </si>
  <si>
    <t>Robert</t>
  </si>
  <si>
    <t>Vasquez</t>
  </si>
  <si>
    <t>Elizabeth</t>
  </si>
  <si>
    <t>Currier</t>
  </si>
  <si>
    <t>Nita</t>
  </si>
  <si>
    <t>Jones</t>
  </si>
  <si>
    <t>Ronald</t>
  </si>
  <si>
    <t>Reddin</t>
  </si>
  <si>
    <t>Callie</t>
  </si>
  <si>
    <t>Bobby</t>
  </si>
  <si>
    <t>Herrera</t>
  </si>
  <si>
    <t>Holland</t>
  </si>
  <si>
    <t>Frances</t>
  </si>
  <si>
    <t>Shaw</t>
  </si>
  <si>
    <t>Martin</t>
  </si>
  <si>
    <t>Timothy</t>
  </si>
  <si>
    <t>Wall</t>
  </si>
  <si>
    <t>Gregory</t>
  </si>
  <si>
    <t>Snowden</t>
  </si>
  <si>
    <t>Mccarter</t>
  </si>
  <si>
    <t>Richard</t>
  </si>
  <si>
    <t>Payton</t>
  </si>
  <si>
    <t>Oliver</t>
  </si>
  <si>
    <t>Leamon</t>
  </si>
  <si>
    <t>Williams</t>
  </si>
  <si>
    <t>John</t>
  </si>
  <si>
    <t>Fears</t>
  </si>
  <si>
    <t>Jason</t>
  </si>
  <si>
    <t>Childers</t>
  </si>
  <si>
    <t>Van</t>
  </si>
  <si>
    <t>Hutchens</t>
  </si>
  <si>
    <t>Gainer</t>
  </si>
  <si>
    <t>Dorothy</t>
  </si>
  <si>
    <t>Jarrett</t>
  </si>
  <si>
    <t>Henry</t>
  </si>
  <si>
    <t>Breese</t>
  </si>
  <si>
    <t>Mike</t>
  </si>
  <si>
    <t>Dawn</t>
  </si>
  <si>
    <t>King</t>
  </si>
  <si>
    <t>Tanya</t>
  </si>
  <si>
    <t>Tess</t>
  </si>
  <si>
    <t>Ford</t>
  </si>
  <si>
    <t>Jesus</t>
  </si>
  <si>
    <t>Garrett</t>
  </si>
  <si>
    <t>Lauren</t>
  </si>
  <si>
    <t>Hebert</t>
  </si>
  <si>
    <t>Olsen</t>
  </si>
  <si>
    <t>Claude</t>
  </si>
  <si>
    <t>Kathleen</t>
  </si>
  <si>
    <t>Shouse</t>
  </si>
  <si>
    <t>Rachel</t>
  </si>
  <si>
    <t>Fields</t>
  </si>
  <si>
    <t>Mark</t>
  </si>
  <si>
    <t>Boone</t>
  </si>
  <si>
    <t>Riley</t>
  </si>
  <si>
    <t>Adams</t>
  </si>
  <si>
    <t>Foster</t>
  </si>
  <si>
    <t>Ingrid</t>
  </si>
  <si>
    <t>Guerra</t>
  </si>
  <si>
    <t>Lynda</t>
  </si>
  <si>
    <t>Mcallister</t>
  </si>
  <si>
    <t>Joseph</t>
  </si>
  <si>
    <t>Rader</t>
  </si>
  <si>
    <t>Eleanor</t>
  </si>
  <si>
    <t>Lange</t>
  </si>
  <si>
    <t>Steve</t>
  </si>
  <si>
    <t>Susan</t>
  </si>
  <si>
    <t>Massaro</t>
  </si>
  <si>
    <t>Stella</t>
  </si>
  <si>
    <t>Donnell</t>
  </si>
  <si>
    <t>Dawson</t>
  </si>
  <si>
    <t>Consuelo</t>
  </si>
  <si>
    <t>Mendez</t>
  </si>
  <si>
    <t>Pyles</t>
  </si>
  <si>
    <t>Nathaniel</t>
  </si>
  <si>
    <t>Payne</t>
  </si>
  <si>
    <t>Aaron</t>
  </si>
  <si>
    <t>Phillips</t>
  </si>
  <si>
    <t>Aldo</t>
  </si>
  <si>
    <t>Baumeister</t>
  </si>
  <si>
    <t>Eric</t>
  </si>
  <si>
    <t>Weigle</t>
  </si>
  <si>
    <t>Maria</t>
  </si>
  <si>
    <t>Francis</t>
  </si>
  <si>
    <t>Herron</t>
  </si>
  <si>
    <t>Garnett</t>
  </si>
  <si>
    <t>Melba</t>
  </si>
  <si>
    <t>Joly</t>
  </si>
  <si>
    <t>Andre</t>
  </si>
  <si>
    <t>Martinez</t>
  </si>
  <si>
    <t>Nellie</t>
  </si>
  <si>
    <t>Guin</t>
  </si>
  <si>
    <t>Corey</t>
  </si>
  <si>
    <t>Sharp</t>
  </si>
  <si>
    <t>Kermit</t>
  </si>
  <si>
    <t>Straley</t>
  </si>
  <si>
    <t>Antonio</t>
  </si>
  <si>
    <t>Ruby</t>
  </si>
  <si>
    <t>Adam</t>
  </si>
  <si>
    <t>Bobbi</t>
  </si>
  <si>
    <t>Coleman</t>
  </si>
  <si>
    <t>Terry</t>
  </si>
  <si>
    <t>Messina</t>
  </si>
  <si>
    <t>Louis</t>
  </si>
  <si>
    <t>Ayala</t>
  </si>
  <si>
    <t>Anthony</t>
  </si>
  <si>
    <t>Glover</t>
  </si>
  <si>
    <t>Donald</t>
  </si>
  <si>
    <t>Braxton</t>
  </si>
  <si>
    <t>Kristi</t>
  </si>
  <si>
    <t>Wright</t>
  </si>
  <si>
    <t>Beulah</t>
  </si>
  <si>
    <t>Boyd</t>
  </si>
  <si>
    <t>Erickson</t>
  </si>
  <si>
    <t>Kyles</t>
  </si>
  <si>
    <t>Brian</t>
  </si>
  <si>
    <t>Cruz</t>
  </si>
  <si>
    <t>Glady</t>
  </si>
  <si>
    <t>Dowdell</t>
  </si>
  <si>
    <t>Raymond</t>
  </si>
  <si>
    <t>Carr</t>
  </si>
  <si>
    <t>Gordon</t>
  </si>
  <si>
    <t>Marcus</t>
  </si>
  <si>
    <t>Edwards</t>
  </si>
  <si>
    <t>Bruno</t>
  </si>
  <si>
    <t>Favors</t>
  </si>
  <si>
    <t>Carole</t>
  </si>
  <si>
    <t>Hopkins</t>
  </si>
  <si>
    <t>Eva</t>
  </si>
  <si>
    <t>Young</t>
  </si>
  <si>
    <t>Mcpeters</t>
  </si>
  <si>
    <t>Kaplan</t>
  </si>
  <si>
    <t>Brendan</t>
  </si>
  <si>
    <t>Bertha</t>
  </si>
  <si>
    <t>Manes</t>
  </si>
  <si>
    <t>Katie</t>
  </si>
  <si>
    <t>Dixson</t>
  </si>
  <si>
    <t>Charlotte</t>
  </si>
  <si>
    <t>Ramos</t>
  </si>
  <si>
    <t>Sandra</t>
  </si>
  <si>
    <t>Perez</t>
  </si>
  <si>
    <t>Janet</t>
  </si>
  <si>
    <t>Tovar</t>
  </si>
  <si>
    <t>Knox</t>
  </si>
  <si>
    <t>Fox</t>
  </si>
  <si>
    <t>Sibert</t>
  </si>
  <si>
    <t>Gilbert</t>
  </si>
  <si>
    <t>Enriquez</t>
  </si>
  <si>
    <t>Jeffery</t>
  </si>
  <si>
    <t>Enochs</t>
  </si>
  <si>
    <t>Rosetta</t>
  </si>
  <si>
    <t>Hux</t>
  </si>
  <si>
    <t>Virginia</t>
  </si>
  <si>
    <t>Bondi</t>
  </si>
  <si>
    <t>Don</t>
  </si>
  <si>
    <t>Thurman</t>
  </si>
  <si>
    <t>Martha</t>
  </si>
  <si>
    <t>Bell</t>
  </si>
  <si>
    <t>Lackey</t>
  </si>
  <si>
    <t>Cecil</t>
  </si>
  <si>
    <t>Marquez</t>
  </si>
  <si>
    <t>Willie</t>
  </si>
  <si>
    <t>Dickson</t>
  </si>
  <si>
    <t>Carl</t>
  </si>
  <si>
    <t>Knoll</t>
  </si>
  <si>
    <t>Shirley</t>
  </si>
  <si>
    <t>Blum</t>
  </si>
  <si>
    <t>Helen</t>
  </si>
  <si>
    <t>Anderson</t>
  </si>
  <si>
    <t>Sarah</t>
  </si>
  <si>
    <t>Mary</t>
  </si>
  <si>
    <t>Jacobs</t>
  </si>
  <si>
    <t>Clorinda</t>
  </si>
  <si>
    <t>Lee</t>
  </si>
  <si>
    <t>Coffelt</t>
  </si>
  <si>
    <t>Janie</t>
  </si>
  <si>
    <t>Stennett</t>
  </si>
  <si>
    <t>Salvato</t>
  </si>
  <si>
    <t>Scott</t>
  </si>
  <si>
    <t>Nicole</t>
  </si>
  <si>
    <t>Hanson</t>
  </si>
  <si>
    <t>Leonel</t>
  </si>
  <si>
    <t>Yeager</t>
  </si>
  <si>
    <t>Krysta</t>
  </si>
  <si>
    <t>Heller</t>
  </si>
  <si>
    <t>Debbie</t>
  </si>
  <si>
    <t>Gray</t>
  </si>
  <si>
    <t>Larry</t>
  </si>
  <si>
    <t>Wells</t>
  </si>
  <si>
    <t>Vaughn</t>
  </si>
  <si>
    <t>Schiavone</t>
  </si>
  <si>
    <t>Emma</t>
  </si>
  <si>
    <t>Avila</t>
  </si>
  <si>
    <t>Mollie</t>
  </si>
  <si>
    <t>Genthner</t>
  </si>
  <si>
    <t>Kenyetta</t>
  </si>
  <si>
    <t>Brooks</t>
  </si>
  <si>
    <t>Catherine</t>
  </si>
  <si>
    <t>Stansbury</t>
  </si>
  <si>
    <t>Roman</t>
  </si>
  <si>
    <t>Olney</t>
  </si>
  <si>
    <t>Craig</t>
  </si>
  <si>
    <t>Bilodeau</t>
  </si>
  <si>
    <t>Paulette</t>
  </si>
  <si>
    <t>Mullins</t>
  </si>
  <si>
    <t>Jacqueline</t>
  </si>
  <si>
    <t>Chavez</t>
  </si>
  <si>
    <t>Wanda</t>
  </si>
  <si>
    <t>Carson</t>
  </si>
  <si>
    <t>Alice</t>
  </si>
  <si>
    <t>Brantley</t>
  </si>
  <si>
    <t>Austin</t>
  </si>
  <si>
    <t>Ramirez</t>
  </si>
  <si>
    <t>Calvin</t>
  </si>
  <si>
    <t>Carol</t>
  </si>
  <si>
    <t>Hefner</t>
  </si>
  <si>
    <t>Deborah</t>
  </si>
  <si>
    <t>Leahy</t>
  </si>
  <si>
    <t>Shon</t>
  </si>
  <si>
    <t>Clapp</t>
  </si>
  <si>
    <t>Doster</t>
  </si>
  <si>
    <t>Leon</t>
  </si>
  <si>
    <t>Workman</t>
  </si>
  <si>
    <t>Tanner</t>
  </si>
  <si>
    <t>Jennifer</t>
  </si>
  <si>
    <t>Kenneth</t>
  </si>
  <si>
    <t>Stone</t>
  </si>
  <si>
    <t>Bessie</t>
  </si>
  <si>
    <t>Vernita</t>
  </si>
  <si>
    <t>Sullivan</t>
  </si>
  <si>
    <t>Joy</t>
  </si>
  <si>
    <t>Mays</t>
  </si>
  <si>
    <t>Wilson</t>
  </si>
  <si>
    <t>Deason</t>
  </si>
  <si>
    <t>Pedersen</t>
  </si>
  <si>
    <t>Bryant</t>
  </si>
  <si>
    <t>Julius</t>
  </si>
  <si>
    <t>Simmons</t>
  </si>
  <si>
    <t>Troy</t>
  </si>
  <si>
    <t>Warren</t>
  </si>
  <si>
    <t>Caron</t>
  </si>
  <si>
    <t>Darrin</t>
  </si>
  <si>
    <t>Hunter</t>
  </si>
  <si>
    <t>Anna</t>
  </si>
  <si>
    <t>Brewer</t>
  </si>
  <si>
    <t>Tabetha</t>
  </si>
  <si>
    <t>Major</t>
  </si>
  <si>
    <t>Galindo</t>
  </si>
  <si>
    <t>Mindi</t>
  </si>
  <si>
    <t>Corner</t>
  </si>
  <si>
    <t>Amato</t>
  </si>
  <si>
    <t>Frazier</t>
  </si>
  <si>
    <t>Camilla</t>
  </si>
  <si>
    <t>Taylor</t>
  </si>
  <si>
    <t>Stephen</t>
  </si>
  <si>
    <t>Parham</t>
  </si>
  <si>
    <t>James</t>
  </si>
  <si>
    <t>Camden</t>
  </si>
  <si>
    <t>Ruth</t>
  </si>
  <si>
    <t>Barton</t>
  </si>
  <si>
    <t>Lena</t>
  </si>
  <si>
    <t>Marion</t>
  </si>
  <si>
    <t>Maureen</t>
  </si>
  <si>
    <t>Jacobsen</t>
  </si>
  <si>
    <t>Frank</t>
  </si>
  <si>
    <t>Goddard</t>
  </si>
  <si>
    <t>Marva</t>
  </si>
  <si>
    <t>Wing</t>
  </si>
  <si>
    <t>Hershey</t>
  </si>
  <si>
    <t>Crystal</t>
  </si>
  <si>
    <t>Juarez</t>
  </si>
  <si>
    <t>Kathy</t>
  </si>
  <si>
    <t>Dooley</t>
  </si>
  <si>
    <t>Iraheta</t>
  </si>
  <si>
    <t>Yvonne</t>
  </si>
  <si>
    <t>Rosenberg</t>
  </si>
  <si>
    <t>Chris</t>
  </si>
  <si>
    <t>Lamb</t>
  </si>
  <si>
    <t>Eugene</t>
  </si>
  <si>
    <t>Braden</t>
  </si>
  <si>
    <t>Floyd</t>
  </si>
  <si>
    <t>Hatch</t>
  </si>
  <si>
    <t>Louie</t>
  </si>
  <si>
    <t>Patterson</t>
  </si>
  <si>
    <t>Christopher</t>
  </si>
  <si>
    <t>Faircloth</t>
  </si>
  <si>
    <t>Kaye</t>
  </si>
  <si>
    <t>Shani</t>
  </si>
  <si>
    <t>Garza</t>
  </si>
  <si>
    <t>Plummer</t>
  </si>
  <si>
    <t>Sean</t>
  </si>
  <si>
    <t>Arnold</t>
  </si>
  <si>
    <t>Grooms</t>
  </si>
  <si>
    <t>Louise</t>
  </si>
  <si>
    <t>Clifton</t>
  </si>
  <si>
    <t>Jean</t>
  </si>
  <si>
    <t>Judith</t>
  </si>
  <si>
    <t>Good</t>
  </si>
  <si>
    <t>Stickley</t>
  </si>
  <si>
    <t>Merry</t>
  </si>
  <si>
    <t>Miles</t>
  </si>
  <si>
    <t>Edna</t>
  </si>
  <si>
    <t>Ella</t>
  </si>
  <si>
    <t>Wilder</t>
  </si>
  <si>
    <t>Devane</t>
  </si>
  <si>
    <t>Rose</t>
  </si>
  <si>
    <t>Brooke</t>
  </si>
  <si>
    <t>Colette</t>
  </si>
  <si>
    <t>Lundquist</t>
  </si>
  <si>
    <t>Michele</t>
  </si>
  <si>
    <t>Mcleod</t>
  </si>
  <si>
    <t>Leland</t>
  </si>
  <si>
    <t>Wallace</t>
  </si>
  <si>
    <t>Katrina</t>
  </si>
  <si>
    <t>Stark</t>
  </si>
  <si>
    <t>Irene</t>
  </si>
  <si>
    <t>Armstrong</t>
  </si>
  <si>
    <t>Carey</t>
  </si>
  <si>
    <t>Booth</t>
  </si>
  <si>
    <t>Bailey</t>
  </si>
  <si>
    <t>Emmanuel</t>
  </si>
  <si>
    <t>Lawrence</t>
  </si>
  <si>
    <t>Gayle</t>
  </si>
  <si>
    <t>Matthew</t>
  </si>
  <si>
    <t>Stevens</t>
  </si>
  <si>
    <t>Douglas</t>
  </si>
  <si>
    <t>Cumberland</t>
  </si>
  <si>
    <t>Witman</t>
  </si>
  <si>
    <t>Javier</t>
  </si>
  <si>
    <t>Moyer</t>
  </si>
  <si>
    <t>Reynolds</t>
  </si>
  <si>
    <t>Ernest</t>
  </si>
  <si>
    <t>Grant</t>
  </si>
  <si>
    <t>Penny</t>
  </si>
  <si>
    <t>Feller</t>
  </si>
  <si>
    <t>Jeff</t>
  </si>
  <si>
    <t>Moore</t>
  </si>
  <si>
    <t>Dana</t>
  </si>
  <si>
    <t>Abernathy</t>
  </si>
  <si>
    <t>Knapp</t>
  </si>
  <si>
    <t>Kimi</t>
  </si>
  <si>
    <t>Corbitt</t>
  </si>
  <si>
    <t>Wendell</t>
  </si>
  <si>
    <t>Gee</t>
  </si>
  <si>
    <t>Steven</t>
  </si>
  <si>
    <t>Garcia</t>
  </si>
  <si>
    <t>Samuel</t>
  </si>
  <si>
    <t>Stuart</t>
  </si>
  <si>
    <t>Julio</t>
  </si>
  <si>
    <t>Matheny</t>
  </si>
  <si>
    <t>Peters</t>
  </si>
  <si>
    <t>Bogan</t>
  </si>
  <si>
    <t>Alfreda</t>
  </si>
  <si>
    <t>Finley</t>
  </si>
  <si>
    <t>Eicher</t>
  </si>
  <si>
    <t>Dick</t>
  </si>
  <si>
    <t>Mundy</t>
  </si>
  <si>
    <t>Anita</t>
  </si>
  <si>
    <t>Murillo</t>
  </si>
  <si>
    <t>Klingler</t>
  </si>
  <si>
    <t>Purnell</t>
  </si>
  <si>
    <t>Graf</t>
  </si>
  <si>
    <t>Angel</t>
  </si>
  <si>
    <t>Peterson</t>
  </si>
  <si>
    <t>Duran</t>
  </si>
  <si>
    <t>Gary</t>
  </si>
  <si>
    <t>Kessler</t>
  </si>
  <si>
    <t>Linda</t>
  </si>
  <si>
    <t>Rozar</t>
  </si>
  <si>
    <t>Cory</t>
  </si>
  <si>
    <t>Loretta</t>
  </si>
  <si>
    <t>Hudson</t>
  </si>
  <si>
    <t>George</t>
  </si>
  <si>
    <t>Ochoa</t>
  </si>
  <si>
    <t>Wendy</t>
  </si>
  <si>
    <t>Harrington</t>
  </si>
  <si>
    <t>Barbara</t>
  </si>
  <si>
    <t>Rasmussen</t>
  </si>
  <si>
    <t>Dyer</t>
  </si>
  <si>
    <t>Barber</t>
  </si>
  <si>
    <t>Hughes</t>
  </si>
  <si>
    <t>Tricia</t>
  </si>
  <si>
    <t>Mcclain</t>
  </si>
  <si>
    <t>Sheila</t>
  </si>
  <si>
    <t>Waltz</t>
  </si>
  <si>
    <t>Dolan</t>
  </si>
  <si>
    <t>Jonathan</t>
  </si>
  <si>
    <t>Mayfield</t>
  </si>
  <si>
    <t>Laura</t>
  </si>
  <si>
    <t>Morphis</t>
  </si>
  <si>
    <t>Parker</t>
  </si>
  <si>
    <t>Holliday</t>
  </si>
  <si>
    <t>Darnell</t>
  </si>
  <si>
    <t>Melendez</t>
  </si>
  <si>
    <t>Matt</t>
  </si>
  <si>
    <t>Tarah</t>
  </si>
  <si>
    <t>Spann</t>
  </si>
  <si>
    <t>Anne</t>
  </si>
  <si>
    <t>Barth</t>
  </si>
  <si>
    <t>Edward</t>
  </si>
  <si>
    <t>Morris</t>
  </si>
  <si>
    <t>Damion</t>
  </si>
  <si>
    <t>Cheek</t>
  </si>
  <si>
    <t>Barnes</t>
  </si>
  <si>
    <t>Suzanne</t>
  </si>
  <si>
    <t>Pinson</t>
  </si>
  <si>
    <t>Rena</t>
  </si>
  <si>
    <t>Christine</t>
  </si>
  <si>
    <t>Long</t>
  </si>
  <si>
    <t>Kathryn</t>
  </si>
  <si>
    <t>Walker</t>
  </si>
  <si>
    <t>Joshua</t>
  </si>
  <si>
    <t>Bunton</t>
  </si>
  <si>
    <t>Zielinski</t>
  </si>
  <si>
    <t>Winnie</t>
  </si>
  <si>
    <t>Forest</t>
  </si>
  <si>
    <t>Burke</t>
  </si>
  <si>
    <t>Golson</t>
  </si>
  <si>
    <t>Stewart</t>
  </si>
  <si>
    <t>Shaun</t>
  </si>
  <si>
    <t>Switzer</t>
  </si>
  <si>
    <t>Zachary</t>
  </si>
  <si>
    <t>Kim</t>
  </si>
  <si>
    <t>Smalls</t>
  </si>
  <si>
    <t>Daniel</t>
  </si>
  <si>
    <t>Bratcher</t>
  </si>
  <si>
    <t>Shayne</t>
  </si>
  <si>
    <t>Bowen</t>
  </si>
  <si>
    <t>Rhonda</t>
  </si>
  <si>
    <t>Beasley</t>
  </si>
  <si>
    <t>Strong</t>
  </si>
  <si>
    <t>Vickrey</t>
  </si>
  <si>
    <t>Daryl</t>
  </si>
  <si>
    <t>Whitten</t>
  </si>
  <si>
    <t>Sharmaine</t>
  </si>
  <si>
    <t>Fowler</t>
  </si>
  <si>
    <t>Butts</t>
  </si>
  <si>
    <t>Bernardi</t>
  </si>
  <si>
    <t>Lois</t>
  </si>
  <si>
    <t>Usher</t>
  </si>
  <si>
    <t>Parr</t>
  </si>
  <si>
    <t>Nathan</t>
  </si>
  <si>
    <t>Minor</t>
  </si>
  <si>
    <t>Bob</t>
  </si>
  <si>
    <t>Ashley</t>
  </si>
  <si>
    <t>Tartaglia</t>
  </si>
  <si>
    <t>Collins</t>
  </si>
  <si>
    <t>Clara</t>
  </si>
  <si>
    <t>Glenn</t>
  </si>
  <si>
    <t>Melisa</t>
  </si>
  <si>
    <t>Haag</t>
  </si>
  <si>
    <t>Rebecca</t>
  </si>
  <si>
    <t>Hansel</t>
  </si>
  <si>
    <t>Kee</t>
  </si>
  <si>
    <t>Ballard</t>
  </si>
  <si>
    <t>Parks</t>
  </si>
  <si>
    <t>Alfred</t>
  </si>
  <si>
    <t>Bond</t>
  </si>
  <si>
    <t>Michelle</t>
  </si>
  <si>
    <t>Bourdon</t>
  </si>
  <si>
    <t>Kennedy</t>
  </si>
  <si>
    <t>Thames</t>
  </si>
  <si>
    <t>Dunn</t>
  </si>
  <si>
    <t>Greta</t>
  </si>
  <si>
    <t>Middleton</t>
  </si>
  <si>
    <t>Kinch</t>
  </si>
  <si>
    <t>Helms</t>
  </si>
  <si>
    <t>Jacquelyn</t>
  </si>
  <si>
    <t>Morgan</t>
  </si>
  <si>
    <t>Kevin</t>
  </si>
  <si>
    <t>Lola</t>
  </si>
  <si>
    <t>Berube</t>
  </si>
  <si>
    <t>Sierra</t>
  </si>
  <si>
    <t>Theresa</t>
  </si>
  <si>
    <t>Velazquez</t>
  </si>
  <si>
    <t>Darius</t>
  </si>
  <si>
    <t>Emerson</t>
  </si>
  <si>
    <t>Velez</t>
  </si>
  <si>
    <t>Paul</t>
  </si>
  <si>
    <t>Tolson</t>
  </si>
  <si>
    <t>Earnest</t>
  </si>
  <si>
    <t>Overstreet</t>
  </si>
  <si>
    <t>Belle</t>
  </si>
  <si>
    <t>Little</t>
  </si>
  <si>
    <t>Bannister</t>
  </si>
  <si>
    <t>Reed</t>
  </si>
  <si>
    <t>Mia</t>
  </si>
  <si>
    <t>Harper</t>
  </si>
  <si>
    <t>Nidia</t>
  </si>
  <si>
    <t>Kirk</t>
  </si>
  <si>
    <t>Marshall</t>
  </si>
  <si>
    <t>Grover</t>
  </si>
  <si>
    <t>Teresa</t>
  </si>
  <si>
    <t>Shearer</t>
  </si>
  <si>
    <t>Bass</t>
  </si>
  <si>
    <t>Victor</t>
  </si>
  <si>
    <t>Danielson</t>
  </si>
  <si>
    <t>Leslie</t>
  </si>
  <si>
    <t>Burnside</t>
  </si>
  <si>
    <t>Sandy</t>
  </si>
  <si>
    <t>Clift</t>
  </si>
  <si>
    <t>Sunday</t>
  </si>
  <si>
    <t>Georgia</t>
  </si>
  <si>
    <t>Gibson</t>
  </si>
  <si>
    <t>Edith</t>
  </si>
  <si>
    <t>Hansen</t>
  </si>
  <si>
    <t>Ramona</t>
  </si>
  <si>
    <t>Millet</t>
  </si>
  <si>
    <t>Jaime</t>
  </si>
  <si>
    <t>Hill</t>
  </si>
  <si>
    <t>Stacy</t>
  </si>
  <si>
    <t>Torres</t>
  </si>
  <si>
    <t>Tracey</t>
  </si>
  <si>
    <t>Desmarais</t>
  </si>
  <si>
    <t>Kibler</t>
  </si>
  <si>
    <t>Estes</t>
  </si>
  <si>
    <t>Sonya</t>
  </si>
  <si>
    <t>Banda</t>
  </si>
  <si>
    <t>Angela</t>
  </si>
  <si>
    <t>Snyder</t>
  </si>
  <si>
    <t>Lawson</t>
  </si>
  <si>
    <t>Earline</t>
  </si>
  <si>
    <t>Harvey</t>
  </si>
  <si>
    <t>Karen</t>
  </si>
  <si>
    <t>Redmond</t>
  </si>
  <si>
    <t>Heather</t>
  </si>
  <si>
    <t>Ricks</t>
  </si>
  <si>
    <t>Cochran</t>
  </si>
  <si>
    <t>House</t>
  </si>
  <si>
    <t>Clayton</t>
  </si>
  <si>
    <t>Fernandez</t>
  </si>
  <si>
    <t>Malone</t>
  </si>
  <si>
    <t>Damon</t>
  </si>
  <si>
    <t>Bernal</t>
  </si>
  <si>
    <t>Roger</t>
  </si>
  <si>
    <t>Gorman</t>
  </si>
  <si>
    <t>Holleman</t>
  </si>
  <si>
    <t>Kimberly</t>
  </si>
  <si>
    <t>Cintron</t>
  </si>
  <si>
    <t>Quintanilla</t>
  </si>
  <si>
    <t>Annie</t>
  </si>
  <si>
    <t>Chase</t>
  </si>
  <si>
    <t>Jerome</t>
  </si>
  <si>
    <t>Willard</t>
  </si>
  <si>
    <t>Houston</t>
  </si>
  <si>
    <t>Maribeth</t>
  </si>
  <si>
    <t>Rivera</t>
  </si>
  <si>
    <t>April</t>
  </si>
  <si>
    <t>Kinney</t>
  </si>
  <si>
    <t>Brand</t>
  </si>
  <si>
    <t>Terrie</t>
  </si>
  <si>
    <t>Owens</t>
  </si>
  <si>
    <t>Evelyn</t>
  </si>
  <si>
    <t>Grogg</t>
  </si>
  <si>
    <t>Cheatham</t>
  </si>
  <si>
    <t>Corbett</t>
  </si>
  <si>
    <t>Brenda</t>
  </si>
  <si>
    <t>Ortiz</t>
  </si>
  <si>
    <t>Mcneal</t>
  </si>
  <si>
    <t>Bradford</t>
  </si>
  <si>
    <t>Baker</t>
  </si>
  <si>
    <t>Todd</t>
  </si>
  <si>
    <t>Holz</t>
  </si>
  <si>
    <t>Rosemary</t>
  </si>
  <si>
    <t>Chaudhry</t>
  </si>
  <si>
    <t>Mitchell</t>
  </si>
  <si>
    <t>Lindsay</t>
  </si>
  <si>
    <t>Bellamy</t>
  </si>
  <si>
    <t>Petit</t>
  </si>
  <si>
    <t>Glass</t>
  </si>
  <si>
    <t>Green</t>
  </si>
  <si>
    <t>Giblin</t>
  </si>
  <si>
    <t>Mandy</t>
  </si>
  <si>
    <t>Hixon</t>
  </si>
  <si>
    <t>Lennon</t>
  </si>
  <si>
    <t>Ludwick</t>
  </si>
  <si>
    <t>Megan</t>
  </si>
  <si>
    <t>Burton</t>
  </si>
  <si>
    <t>Fleming</t>
  </si>
  <si>
    <t>Pearson</t>
  </si>
  <si>
    <t>Strecker</t>
  </si>
  <si>
    <t>Alta</t>
  </si>
  <si>
    <t>Lane</t>
  </si>
  <si>
    <t>Twila</t>
  </si>
  <si>
    <t>Tharp</t>
  </si>
  <si>
    <t>Alma</t>
  </si>
  <si>
    <t>Milligan</t>
  </si>
  <si>
    <t>Stacey</t>
  </si>
  <si>
    <t>Evans</t>
  </si>
  <si>
    <t>Hooker</t>
  </si>
  <si>
    <t>Locke</t>
  </si>
  <si>
    <t>Stanley</t>
  </si>
  <si>
    <t>Velda</t>
  </si>
  <si>
    <t>Gerald</t>
  </si>
  <si>
    <t>Boswell</t>
  </si>
  <si>
    <t>Carmichael</t>
  </si>
  <si>
    <t>Raleigh</t>
  </si>
  <si>
    <t>Evonne</t>
  </si>
  <si>
    <t>Jordan</t>
  </si>
  <si>
    <t>Macrae</t>
  </si>
  <si>
    <t>Kerry</t>
  </si>
  <si>
    <t>Mccormick</t>
  </si>
  <si>
    <t>Pablo</t>
  </si>
  <si>
    <t>White</t>
  </si>
  <si>
    <t>Brubaker</t>
  </si>
  <si>
    <t>Mccallum</t>
  </si>
  <si>
    <t>Tomberlin</t>
  </si>
  <si>
    <t>Peter</t>
  </si>
  <si>
    <t>Bogner</t>
  </si>
  <si>
    <t>Lloyd</t>
  </si>
  <si>
    <t>Byfield</t>
  </si>
  <si>
    <t>Lisa</t>
  </si>
  <si>
    <t>Elvin</t>
  </si>
  <si>
    <t>Neal</t>
  </si>
  <si>
    <t>Celeste</t>
  </si>
  <si>
    <t>Vass</t>
  </si>
  <si>
    <t>Leroy</t>
  </si>
  <si>
    <t>Forrest</t>
  </si>
  <si>
    <t>Pickens</t>
  </si>
  <si>
    <t>Aurora</t>
  </si>
  <si>
    <t>Castro</t>
  </si>
  <si>
    <t>Beason</t>
  </si>
  <si>
    <t>Carla</t>
  </si>
  <si>
    <t>Winn</t>
  </si>
  <si>
    <t>Walck</t>
  </si>
  <si>
    <t>Jenkins</t>
  </si>
  <si>
    <t>Cornelius</t>
  </si>
  <si>
    <t>Hernandez</t>
  </si>
  <si>
    <t>Elliott</t>
  </si>
  <si>
    <t>Crawford</t>
  </si>
  <si>
    <t>Nina</t>
  </si>
  <si>
    <t>Durbin</t>
  </si>
  <si>
    <t>Younger</t>
  </si>
  <si>
    <t>Lori</t>
  </si>
  <si>
    <t>Flores</t>
  </si>
  <si>
    <t>Kenny</t>
  </si>
  <si>
    <t>Cottle</t>
  </si>
  <si>
    <t>Randolph</t>
  </si>
  <si>
    <t>Nelson</t>
  </si>
  <si>
    <t>Tim</t>
  </si>
  <si>
    <t>Fitzgerald</t>
  </si>
  <si>
    <t>Allen</t>
  </si>
  <si>
    <t>Alphonse</t>
  </si>
  <si>
    <t>Dixon</t>
  </si>
  <si>
    <t>Manuel</t>
  </si>
  <si>
    <t>Varner</t>
  </si>
  <si>
    <t>Gina</t>
  </si>
  <si>
    <t>Pellerin</t>
  </si>
  <si>
    <t>Rick</t>
  </si>
  <si>
    <t>Mckim</t>
  </si>
  <si>
    <t>Webber</t>
  </si>
  <si>
    <t>Jeffrey</t>
  </si>
  <si>
    <t>Dalton</t>
  </si>
  <si>
    <t>Lucas</t>
  </si>
  <si>
    <t>Lopes</t>
  </si>
  <si>
    <t>Jackson</t>
  </si>
  <si>
    <t>Booker</t>
  </si>
  <si>
    <t>Bright</t>
  </si>
  <si>
    <t>Lopez</t>
  </si>
  <si>
    <t>Gamble</t>
  </si>
  <si>
    <t>Wolfe</t>
  </si>
  <si>
    <t>Philip</t>
  </si>
  <si>
    <t>Light</t>
  </si>
  <si>
    <t>Cash</t>
  </si>
  <si>
    <t>Bernice</t>
  </si>
  <si>
    <t>Rosborough</t>
  </si>
  <si>
    <t>Luther</t>
  </si>
  <si>
    <t>Silva</t>
  </si>
  <si>
    <t>Chandler</t>
  </si>
  <si>
    <t>Negron</t>
  </si>
  <si>
    <t>Diane</t>
  </si>
  <si>
    <t>Mack</t>
  </si>
  <si>
    <t>Patton</t>
  </si>
  <si>
    <t>Murray</t>
  </si>
  <si>
    <t>Bebe</t>
  </si>
  <si>
    <t>Addington</t>
  </si>
  <si>
    <t>Skinner</t>
  </si>
  <si>
    <t>Haydel</t>
  </si>
  <si>
    <t>Sonnenberg</t>
  </si>
  <si>
    <t>Lovell</t>
  </si>
  <si>
    <t>Randall</t>
  </si>
  <si>
    <t>Dorr</t>
  </si>
  <si>
    <t>Harris</t>
  </si>
  <si>
    <t>Kelly</t>
  </si>
  <si>
    <t>Norma</t>
  </si>
  <si>
    <t>Bradley</t>
  </si>
  <si>
    <t>Shepard</t>
  </si>
  <si>
    <t>Davis</t>
  </si>
  <si>
    <t>Victoria</t>
  </si>
  <si>
    <t>Hammon</t>
  </si>
  <si>
    <t>Willis</t>
  </si>
  <si>
    <t>Diedrich</t>
  </si>
  <si>
    <t>Rinaldi</t>
  </si>
  <si>
    <t>Wyatt</t>
  </si>
  <si>
    <t>Daggett</t>
  </si>
  <si>
    <t>Arno</t>
  </si>
  <si>
    <t>Kam</t>
  </si>
  <si>
    <t>Hubert</t>
  </si>
  <si>
    <t>Kristina</t>
  </si>
  <si>
    <t>Achenbach</t>
  </si>
  <si>
    <t>Cota</t>
  </si>
  <si>
    <t>Tammy</t>
  </si>
  <si>
    <t>Gomez</t>
  </si>
  <si>
    <t>Julian</t>
  </si>
  <si>
    <t>Deloach</t>
  </si>
  <si>
    <t>Jon</t>
  </si>
  <si>
    <t>Cobb</t>
  </si>
  <si>
    <t>Debra</t>
  </si>
  <si>
    <t>Robards</t>
  </si>
  <si>
    <t>Greene</t>
  </si>
  <si>
    <t>Casey</t>
  </si>
  <si>
    <t>Pettyjohn</t>
  </si>
  <si>
    <t>Deaton</t>
  </si>
  <si>
    <t>Strickland</t>
  </si>
  <si>
    <t>Angelina</t>
  </si>
  <si>
    <t>Abdo</t>
  </si>
  <si>
    <t>Barajas</t>
  </si>
  <si>
    <t>Yanira</t>
  </si>
  <si>
    <t>Maclean</t>
  </si>
  <si>
    <t>Emily</t>
  </si>
  <si>
    <t>Estrada</t>
  </si>
  <si>
    <t>Ngo</t>
  </si>
  <si>
    <t>Chester</t>
  </si>
  <si>
    <t>Wygant</t>
  </si>
  <si>
    <t>Derrick</t>
  </si>
  <si>
    <t>Bluford</t>
  </si>
  <si>
    <t>Johnetta</t>
  </si>
  <si>
    <t>Migues</t>
  </si>
  <si>
    <t>Laurie</t>
  </si>
  <si>
    <t>Matthews</t>
  </si>
  <si>
    <t>Reba</t>
  </si>
  <si>
    <t>Guzman</t>
  </si>
  <si>
    <t>Lofton</t>
  </si>
  <si>
    <t>Slate</t>
  </si>
  <si>
    <t>Tony</t>
  </si>
  <si>
    <t>Willems</t>
  </si>
  <si>
    <t>Goss</t>
  </si>
  <si>
    <t>Arroyo</t>
  </si>
  <si>
    <t>Lula</t>
  </si>
  <si>
    <t>Powell</t>
  </si>
  <si>
    <t>Yolande</t>
  </si>
  <si>
    <t>Macklin</t>
  </si>
  <si>
    <t>Mix</t>
  </si>
  <si>
    <t>Vincent</t>
  </si>
  <si>
    <t>Andrews</t>
  </si>
  <si>
    <t>Jay</t>
  </si>
  <si>
    <t>Waller</t>
  </si>
  <si>
    <t>Griffith</t>
  </si>
  <si>
    <t>Sherrie</t>
  </si>
  <si>
    <t>Whittington</t>
  </si>
  <si>
    <t>Hollinger</t>
  </si>
  <si>
    <t>Michel</t>
  </si>
  <si>
    <t>May</t>
  </si>
  <si>
    <t>Jacob</t>
  </si>
  <si>
    <t>Mallory</t>
  </si>
  <si>
    <t>Gillespie</t>
  </si>
  <si>
    <t>Alvin</t>
  </si>
  <si>
    <t>Nunn</t>
  </si>
  <si>
    <t>Stephanie</t>
  </si>
  <si>
    <t>Hood</t>
  </si>
  <si>
    <t>Eula</t>
  </si>
  <si>
    <t>Hartman</t>
  </si>
  <si>
    <t>Kayla</t>
  </si>
  <si>
    <t>Gelb</t>
  </si>
  <si>
    <t>Haley</t>
  </si>
  <si>
    <t>Bobbie</t>
  </si>
  <si>
    <t>Yu</t>
  </si>
  <si>
    <t>Simpson</t>
  </si>
  <si>
    <t>Patricia</t>
  </si>
  <si>
    <t>Natalie</t>
  </si>
  <si>
    <t>Sterling</t>
  </si>
  <si>
    <t>Hook</t>
  </si>
  <si>
    <t>Marcy</t>
  </si>
  <si>
    <t>Roy</t>
  </si>
  <si>
    <t>Maxwell</t>
  </si>
  <si>
    <t>Ned</t>
  </si>
  <si>
    <t>Roberts</t>
  </si>
  <si>
    <t>Melinda</t>
  </si>
  <si>
    <t>Falcon</t>
  </si>
  <si>
    <t>Mckenney</t>
  </si>
  <si>
    <t>Wheeler</t>
  </si>
  <si>
    <t>Camelia</t>
  </si>
  <si>
    <t>Leonard</t>
  </si>
  <si>
    <t>June</t>
  </si>
  <si>
    <t>Robertson</t>
  </si>
  <si>
    <t>Sanchez</t>
  </si>
  <si>
    <t>Cynthia</t>
  </si>
  <si>
    <t>Blessing</t>
  </si>
  <si>
    <t>Barbar</t>
  </si>
  <si>
    <t>Fredrick</t>
  </si>
  <si>
    <t>Looney</t>
  </si>
  <si>
    <t>Delores</t>
  </si>
  <si>
    <t>Pack</t>
  </si>
  <si>
    <t>Morrow</t>
  </si>
  <si>
    <t>Nolan</t>
  </si>
  <si>
    <t>Bryan</t>
  </si>
  <si>
    <t>Ritch</t>
  </si>
  <si>
    <t>Amanda</t>
  </si>
  <si>
    <t>Salinas</t>
  </si>
  <si>
    <t>Marguerite</t>
  </si>
  <si>
    <t>Whitton</t>
  </si>
  <si>
    <t>Pitman</t>
  </si>
  <si>
    <t>Gonzalez</t>
  </si>
  <si>
    <t>Juan</t>
  </si>
  <si>
    <t>Day</t>
  </si>
  <si>
    <t>Harold</t>
  </si>
  <si>
    <t>Witcher</t>
  </si>
  <si>
    <t>Weaver</t>
  </si>
  <si>
    <t>Gwendolyn</t>
  </si>
  <si>
    <t>Romero</t>
  </si>
  <si>
    <t>Guy</t>
  </si>
  <si>
    <t>Watson</t>
  </si>
  <si>
    <t>Hewitt</t>
  </si>
  <si>
    <t>Thompson</t>
  </si>
  <si>
    <t>Lorraine</t>
  </si>
  <si>
    <t>Serrano</t>
  </si>
  <si>
    <t>Johnny</t>
  </si>
  <si>
    <t>Pruitt</t>
  </si>
  <si>
    <t>Burkhart</t>
  </si>
  <si>
    <t>Randy</t>
  </si>
  <si>
    <t>Ryals</t>
  </si>
  <si>
    <t>Dean</t>
  </si>
  <si>
    <t>Roxann</t>
  </si>
  <si>
    <t>Moises</t>
  </si>
  <si>
    <t>Constance</t>
  </si>
  <si>
    <t>Smithwick</t>
  </si>
  <si>
    <t>Vandenberg</t>
  </si>
  <si>
    <t>Darwin</t>
  </si>
  <si>
    <t>Fry</t>
  </si>
  <si>
    <t>Klein</t>
  </si>
  <si>
    <t>Lorna</t>
  </si>
  <si>
    <t>Wyman</t>
  </si>
  <si>
    <t>Shelly</t>
  </si>
  <si>
    <t>Christina</t>
  </si>
  <si>
    <t>Perryman</t>
  </si>
  <si>
    <t>Luis</t>
  </si>
  <si>
    <t>Fuchs</t>
  </si>
  <si>
    <t>Wittmer</t>
  </si>
  <si>
    <t>Browning</t>
  </si>
  <si>
    <t>Tuttle</t>
  </si>
  <si>
    <t>Cain</t>
  </si>
  <si>
    <t>Raul</t>
  </si>
  <si>
    <t>Kirkpatrick</t>
  </si>
  <si>
    <t>Lillian</t>
  </si>
  <si>
    <t>Munoz</t>
  </si>
  <si>
    <t>Guillermina</t>
  </si>
  <si>
    <t>Fisher</t>
  </si>
  <si>
    <t>Dylan</t>
  </si>
  <si>
    <t>Myers</t>
  </si>
  <si>
    <t>Seal</t>
  </si>
  <si>
    <t>Melvin</t>
  </si>
  <si>
    <t>Lathrop</t>
  </si>
  <si>
    <t>Calderon</t>
  </si>
  <si>
    <t>Milton</t>
  </si>
  <si>
    <t>Cushman</t>
  </si>
  <si>
    <t>Mario</t>
  </si>
  <si>
    <t>Lucy</t>
  </si>
  <si>
    <t>Mcbride</t>
  </si>
  <si>
    <t>Roxanne</t>
  </si>
  <si>
    <t>Sonia</t>
  </si>
  <si>
    <t>Collene</t>
  </si>
  <si>
    <t>Moss</t>
  </si>
  <si>
    <t>Cassandra</t>
  </si>
  <si>
    <t>Fluellen</t>
  </si>
  <si>
    <t>Olga</t>
  </si>
  <si>
    <t>Richardson</t>
  </si>
  <si>
    <t>Andrew</t>
  </si>
  <si>
    <t>Woods</t>
  </si>
  <si>
    <t>Eileen</t>
  </si>
  <si>
    <t>Dellinger</t>
  </si>
  <si>
    <t>Cristobal</t>
  </si>
  <si>
    <t>Mcadory</t>
  </si>
  <si>
    <t>Newman</t>
  </si>
  <si>
    <t>Binder</t>
  </si>
  <si>
    <t>Mccarty</t>
  </si>
  <si>
    <t>Holter</t>
  </si>
  <si>
    <t>Doty</t>
  </si>
  <si>
    <t>Vanessa</t>
  </si>
  <si>
    <t>Porter</t>
  </si>
  <si>
    <t>Geraldine</t>
  </si>
  <si>
    <t>Roach</t>
  </si>
  <si>
    <t>Bonita</t>
  </si>
  <si>
    <t>Dudley</t>
  </si>
  <si>
    <t>Ethel</t>
  </si>
  <si>
    <t>Knowles</t>
  </si>
  <si>
    <t>Crespo</t>
  </si>
  <si>
    <t>Dandrea</t>
  </si>
  <si>
    <t>Mcclinton</t>
  </si>
  <si>
    <t>Gregorio</t>
  </si>
  <si>
    <t>Gavin</t>
  </si>
  <si>
    <t>Darin</t>
  </si>
  <si>
    <t>Dolezal</t>
  </si>
  <si>
    <t>Schoch</t>
  </si>
  <si>
    <t>Mckinnon</t>
  </si>
  <si>
    <t>Swift</t>
  </si>
  <si>
    <t>Rollins</t>
  </si>
  <si>
    <t>Acevedo</t>
  </si>
  <si>
    <t>Alberta</t>
  </si>
  <si>
    <t>Herbert</t>
  </si>
  <si>
    <t>Alvarado</t>
  </si>
  <si>
    <t>Roberto</t>
  </si>
  <si>
    <t>Hennessey</t>
  </si>
  <si>
    <t>Price</t>
  </si>
  <si>
    <t>Danial</t>
  </si>
  <si>
    <t>Mireles</t>
  </si>
  <si>
    <t>Sharon</t>
  </si>
  <si>
    <t>Warrior</t>
  </si>
  <si>
    <t>Stack</t>
  </si>
  <si>
    <t>Fawn</t>
  </si>
  <si>
    <t>Baldwin</t>
  </si>
  <si>
    <t>Ray</t>
  </si>
  <si>
    <t>Ealey</t>
  </si>
  <si>
    <t>Borba</t>
  </si>
  <si>
    <t>Sherman</t>
  </si>
  <si>
    <t>Carmen</t>
  </si>
  <si>
    <t>Calhoun</t>
  </si>
  <si>
    <t>Gertrude</t>
  </si>
  <si>
    <t>Mckee</t>
  </si>
  <si>
    <t>Jame</t>
  </si>
  <si>
    <t>Prather</t>
  </si>
  <si>
    <t>Doug</t>
  </si>
  <si>
    <t>Mannings</t>
  </si>
  <si>
    <t>Lissa</t>
  </si>
  <si>
    <t>Jacobson</t>
  </si>
  <si>
    <t>Hammer</t>
  </si>
  <si>
    <t>Truman</t>
  </si>
  <si>
    <t>Dove</t>
  </si>
  <si>
    <t>Garret</t>
  </si>
  <si>
    <t>Ursula</t>
  </si>
  <si>
    <t>Hofer</t>
  </si>
  <si>
    <t>Stoller</t>
  </si>
  <si>
    <t>Carolyn</t>
  </si>
  <si>
    <t>Golliday</t>
  </si>
  <si>
    <t>Bonnie</t>
  </si>
  <si>
    <t>Brothers</t>
  </si>
  <si>
    <t>Butler</t>
  </si>
  <si>
    <t>Francisco</t>
  </si>
  <si>
    <t>Highsmith</t>
  </si>
  <si>
    <t>Elise</t>
  </si>
  <si>
    <t>Donaldson</t>
  </si>
  <si>
    <t>Carlos</t>
  </si>
  <si>
    <t>Bethel</t>
  </si>
  <si>
    <t>Juana</t>
  </si>
  <si>
    <t>Marks</t>
  </si>
  <si>
    <t>Baptist</t>
  </si>
  <si>
    <t>Yarber</t>
  </si>
  <si>
    <t>Seth</t>
  </si>
  <si>
    <t>Foley</t>
  </si>
  <si>
    <t>Vickie</t>
  </si>
  <si>
    <t>Brent</t>
  </si>
  <si>
    <t>Askew</t>
  </si>
  <si>
    <t>Brashear</t>
  </si>
  <si>
    <t>Anastasia</t>
  </si>
  <si>
    <t>Mina</t>
  </si>
  <si>
    <t>Hillard</t>
  </si>
  <si>
    <t>Ledford</t>
  </si>
  <si>
    <t>Mcgee</t>
  </si>
  <si>
    <t>Hung</t>
  </si>
  <si>
    <t>Yount</t>
  </si>
  <si>
    <t>Goldberg</t>
  </si>
  <si>
    <t>Isabelle</t>
  </si>
  <si>
    <t>Wyllie</t>
  </si>
  <si>
    <t>Jimenez</t>
  </si>
  <si>
    <t>Irma</t>
  </si>
  <si>
    <t>Maggie</t>
  </si>
  <si>
    <t>Kraft</t>
  </si>
  <si>
    <t>Rodney</t>
  </si>
  <si>
    <t>Tyler</t>
  </si>
  <si>
    <t>Preston</t>
  </si>
  <si>
    <t>Rex</t>
  </si>
  <si>
    <t>Yoko</t>
  </si>
  <si>
    <t>Perreault</t>
  </si>
  <si>
    <t>Marjorie</t>
  </si>
  <si>
    <t>Pedro</t>
  </si>
  <si>
    <t>Ben</t>
  </si>
  <si>
    <t>Esquivel</t>
  </si>
  <si>
    <t>Greg</t>
  </si>
  <si>
    <t>Mcdaniel</t>
  </si>
  <si>
    <t>Sabrina</t>
  </si>
  <si>
    <t>Kowal</t>
  </si>
  <si>
    <t>Eloise</t>
  </si>
  <si>
    <t>Newcomb</t>
  </si>
  <si>
    <t>Ward</t>
  </si>
  <si>
    <t>Kester</t>
  </si>
  <si>
    <t>Acker</t>
  </si>
  <si>
    <t>Farmer</t>
  </si>
  <si>
    <t>Mara</t>
  </si>
  <si>
    <t>Ellis</t>
  </si>
  <si>
    <t>Josefina</t>
  </si>
  <si>
    <t>Valle</t>
  </si>
  <si>
    <t>Silver</t>
  </si>
  <si>
    <t>Jarvis</t>
  </si>
  <si>
    <t>Deanna</t>
  </si>
  <si>
    <t>Gaither</t>
  </si>
  <si>
    <t>Courtney</t>
  </si>
  <si>
    <t>Herrmann</t>
  </si>
  <si>
    <t>Wilkerson</t>
  </si>
  <si>
    <t>Roberson</t>
  </si>
  <si>
    <t>Cothran</t>
  </si>
  <si>
    <t>Billy</t>
  </si>
  <si>
    <t>Tara</t>
  </si>
  <si>
    <t>Carver</t>
  </si>
  <si>
    <t>Rahman</t>
  </si>
  <si>
    <t>Meghan</t>
  </si>
  <si>
    <t>Arrington</t>
  </si>
  <si>
    <t>Bertie</t>
  </si>
  <si>
    <t>Maxine</t>
  </si>
  <si>
    <t>Maynor</t>
  </si>
  <si>
    <t>Rachelle</t>
  </si>
  <si>
    <t>Loveless</t>
  </si>
  <si>
    <t>Dewitt</t>
  </si>
  <si>
    <t>Keith</t>
  </si>
  <si>
    <t>Falcone</t>
  </si>
  <si>
    <t>Clinton</t>
  </si>
  <si>
    <t>Berger</t>
  </si>
  <si>
    <t>Jamie</t>
  </si>
  <si>
    <t>Hinkle</t>
  </si>
  <si>
    <t>Doris</t>
  </si>
  <si>
    <t>Walter</t>
  </si>
  <si>
    <t>Slater</t>
  </si>
  <si>
    <t>Conrad</t>
  </si>
  <si>
    <t>Coble</t>
  </si>
  <si>
    <t>Vanhorn</t>
  </si>
  <si>
    <t>Alcantar</t>
  </si>
  <si>
    <t>Painter</t>
  </si>
  <si>
    <t>Derek</t>
  </si>
  <si>
    <t>Cage</t>
  </si>
  <si>
    <t>Shannon</t>
  </si>
  <si>
    <t>Noguera</t>
  </si>
  <si>
    <t>Hugo</t>
  </si>
  <si>
    <t>Hitchens</t>
  </si>
  <si>
    <t>Sutton</t>
  </si>
  <si>
    <t>Coulombe</t>
  </si>
  <si>
    <t>Janice</t>
  </si>
  <si>
    <t>Earl</t>
  </si>
  <si>
    <t>Marcia</t>
  </si>
  <si>
    <t>Huddleston</t>
  </si>
  <si>
    <t>Luckett</t>
  </si>
  <si>
    <t>Fielder</t>
  </si>
  <si>
    <t>Brennan</t>
  </si>
  <si>
    <t>Alison</t>
  </si>
  <si>
    <t>Lora</t>
  </si>
  <si>
    <t>Rhine</t>
  </si>
  <si>
    <t>Darell</t>
  </si>
  <si>
    <t>Cuellar</t>
  </si>
  <si>
    <t>Felix</t>
  </si>
  <si>
    <t>Still</t>
  </si>
  <si>
    <t>Melanie</t>
  </si>
  <si>
    <t>Bresnahan</t>
  </si>
  <si>
    <t>Quinlan</t>
  </si>
  <si>
    <t>Artis</t>
  </si>
  <si>
    <t>Mcvey</t>
  </si>
  <si>
    <t>Clark</t>
  </si>
  <si>
    <t>Mclaughlin</t>
  </si>
  <si>
    <t>Moya</t>
  </si>
  <si>
    <t>Nix</t>
  </si>
  <si>
    <t>Paula</t>
  </si>
  <si>
    <t>Groth</t>
  </si>
  <si>
    <t>Vance</t>
  </si>
  <si>
    <t>Humphrey</t>
  </si>
  <si>
    <t>Imes</t>
  </si>
  <si>
    <t>Thanh</t>
  </si>
  <si>
    <t>Julia</t>
  </si>
  <si>
    <t>Boston</t>
  </si>
  <si>
    <t>Andersen</t>
  </si>
  <si>
    <t>Kellie</t>
  </si>
  <si>
    <t>Pritchard</t>
  </si>
  <si>
    <t>Barreto</t>
  </si>
  <si>
    <t>Norris</t>
  </si>
  <si>
    <t>Travis</t>
  </si>
  <si>
    <t>Coronado</t>
  </si>
  <si>
    <t>Mariano</t>
  </si>
  <si>
    <t>Fraley</t>
  </si>
  <si>
    <t>Clarence</t>
  </si>
  <si>
    <t>Sedgwick</t>
  </si>
  <si>
    <t>Cindy</t>
  </si>
  <si>
    <t>Cadwallader</t>
  </si>
  <si>
    <t>Howard</t>
  </si>
  <si>
    <t>Agee</t>
  </si>
  <si>
    <t>Chapa</t>
  </si>
  <si>
    <t>Browne</t>
  </si>
  <si>
    <t>Jaclyn</t>
  </si>
  <si>
    <t>Adcock</t>
  </si>
  <si>
    <t>Heidi</t>
  </si>
  <si>
    <t>Rupp</t>
  </si>
  <si>
    <t>Ann</t>
  </si>
  <si>
    <t>Villarreal</t>
  </si>
  <si>
    <t>Antoine</t>
  </si>
  <si>
    <t>Cervantez</t>
  </si>
  <si>
    <t>Stansberry</t>
  </si>
  <si>
    <t>Denise</t>
  </si>
  <si>
    <t>Olmstead</t>
  </si>
  <si>
    <t>Rohe</t>
  </si>
  <si>
    <t>Stromberg</t>
  </si>
  <si>
    <t>Ricky</t>
  </si>
  <si>
    <t>Orr</t>
  </si>
  <si>
    <t>Rowland</t>
  </si>
  <si>
    <t>Jessie</t>
  </si>
  <si>
    <t>Hyde</t>
  </si>
  <si>
    <t>Kasey</t>
  </si>
  <si>
    <t>Davidson</t>
  </si>
  <si>
    <t>Joyce</t>
  </si>
  <si>
    <t>Kirkman</t>
  </si>
  <si>
    <t>Laurene</t>
  </si>
  <si>
    <t>Constantine</t>
  </si>
  <si>
    <t>Niles</t>
  </si>
  <si>
    <t>Hinnant</t>
  </si>
  <si>
    <t>Reiter</t>
  </si>
  <si>
    <t>Andres</t>
  </si>
  <si>
    <t>Sansbury</t>
  </si>
  <si>
    <t>Jackie</t>
  </si>
  <si>
    <t>Escobedo</t>
  </si>
  <si>
    <t>Dennis</t>
  </si>
  <si>
    <t>Molina</t>
  </si>
  <si>
    <t>Oleta</t>
  </si>
  <si>
    <t>Cutler</t>
  </si>
  <si>
    <t>Shawn</t>
  </si>
  <si>
    <t>Balas</t>
  </si>
  <si>
    <t>Eason</t>
  </si>
  <si>
    <t>Kyle</t>
  </si>
  <si>
    <t>Pennington</t>
  </si>
  <si>
    <t>Talbot</t>
  </si>
  <si>
    <t>Gutierrez</t>
  </si>
  <si>
    <t>Matney</t>
  </si>
  <si>
    <t>Rita</t>
  </si>
  <si>
    <t>Wong</t>
  </si>
  <si>
    <t>Dessie</t>
  </si>
  <si>
    <t>Judy</t>
  </si>
  <si>
    <t>Greenlee</t>
  </si>
  <si>
    <t>Godbolt</t>
  </si>
  <si>
    <t>Stockman</t>
  </si>
  <si>
    <t>Drew</t>
  </si>
  <si>
    <t>Blair</t>
  </si>
  <si>
    <t>Sosa</t>
  </si>
  <si>
    <t>Rankin</t>
  </si>
  <si>
    <t>Nick</t>
  </si>
  <si>
    <t>Stinson</t>
  </si>
  <si>
    <t>Ty</t>
  </si>
  <si>
    <t>Sykes</t>
  </si>
  <si>
    <t>Sophia</t>
  </si>
  <si>
    <t>Christensen</t>
  </si>
  <si>
    <t>Moak</t>
  </si>
  <si>
    <t>Wilhemina</t>
  </si>
  <si>
    <t>Coyle</t>
  </si>
  <si>
    <t>Brandon</t>
  </si>
  <si>
    <t>Levine</t>
  </si>
  <si>
    <t>Hone</t>
  </si>
  <si>
    <t>Ivory</t>
  </si>
  <si>
    <t>Fauntleroy</t>
  </si>
  <si>
    <t>Curtis</t>
  </si>
  <si>
    <t>Gerry</t>
  </si>
  <si>
    <t>Friese</t>
  </si>
  <si>
    <t>Toscano</t>
  </si>
  <si>
    <t>Yoder</t>
  </si>
  <si>
    <t>Kanode</t>
  </si>
  <si>
    <t>Nugent</t>
  </si>
  <si>
    <t>Backer</t>
  </si>
  <si>
    <t>Foti</t>
  </si>
  <si>
    <t>Esmeralda</t>
  </si>
  <si>
    <t>Bermudez</t>
  </si>
  <si>
    <t>Lyons</t>
  </si>
  <si>
    <t>West</t>
  </si>
  <si>
    <t>Margot</t>
  </si>
  <si>
    <t>Winters</t>
  </si>
  <si>
    <t>Vannessa</t>
  </si>
  <si>
    <t>Bolton</t>
  </si>
  <si>
    <t>Childs</t>
  </si>
  <si>
    <t>Bettie</t>
  </si>
  <si>
    <t>Maryann</t>
  </si>
  <si>
    <t>Dickerson</t>
  </si>
  <si>
    <t>Ginger</t>
  </si>
  <si>
    <t>Tequila</t>
  </si>
  <si>
    <t>Galbraith</t>
  </si>
  <si>
    <t>Jonathon</t>
  </si>
  <si>
    <t>Redding</t>
  </si>
  <si>
    <t>Wooten</t>
  </si>
  <si>
    <t>Catt</t>
  </si>
  <si>
    <t>Nilson</t>
  </si>
  <si>
    <t>Lozano</t>
  </si>
  <si>
    <t>Miers</t>
  </si>
  <si>
    <t>Weed</t>
  </si>
  <si>
    <t>Maldonado</t>
  </si>
  <si>
    <t>Bruce</t>
  </si>
  <si>
    <t>Joanne</t>
  </si>
  <si>
    <t>Jardine</t>
  </si>
  <si>
    <t>Rodrigue</t>
  </si>
  <si>
    <t>Gene</t>
  </si>
  <si>
    <t>Pulliam</t>
  </si>
  <si>
    <t>Staggs</t>
  </si>
  <si>
    <t>Jorge</t>
  </si>
  <si>
    <t>Brandie</t>
  </si>
  <si>
    <t>Boucher</t>
  </si>
  <si>
    <t>Sipe</t>
  </si>
  <si>
    <t>York</t>
  </si>
  <si>
    <t>Tyrone</t>
  </si>
  <si>
    <t>Dysart</t>
  </si>
  <si>
    <t>Oscar</t>
  </si>
  <si>
    <t>Gill</t>
  </si>
  <si>
    <t>Thelma</t>
  </si>
  <si>
    <t>Jeffcoat</t>
  </si>
  <si>
    <t>Rice</t>
  </si>
  <si>
    <t>Rodriguez</t>
  </si>
  <si>
    <t>Felipe</t>
  </si>
  <si>
    <t>Moorehead</t>
  </si>
  <si>
    <t>Sheppard</t>
  </si>
  <si>
    <t>Bankston</t>
  </si>
  <si>
    <t>Kasie</t>
  </si>
  <si>
    <t>Alleyne</t>
  </si>
  <si>
    <t>Stephens</t>
  </si>
  <si>
    <t>Tamra</t>
  </si>
  <si>
    <t>Cummings</t>
  </si>
  <si>
    <t>Sparrow</t>
  </si>
  <si>
    <t>Shelia</t>
  </si>
  <si>
    <t>Beck</t>
  </si>
  <si>
    <t>Annette</t>
  </si>
  <si>
    <t>Allison</t>
  </si>
  <si>
    <t>Gleason</t>
  </si>
  <si>
    <t>Gretchen</t>
  </si>
  <si>
    <t>Scheid</t>
  </si>
  <si>
    <t>Gloria</t>
  </si>
  <si>
    <t>Larson</t>
  </si>
  <si>
    <t>Pressley</t>
  </si>
  <si>
    <t>Jesse</t>
  </si>
  <si>
    <t>Mcgaughey</t>
  </si>
  <si>
    <t>Margarita</t>
  </si>
  <si>
    <t>Hargett</t>
  </si>
  <si>
    <t>Ryan</t>
  </si>
  <si>
    <t>Cliff</t>
  </si>
  <si>
    <t>Thiessen</t>
  </si>
  <si>
    <t>Wingo</t>
  </si>
  <si>
    <t>Dane</t>
  </si>
  <si>
    <t>Esther</t>
  </si>
  <si>
    <t>Cox</t>
  </si>
  <si>
    <t>Speer</t>
  </si>
  <si>
    <t>Meyers</t>
  </si>
  <si>
    <t>Hinkley</t>
  </si>
  <si>
    <t>Ball</t>
  </si>
  <si>
    <t>Stevenson</t>
  </si>
  <si>
    <t>Hsiu</t>
  </si>
  <si>
    <t>Wheat</t>
  </si>
  <si>
    <t>Corinne</t>
  </si>
  <si>
    <t>Stimpson</t>
  </si>
  <si>
    <t>Mahoney</t>
  </si>
  <si>
    <t>Twitchell</t>
  </si>
  <si>
    <t>Mata</t>
  </si>
  <si>
    <t>Pope</t>
  </si>
  <si>
    <t>Watts</t>
  </si>
  <si>
    <t>Salazar</t>
  </si>
  <si>
    <t>Currie</t>
  </si>
  <si>
    <t>Stallworth</t>
  </si>
  <si>
    <t>Hutchison</t>
  </si>
  <si>
    <t>Ken</t>
  </si>
  <si>
    <t>Hulme</t>
  </si>
  <si>
    <t>Cavender</t>
  </si>
  <si>
    <t>Belcher</t>
  </si>
  <si>
    <t>Jermaine</t>
  </si>
  <si>
    <t>Henrietta</t>
  </si>
  <si>
    <t>Warner</t>
  </si>
  <si>
    <t>Holly</t>
  </si>
  <si>
    <t>Frink</t>
  </si>
  <si>
    <t>Helene</t>
  </si>
  <si>
    <t>Mavis</t>
  </si>
  <si>
    <t>Brock</t>
  </si>
  <si>
    <t>Fullerton</t>
  </si>
  <si>
    <t>Ana</t>
  </si>
  <si>
    <t>Trotta</t>
  </si>
  <si>
    <t>Lewis</t>
  </si>
  <si>
    <t>Russell</t>
  </si>
  <si>
    <t>Arceo</t>
  </si>
  <si>
    <t>Jeanette</t>
  </si>
  <si>
    <t>Rosie</t>
  </si>
  <si>
    <t>Eldridge</t>
  </si>
  <si>
    <t>Angelo</t>
  </si>
  <si>
    <t>Ortega</t>
  </si>
  <si>
    <t>Unger</t>
  </si>
  <si>
    <t>Helena</t>
  </si>
  <si>
    <t>Schultz</t>
  </si>
  <si>
    <t>Elaine</t>
  </si>
  <si>
    <t>Sanders</t>
  </si>
  <si>
    <t>Stefan</t>
  </si>
  <si>
    <t>Theodore</t>
  </si>
  <si>
    <t>Henderson</t>
  </si>
  <si>
    <t>Mattoon</t>
  </si>
  <si>
    <t>Eddie</t>
  </si>
  <si>
    <t>Mills</t>
  </si>
  <si>
    <t>Erika</t>
  </si>
  <si>
    <t>Ralph</t>
  </si>
  <si>
    <t>Villanueva</t>
  </si>
  <si>
    <t>Schilling</t>
  </si>
  <si>
    <t>Gregg</t>
  </si>
  <si>
    <t>Palumbo</t>
  </si>
  <si>
    <t>Lambert</t>
  </si>
  <si>
    <t>Frederick</t>
  </si>
  <si>
    <t>Harmon</t>
  </si>
  <si>
    <t>Dominga</t>
  </si>
  <si>
    <t>Durham</t>
  </si>
  <si>
    <t>Mull</t>
  </si>
  <si>
    <t>Alan</t>
  </si>
  <si>
    <t>Driscoll</t>
  </si>
  <si>
    <t>Morrison</t>
  </si>
  <si>
    <t>Sergio</t>
  </si>
  <si>
    <t>Pizarro</t>
  </si>
  <si>
    <t>Mistie</t>
  </si>
  <si>
    <t>Lannon</t>
  </si>
  <si>
    <t>Marquita</t>
  </si>
  <si>
    <t>Lininger</t>
  </si>
  <si>
    <t>Adrian</t>
  </si>
  <si>
    <t>Hayes</t>
  </si>
  <si>
    <t>Cisneros</t>
  </si>
  <si>
    <t>Cowen</t>
  </si>
  <si>
    <t>Ziegler</t>
  </si>
  <si>
    <t>Bushman</t>
  </si>
  <si>
    <t>Shipe</t>
  </si>
  <si>
    <t>Neblett</t>
  </si>
  <si>
    <t>Iola</t>
  </si>
  <si>
    <t>Britt</t>
  </si>
  <si>
    <t>Myra</t>
  </si>
  <si>
    <t>Bernie</t>
  </si>
  <si>
    <t>Kelso</t>
  </si>
  <si>
    <t>Saundra</t>
  </si>
  <si>
    <t>Carlson</t>
  </si>
  <si>
    <t>Karl</t>
  </si>
  <si>
    <t>Pearle</t>
  </si>
  <si>
    <t>Bennett</t>
  </si>
  <si>
    <t>Grantham</t>
  </si>
  <si>
    <t>Epperson</t>
  </si>
  <si>
    <t>Pillow</t>
  </si>
  <si>
    <t>Josiah</t>
  </si>
  <si>
    <t>Andrade</t>
  </si>
  <si>
    <t>Ronda</t>
  </si>
  <si>
    <t>Lettie</t>
  </si>
  <si>
    <t>Tyner</t>
  </si>
  <si>
    <t>Hanna</t>
  </si>
  <si>
    <t>Rutherford</t>
  </si>
  <si>
    <t>Priscilla</t>
  </si>
  <si>
    <t>Ross</t>
  </si>
  <si>
    <t>Alva</t>
  </si>
  <si>
    <t>Sears</t>
  </si>
  <si>
    <t>Connor</t>
  </si>
  <si>
    <t>Slaton</t>
  </si>
  <si>
    <t>Hensley</t>
  </si>
  <si>
    <t>Beane</t>
  </si>
  <si>
    <t>Camille</t>
  </si>
  <si>
    <t>Briones</t>
  </si>
  <si>
    <t>Goode</t>
  </si>
  <si>
    <t>Tracy</t>
  </si>
  <si>
    <t>Renshaw</t>
  </si>
  <si>
    <t>Burroughs</t>
  </si>
  <si>
    <t>Byrns</t>
  </si>
  <si>
    <t>Littlefield</t>
  </si>
  <si>
    <t>Denton</t>
  </si>
  <si>
    <t>Carrie</t>
  </si>
  <si>
    <t>Henning</t>
  </si>
  <si>
    <t>Ruiz</t>
  </si>
  <si>
    <t>Lance</t>
  </si>
  <si>
    <t>Griffin</t>
  </si>
  <si>
    <t>Franco</t>
  </si>
  <si>
    <t>Billie</t>
  </si>
  <si>
    <t>Click</t>
  </si>
  <si>
    <t>Nguyen</t>
  </si>
  <si>
    <t>Hess</t>
  </si>
  <si>
    <t>Clarke</t>
  </si>
  <si>
    <t>Grace</t>
  </si>
  <si>
    <t>Jarmon</t>
  </si>
  <si>
    <t>Wiser</t>
  </si>
  <si>
    <t>Ellen</t>
  </si>
  <si>
    <t>Valera</t>
  </si>
  <si>
    <t>Agnes</t>
  </si>
  <si>
    <t>Washington</t>
  </si>
  <si>
    <t>Lindeman</t>
  </si>
  <si>
    <t>Kramer</t>
  </si>
  <si>
    <t>Mchugh</t>
  </si>
  <si>
    <t>Dorthy</t>
  </si>
  <si>
    <t>Irvin</t>
  </si>
  <si>
    <t>Constantino</t>
  </si>
  <si>
    <t>Leeds</t>
  </si>
  <si>
    <t>Elder</t>
  </si>
  <si>
    <t>Lynn</t>
  </si>
  <si>
    <t>Schaefer</t>
  </si>
  <si>
    <t>Edmond</t>
  </si>
  <si>
    <t>Styers</t>
  </si>
  <si>
    <t>Bozeman</t>
  </si>
  <si>
    <t>Cabezas</t>
  </si>
  <si>
    <t>Tiana</t>
  </si>
  <si>
    <t>Lax</t>
  </si>
  <si>
    <t>Perry</t>
  </si>
  <si>
    <t>Sabatini</t>
  </si>
  <si>
    <t>Pierce</t>
  </si>
  <si>
    <t>Keller</t>
  </si>
  <si>
    <t>Arturo</t>
  </si>
  <si>
    <t>Stauffer</t>
  </si>
  <si>
    <t>Mckenna</t>
  </si>
  <si>
    <t>Sisk</t>
  </si>
  <si>
    <t>Erwin</t>
  </si>
  <si>
    <t>Sara</t>
  </si>
  <si>
    <t>Goff</t>
  </si>
  <si>
    <t>Sisson</t>
  </si>
  <si>
    <t>Fearn</t>
  </si>
  <si>
    <t>Gladney</t>
  </si>
  <si>
    <t>Katlyn</t>
  </si>
  <si>
    <t>Gard</t>
  </si>
  <si>
    <t>Hazel</t>
  </si>
  <si>
    <t>Mcdade</t>
  </si>
  <si>
    <t>Parry</t>
  </si>
  <si>
    <t>Rushton</t>
  </si>
  <si>
    <t>Kriebel</t>
  </si>
  <si>
    <t>Marc</t>
  </si>
  <si>
    <t>Wycoff</t>
  </si>
  <si>
    <t>Padilla</t>
  </si>
  <si>
    <t>Harland</t>
  </si>
  <si>
    <t>Roxy</t>
  </si>
  <si>
    <t>Pair</t>
  </si>
  <si>
    <t>Taub</t>
  </si>
  <si>
    <t>Moran</t>
  </si>
  <si>
    <t>Monroe</t>
  </si>
  <si>
    <t>Danny</t>
  </si>
  <si>
    <t>Meredith</t>
  </si>
  <si>
    <t>Tania</t>
  </si>
  <si>
    <t>Villalobos</t>
  </si>
  <si>
    <t>Meserve</t>
  </si>
  <si>
    <t>Lona</t>
  </si>
  <si>
    <t>Maddocks</t>
  </si>
  <si>
    <t>Thornton</t>
  </si>
  <si>
    <t>Negrete</t>
  </si>
  <si>
    <t>Rebekah</t>
  </si>
  <si>
    <t>Ingram</t>
  </si>
  <si>
    <t>Verda</t>
  </si>
  <si>
    <t>Kennison</t>
  </si>
  <si>
    <t>Norton</t>
  </si>
  <si>
    <t>Hummel</t>
  </si>
  <si>
    <t>Freeman</t>
  </si>
  <si>
    <t>Krieger</t>
  </si>
  <si>
    <t>Sexton</t>
  </si>
  <si>
    <t>Shari</t>
  </si>
  <si>
    <t>Oakes</t>
  </si>
  <si>
    <t>Edgar</t>
  </si>
  <si>
    <t>Tye</t>
  </si>
  <si>
    <t>Sherry</t>
  </si>
  <si>
    <t>Joni</t>
  </si>
  <si>
    <t>Raby</t>
  </si>
  <si>
    <t>Antwan</t>
  </si>
  <si>
    <t>Mccartney</t>
  </si>
  <si>
    <t>Hassan</t>
  </si>
  <si>
    <t>Hargrave</t>
  </si>
  <si>
    <t>Sinha</t>
  </si>
  <si>
    <t>Velasquez</t>
  </si>
  <si>
    <t>Gertie</t>
  </si>
  <si>
    <t>Gulley</t>
  </si>
  <si>
    <t>Temeka</t>
  </si>
  <si>
    <t>Curlee</t>
  </si>
  <si>
    <t>Samantha</t>
  </si>
  <si>
    <t>Savage</t>
  </si>
  <si>
    <t>Lamont</t>
  </si>
  <si>
    <t>Obrien</t>
  </si>
  <si>
    <t>Sylvia</t>
  </si>
  <si>
    <t>Hand</t>
  </si>
  <si>
    <t>Trevor</t>
  </si>
  <si>
    <t>Lilley</t>
  </si>
  <si>
    <t>Dodd</t>
  </si>
  <si>
    <t>Emery</t>
  </si>
  <si>
    <t>Munguia</t>
  </si>
  <si>
    <t>Phyllis</t>
  </si>
  <si>
    <t>Bertrand</t>
  </si>
  <si>
    <t>Perkins</t>
  </si>
  <si>
    <t>Nicholas</t>
  </si>
  <si>
    <t>Sawyers</t>
  </si>
  <si>
    <t>Montgomery</t>
  </si>
  <si>
    <t>Mattie</t>
  </si>
  <si>
    <t>Higdon</t>
  </si>
  <si>
    <t>Kelli</t>
  </si>
  <si>
    <t>Olvera</t>
  </si>
  <si>
    <t>Deangelo</t>
  </si>
  <si>
    <t>Noe</t>
  </si>
  <si>
    <t>Cureton</t>
  </si>
  <si>
    <t>Beatrice</t>
  </si>
  <si>
    <t>Waters</t>
  </si>
  <si>
    <t>Lester</t>
  </si>
  <si>
    <t>Ed</t>
  </si>
  <si>
    <t>Olson</t>
  </si>
  <si>
    <t>Wesley</t>
  </si>
  <si>
    <t>Burleson</t>
  </si>
  <si>
    <t>Norman</t>
  </si>
  <si>
    <t>Garry</t>
  </si>
  <si>
    <t>Mattox</t>
  </si>
  <si>
    <t>Gladys</t>
  </si>
  <si>
    <t>Wilhelm</t>
  </si>
  <si>
    <t>Muhammad</t>
  </si>
  <si>
    <t>Mathison</t>
  </si>
  <si>
    <t>New</t>
  </si>
  <si>
    <t>Carmelia</t>
  </si>
  <si>
    <t>Sebring</t>
  </si>
  <si>
    <t>Abston</t>
  </si>
  <si>
    <t>Belinda</t>
  </si>
  <si>
    <t>Esposito</t>
  </si>
  <si>
    <t>Pinkham</t>
  </si>
  <si>
    <t>Gaskins</t>
  </si>
  <si>
    <t>Juanita</t>
  </si>
  <si>
    <t>Olguin</t>
  </si>
  <si>
    <t>Tan</t>
  </si>
  <si>
    <t>Gagnon</t>
  </si>
  <si>
    <t>Applebaum</t>
  </si>
  <si>
    <t>Katherine</t>
  </si>
  <si>
    <t>Wetzel</t>
  </si>
  <si>
    <t>Garner</t>
  </si>
  <si>
    <t>Leibowitz</t>
  </si>
  <si>
    <t>Edgerton</t>
  </si>
  <si>
    <t>Danielle</t>
  </si>
  <si>
    <t>Holtzclaw</t>
  </si>
  <si>
    <t>Cooper</t>
  </si>
  <si>
    <t>Dillon</t>
  </si>
  <si>
    <t>Fishman</t>
  </si>
  <si>
    <t>Meekins</t>
  </si>
  <si>
    <t>Olive</t>
  </si>
  <si>
    <t>Hammond</t>
  </si>
  <si>
    <t>Bunn</t>
  </si>
  <si>
    <t>Jewell</t>
  </si>
  <si>
    <t>Sain</t>
  </si>
  <si>
    <t>Bing</t>
  </si>
  <si>
    <t>Wold</t>
  </si>
  <si>
    <t>Soto</t>
  </si>
  <si>
    <t>Brickley</t>
  </si>
  <si>
    <t>Skaggs</t>
  </si>
  <si>
    <t>Kranz</t>
  </si>
  <si>
    <t>Pickard</t>
  </si>
  <si>
    <t>Roberta</t>
  </si>
  <si>
    <t>Holmes</t>
  </si>
  <si>
    <t>Crews</t>
  </si>
  <si>
    <t>Rinehart</t>
  </si>
  <si>
    <t>Lovie</t>
  </si>
  <si>
    <t>Ripley</t>
  </si>
  <si>
    <t>Delrio</t>
  </si>
  <si>
    <t>Nichols</t>
  </si>
  <si>
    <t>Lonnie</t>
  </si>
  <si>
    <t>Catalina</t>
  </si>
  <si>
    <t>Burns</t>
  </si>
  <si>
    <t>Matis</t>
  </si>
  <si>
    <t>Hinshaw</t>
  </si>
  <si>
    <t>Carmona</t>
  </si>
  <si>
    <t>Winifred</t>
  </si>
  <si>
    <t>Koester</t>
  </si>
  <si>
    <t>Malcom</t>
  </si>
  <si>
    <t>Flick</t>
  </si>
  <si>
    <t>Ruben</t>
  </si>
  <si>
    <t>Hodge</t>
  </si>
  <si>
    <t>Tenorio</t>
  </si>
  <si>
    <t>Scrivner</t>
  </si>
  <si>
    <t>Ricciardi</t>
  </si>
  <si>
    <t>Ickes</t>
  </si>
  <si>
    <t>Keim</t>
  </si>
  <si>
    <t>Muniz</t>
  </si>
  <si>
    <t>Zink</t>
  </si>
  <si>
    <t>Sue</t>
  </si>
  <si>
    <t>Jack</t>
  </si>
  <si>
    <t>Rogers</t>
  </si>
  <si>
    <t>Jennings</t>
  </si>
  <si>
    <t>Buckley</t>
  </si>
  <si>
    <t>Vigil</t>
  </si>
  <si>
    <t>Dionne</t>
  </si>
  <si>
    <t>Horwitz</t>
  </si>
  <si>
    <t>Attwood</t>
  </si>
  <si>
    <t>Potter</t>
  </si>
  <si>
    <t>Gail</t>
  </si>
  <si>
    <t>Hicks</t>
  </si>
  <si>
    <t>Morillo</t>
  </si>
  <si>
    <t>Dunaway</t>
  </si>
  <si>
    <t>Hinojosa</t>
  </si>
  <si>
    <t>Cataldo</t>
  </si>
  <si>
    <t>Ennis</t>
  </si>
  <si>
    <t>Montenegro</t>
  </si>
  <si>
    <t>Verna</t>
  </si>
  <si>
    <t>Spivey</t>
  </si>
  <si>
    <t>Khan</t>
  </si>
  <si>
    <t>Keri</t>
  </si>
  <si>
    <t>Alyce</t>
  </si>
  <si>
    <t>Dummer</t>
  </si>
  <si>
    <t>Naomi</t>
  </si>
  <si>
    <t>Traylor</t>
  </si>
  <si>
    <t>Ripple</t>
  </si>
  <si>
    <t>Montes</t>
  </si>
  <si>
    <t>Cristina</t>
  </si>
  <si>
    <t>Diaz</t>
  </si>
  <si>
    <t>Bailes</t>
  </si>
  <si>
    <t>Purvis</t>
  </si>
  <si>
    <t>Cheryl</t>
  </si>
  <si>
    <t>Dion</t>
  </si>
  <si>
    <t>Deboer</t>
  </si>
  <si>
    <t>Joycelyn</t>
  </si>
  <si>
    <t>Mcnary</t>
  </si>
  <si>
    <t>Lam</t>
  </si>
  <si>
    <t>Tucker</t>
  </si>
  <si>
    <t>Amy</t>
  </si>
  <si>
    <t>Mcgowan</t>
  </si>
  <si>
    <t>Inez</t>
  </si>
  <si>
    <t>Moyers</t>
  </si>
  <si>
    <t>Reva</t>
  </si>
  <si>
    <t>Castelli</t>
  </si>
  <si>
    <t>Gilmore</t>
  </si>
  <si>
    <t>Ramon</t>
  </si>
  <si>
    <t>Stilwell</t>
  </si>
  <si>
    <t>Higgins</t>
  </si>
  <si>
    <t>Wilma</t>
  </si>
  <si>
    <t>Kimura</t>
  </si>
  <si>
    <t>Jeannette</t>
  </si>
  <si>
    <t>Escalante</t>
  </si>
  <si>
    <t>Weyer</t>
  </si>
  <si>
    <t>Wood</t>
  </si>
  <si>
    <t>Pena</t>
  </si>
  <si>
    <t>Fitzpatrick</t>
  </si>
  <si>
    <t>Rocio</t>
  </si>
  <si>
    <t>Gilda</t>
  </si>
  <si>
    <t>Hodges</t>
  </si>
  <si>
    <t>Breshears</t>
  </si>
  <si>
    <t>Arlene</t>
  </si>
  <si>
    <t>Banks</t>
  </si>
  <si>
    <t>Jose</t>
  </si>
  <si>
    <t>Ladwig</t>
  </si>
  <si>
    <t>Dale</t>
  </si>
  <si>
    <t>Clemons</t>
  </si>
  <si>
    <t>Schmitz</t>
  </si>
  <si>
    <t>Kornegay</t>
  </si>
  <si>
    <t>Hurd</t>
  </si>
  <si>
    <t>Macdonald</t>
  </si>
  <si>
    <t>Conway</t>
  </si>
  <si>
    <t>Leininger</t>
  </si>
  <si>
    <t>Palmer</t>
  </si>
  <si>
    <t>Gia</t>
  </si>
  <si>
    <t>Cody</t>
  </si>
  <si>
    <t>Hamilton</t>
  </si>
  <si>
    <t>Bolden</t>
  </si>
  <si>
    <t>Chea</t>
  </si>
  <si>
    <t>Gephart</t>
  </si>
  <si>
    <t>Winnett</t>
  </si>
  <si>
    <t>Jefferson</t>
  </si>
  <si>
    <t>Filkins</t>
  </si>
  <si>
    <t>Ramsey</t>
  </si>
  <si>
    <t>Freddie</t>
  </si>
  <si>
    <t>Pleas</t>
  </si>
  <si>
    <t>Cervantes</t>
  </si>
  <si>
    <t>Marilyn</t>
  </si>
  <si>
    <t>Opal</t>
  </si>
  <si>
    <t>Hoffman</t>
  </si>
  <si>
    <t>Moody</t>
  </si>
  <si>
    <t>Hallock</t>
  </si>
  <si>
    <t>Felicia</t>
  </si>
  <si>
    <t>Greeson</t>
  </si>
  <si>
    <t>Kehoe</t>
  </si>
  <si>
    <t>Alexander</t>
  </si>
  <si>
    <t>Begley</t>
  </si>
  <si>
    <t>Wayne</t>
  </si>
  <si>
    <t>Crosby</t>
  </si>
  <si>
    <t>Searfoss</t>
  </si>
  <si>
    <t>Mcspadden</t>
  </si>
  <si>
    <t>Clymer</t>
  </si>
  <si>
    <t>Lococo</t>
  </si>
  <si>
    <t>Joan</t>
  </si>
  <si>
    <t>Abbas</t>
  </si>
  <si>
    <t>Quentin</t>
  </si>
  <si>
    <t>Graves</t>
  </si>
  <si>
    <t>Finch</t>
  </si>
  <si>
    <t>Terrence</t>
  </si>
  <si>
    <t>Bruni</t>
  </si>
  <si>
    <t>Nease</t>
  </si>
  <si>
    <t>Trowbridge</t>
  </si>
  <si>
    <t>Bowman</t>
  </si>
  <si>
    <t>Waddell</t>
  </si>
  <si>
    <t>Jeffries</t>
  </si>
  <si>
    <t>Hogg</t>
  </si>
  <si>
    <t>Spencer</t>
  </si>
  <si>
    <t>Ron</t>
  </si>
  <si>
    <t>Clay</t>
  </si>
  <si>
    <t>Marin</t>
  </si>
  <si>
    <t>Myrtle</t>
  </si>
  <si>
    <t>Jamaal</t>
  </si>
  <si>
    <t>Monica</t>
  </si>
  <si>
    <t>Boyter</t>
  </si>
  <si>
    <t>Obrian</t>
  </si>
  <si>
    <t>Gates</t>
  </si>
  <si>
    <t>Wicks</t>
  </si>
  <si>
    <t>Bridges</t>
  </si>
  <si>
    <t>Aguayo</t>
  </si>
  <si>
    <t>Craddock</t>
  </si>
  <si>
    <t>Rhyne</t>
  </si>
  <si>
    <t>Lowery</t>
  </si>
  <si>
    <t>Graham</t>
  </si>
  <si>
    <t>Tillotson</t>
  </si>
  <si>
    <t>Caitlin</t>
  </si>
  <si>
    <t>Morales</t>
  </si>
  <si>
    <t>Birch</t>
  </si>
  <si>
    <t>Fuquay</t>
  </si>
  <si>
    <t>Levy</t>
  </si>
  <si>
    <t>Lavina</t>
  </si>
  <si>
    <t>Perrotta</t>
  </si>
  <si>
    <t>Lucero</t>
  </si>
  <si>
    <t>Rancourt</t>
  </si>
  <si>
    <t>Decicco</t>
  </si>
  <si>
    <t>Zakrzewski</t>
  </si>
  <si>
    <t>Johnston</t>
  </si>
  <si>
    <t>Gerardo</t>
  </si>
  <si>
    <t>Mccluskey</t>
  </si>
  <si>
    <t>Ike</t>
  </si>
  <si>
    <t>Roden</t>
  </si>
  <si>
    <t>Ryles</t>
  </si>
  <si>
    <t>Anisha</t>
  </si>
  <si>
    <t>Bradway</t>
  </si>
  <si>
    <t>Gunnell</t>
  </si>
  <si>
    <t>Best</t>
  </si>
  <si>
    <t>Munsch</t>
  </si>
  <si>
    <t>Burrough</t>
  </si>
  <si>
    <t>Susanne</t>
  </si>
  <si>
    <t>Gober</t>
  </si>
  <si>
    <t>Melodee</t>
  </si>
  <si>
    <t>Liao</t>
  </si>
  <si>
    <t>Mcintire</t>
  </si>
  <si>
    <t>Koch</t>
  </si>
  <si>
    <t>Jesusa</t>
  </si>
  <si>
    <t>Branham</t>
  </si>
  <si>
    <t>Masako</t>
  </si>
  <si>
    <t>Sites</t>
  </si>
  <si>
    <t>Rodrick</t>
  </si>
  <si>
    <t>Manning</t>
  </si>
  <si>
    <t>Vecchio</t>
  </si>
  <si>
    <t>Jeremy</t>
  </si>
  <si>
    <t>Petersen</t>
  </si>
  <si>
    <t>Spiro</t>
  </si>
  <si>
    <t>Reid</t>
  </si>
  <si>
    <t>Claudette</t>
  </si>
  <si>
    <t>Barron</t>
  </si>
  <si>
    <t>Tincher</t>
  </si>
  <si>
    <t>Brogan</t>
  </si>
  <si>
    <t>Carpenter</t>
  </si>
  <si>
    <t>Lander</t>
  </si>
  <si>
    <t>Sorensen</t>
  </si>
  <si>
    <t>Gaines</t>
  </si>
  <si>
    <t>Duane</t>
  </si>
  <si>
    <t>Page</t>
  </si>
  <si>
    <t>Bates</t>
  </si>
  <si>
    <t>Johnnie</t>
  </si>
  <si>
    <t>Truesdale</t>
  </si>
  <si>
    <t>Waterman</t>
  </si>
  <si>
    <t>Mccubbin</t>
  </si>
  <si>
    <t>Fred</t>
  </si>
  <si>
    <t>Bostic</t>
  </si>
  <si>
    <t>Darren</t>
  </si>
  <si>
    <t>Barney</t>
  </si>
  <si>
    <t>Vega</t>
  </si>
  <si>
    <t>Glynn</t>
  </si>
  <si>
    <t>Mccaw</t>
  </si>
  <si>
    <t>Rodrigo</t>
  </si>
  <si>
    <t>Simons</t>
  </si>
  <si>
    <t>Rosa</t>
  </si>
  <si>
    <t>Rundle</t>
  </si>
  <si>
    <t>Breunig</t>
  </si>
  <si>
    <t>Florence</t>
  </si>
  <si>
    <t>Dill</t>
  </si>
  <si>
    <t>Coats</t>
  </si>
  <si>
    <t>Jane</t>
  </si>
  <si>
    <t>Hartfield</t>
  </si>
  <si>
    <t>Daly</t>
  </si>
  <si>
    <t>Irwin</t>
  </si>
  <si>
    <t>Cantwell</t>
  </si>
  <si>
    <t>Martino</t>
  </si>
  <si>
    <t>Polk</t>
  </si>
  <si>
    <t>Toth</t>
  </si>
  <si>
    <t>Darrel</t>
  </si>
  <si>
    <t>Alicia</t>
  </si>
  <si>
    <t>Wise</t>
  </si>
  <si>
    <t>Jeannine</t>
  </si>
  <si>
    <t>Sharita</t>
  </si>
  <si>
    <t>Behrendt</t>
  </si>
  <si>
    <t>Caroline</t>
  </si>
  <si>
    <t>Elena</t>
  </si>
  <si>
    <t>Farr</t>
  </si>
  <si>
    <t>Mercedes</t>
  </si>
  <si>
    <t>Sikes</t>
  </si>
  <si>
    <t>Leonhardt</t>
  </si>
  <si>
    <t>Foushee</t>
  </si>
  <si>
    <t>Fries</t>
  </si>
  <si>
    <t>Dina</t>
  </si>
  <si>
    <t>Lusk</t>
  </si>
  <si>
    <t>Boysen</t>
  </si>
  <si>
    <t>Luna</t>
  </si>
  <si>
    <t>Grigsby</t>
  </si>
  <si>
    <t>Abbott</t>
  </si>
  <si>
    <t>Brad</t>
  </si>
  <si>
    <t>Cramer</t>
  </si>
  <si>
    <t>Tipton</t>
  </si>
  <si>
    <t>Handley</t>
  </si>
  <si>
    <t>Wade</t>
  </si>
  <si>
    <t>Goodson</t>
  </si>
  <si>
    <t>Holley</t>
  </si>
  <si>
    <t>Salmons</t>
  </si>
  <si>
    <t>Casas</t>
  </si>
  <si>
    <t>Phillip</t>
  </si>
  <si>
    <t>Mears</t>
  </si>
  <si>
    <t>Regina</t>
  </si>
  <si>
    <t>Nau</t>
  </si>
  <si>
    <t>Montoya</t>
  </si>
  <si>
    <t>Grier</t>
  </si>
  <si>
    <t>Clover</t>
  </si>
  <si>
    <t>Mcginn</t>
  </si>
  <si>
    <t>Leggett</t>
  </si>
  <si>
    <t>Lydia</t>
  </si>
  <si>
    <t>Lantigua</t>
  </si>
  <si>
    <t>Cook</t>
  </si>
  <si>
    <t>Amber</t>
  </si>
  <si>
    <t>Royal</t>
  </si>
  <si>
    <t>Errol</t>
  </si>
  <si>
    <t>Connie</t>
  </si>
  <si>
    <t>Gerard</t>
  </si>
  <si>
    <t>Phelps</t>
  </si>
  <si>
    <t>Sowell</t>
  </si>
  <si>
    <t>Gabriel</t>
  </si>
  <si>
    <t>Bush</t>
  </si>
  <si>
    <t>Rios</t>
  </si>
  <si>
    <t>Sheena</t>
  </si>
  <si>
    <t>Walsh</t>
  </si>
  <si>
    <t>Oneil</t>
  </si>
  <si>
    <t>Justin</t>
  </si>
  <si>
    <t>Alicea</t>
  </si>
  <si>
    <t>Sebastian</t>
  </si>
  <si>
    <t>Moreno</t>
  </si>
  <si>
    <t>Wills</t>
  </si>
  <si>
    <t>Toni</t>
  </si>
  <si>
    <t>Hagy</t>
  </si>
  <si>
    <t>Rowena</t>
  </si>
  <si>
    <t>Valdez</t>
  </si>
  <si>
    <t>Pierre</t>
  </si>
  <si>
    <t>Nipp</t>
  </si>
  <si>
    <t>Gant</t>
  </si>
  <si>
    <t>Martini</t>
  </si>
  <si>
    <t>Carlino</t>
  </si>
  <si>
    <t>Thomason</t>
  </si>
  <si>
    <t>Glenda</t>
  </si>
  <si>
    <t>Ewing</t>
  </si>
  <si>
    <t>Asuncion</t>
  </si>
  <si>
    <t>Keating</t>
  </si>
  <si>
    <t>Jo</t>
  </si>
  <si>
    <t>Vickers</t>
  </si>
  <si>
    <t>Balke</t>
  </si>
  <si>
    <t>Brianne</t>
  </si>
  <si>
    <t>Pence</t>
  </si>
  <si>
    <t>Schubert</t>
  </si>
  <si>
    <t>Carman</t>
  </si>
  <si>
    <t>Bill</t>
  </si>
  <si>
    <t>Babb</t>
  </si>
  <si>
    <t>Lowry</t>
  </si>
  <si>
    <t>Debora</t>
  </si>
  <si>
    <t>Wille</t>
  </si>
  <si>
    <t>Tarver</t>
  </si>
  <si>
    <t>Tabitha</t>
  </si>
  <si>
    <t>Raglin</t>
  </si>
  <si>
    <t>Toledo</t>
  </si>
  <si>
    <t>Bibbs</t>
  </si>
  <si>
    <t>Rousseau</t>
  </si>
  <si>
    <t>Rob</t>
  </si>
  <si>
    <t>Densmore</t>
  </si>
  <si>
    <t>Charolette</t>
  </si>
  <si>
    <t>Voegele</t>
  </si>
  <si>
    <t>Wakefield</t>
  </si>
  <si>
    <t>Fairchild</t>
  </si>
  <si>
    <t>Hilda</t>
  </si>
  <si>
    <t>Petillo</t>
  </si>
  <si>
    <t>Bechtel</t>
  </si>
  <si>
    <t>Papas</t>
  </si>
  <si>
    <t>Andrea</t>
  </si>
  <si>
    <t>Jorgenson</t>
  </si>
  <si>
    <t>Shana</t>
  </si>
  <si>
    <t>Nieman</t>
  </si>
  <si>
    <t>Elkins</t>
  </si>
  <si>
    <t>Winter</t>
  </si>
  <si>
    <t>Everett</t>
  </si>
  <si>
    <t>Burdette</t>
  </si>
  <si>
    <t>Fredric</t>
  </si>
  <si>
    <t>Pedrosa</t>
  </si>
  <si>
    <t>Horner</t>
  </si>
  <si>
    <t>Nell</t>
  </si>
  <si>
    <t>Fuller</t>
  </si>
  <si>
    <t>Fryer</t>
  </si>
  <si>
    <t>Renfroe</t>
  </si>
  <si>
    <t>Prouty</t>
  </si>
  <si>
    <t>Kristen</t>
  </si>
  <si>
    <t>Splawn</t>
  </si>
  <si>
    <t>Slade</t>
  </si>
  <si>
    <t>Mildred</t>
  </si>
  <si>
    <t>Mattingly</t>
  </si>
  <si>
    <t>Treadway</t>
  </si>
  <si>
    <t>Hendricks</t>
  </si>
  <si>
    <t>Dupre</t>
  </si>
  <si>
    <t>Low</t>
  </si>
  <si>
    <t>Well</t>
  </si>
  <si>
    <t>Chad</t>
  </si>
  <si>
    <t>Gambrell</t>
  </si>
  <si>
    <t>Esteban</t>
  </si>
  <si>
    <t>Watkins</t>
  </si>
  <si>
    <t>Quezada</t>
  </si>
  <si>
    <t>Vines</t>
  </si>
  <si>
    <t>Fisk</t>
  </si>
  <si>
    <t>Fritz</t>
  </si>
  <si>
    <t>Kazuko</t>
  </si>
  <si>
    <t>Stolp</t>
  </si>
  <si>
    <t>Sally</t>
  </si>
  <si>
    <t>Nanney</t>
  </si>
  <si>
    <t>Duffy</t>
  </si>
  <si>
    <t>Broadhead</t>
  </si>
  <si>
    <t>Dunbar</t>
  </si>
  <si>
    <t>Gause</t>
  </si>
  <si>
    <t>Stutes</t>
  </si>
  <si>
    <t>Rosado</t>
  </si>
  <si>
    <t>Aarons</t>
  </si>
  <si>
    <t>Maclachlan</t>
  </si>
  <si>
    <t>Rosenthal</t>
  </si>
  <si>
    <t>Montelongo</t>
  </si>
  <si>
    <t>Alderman</t>
  </si>
  <si>
    <t>Jody</t>
  </si>
  <si>
    <t>Cyr</t>
  </si>
  <si>
    <t>Linwood</t>
  </si>
  <si>
    <t>Chu</t>
  </si>
  <si>
    <t>Erica</t>
  </si>
  <si>
    <t>Vetter</t>
  </si>
  <si>
    <t>Zelma</t>
  </si>
  <si>
    <t>Colin</t>
  </si>
  <si>
    <t>Hillyard</t>
  </si>
  <si>
    <t>Rhea</t>
  </si>
  <si>
    <t>Melton</t>
  </si>
  <si>
    <t>Bassett</t>
  </si>
  <si>
    <t>Dwayne</t>
  </si>
  <si>
    <t>Verena</t>
  </si>
  <si>
    <t>Robin</t>
  </si>
  <si>
    <t>Chow</t>
  </si>
  <si>
    <t>Rosenbloom</t>
  </si>
  <si>
    <t>Macmillan</t>
  </si>
  <si>
    <t>Avery</t>
  </si>
  <si>
    <t>Salvatore</t>
  </si>
  <si>
    <t>Herring</t>
  </si>
  <si>
    <t>Cole</t>
  </si>
  <si>
    <t>Eunice</t>
  </si>
  <si>
    <t>Hamby</t>
  </si>
  <si>
    <t>Yancy</t>
  </si>
  <si>
    <t>Rosalinda</t>
  </si>
  <si>
    <t>Bolan</t>
  </si>
  <si>
    <t>Lack</t>
  </si>
  <si>
    <t>Just</t>
  </si>
  <si>
    <t>Singh</t>
  </si>
  <si>
    <t>Beaulieu</t>
  </si>
  <si>
    <t>Arsenault</t>
  </si>
  <si>
    <t>Korte</t>
  </si>
  <si>
    <t>Staples</t>
  </si>
  <si>
    <t>Ramey</t>
  </si>
  <si>
    <t>Freitag</t>
  </si>
  <si>
    <t>Vicky</t>
  </si>
  <si>
    <t>Joyner</t>
  </si>
  <si>
    <t>Newell</t>
  </si>
  <si>
    <t>Orozco</t>
  </si>
  <si>
    <t>Dustin</t>
  </si>
  <si>
    <t>Mcdowell</t>
  </si>
  <si>
    <t>Lan</t>
  </si>
  <si>
    <t>Geneva</t>
  </si>
  <si>
    <t>Leedy</t>
  </si>
  <si>
    <t>Evan</t>
  </si>
  <si>
    <t>Stanfield</t>
  </si>
  <si>
    <t>Forbes</t>
  </si>
  <si>
    <t>Stpierre</t>
  </si>
  <si>
    <t>Sondra</t>
  </si>
  <si>
    <t>Barrera</t>
  </si>
  <si>
    <t>Beth</t>
  </si>
  <si>
    <t>Tso</t>
  </si>
  <si>
    <t>Valenzuela</t>
  </si>
  <si>
    <t>Kelley</t>
  </si>
  <si>
    <t>Guillory</t>
  </si>
  <si>
    <t>Medina</t>
  </si>
  <si>
    <t>Reyes</t>
  </si>
  <si>
    <t>Duenas</t>
  </si>
  <si>
    <t>Wasinger</t>
  </si>
  <si>
    <t>Linares</t>
  </si>
  <si>
    <t>Cadwell</t>
  </si>
  <si>
    <t>Veilleux</t>
  </si>
  <si>
    <t>Oney</t>
  </si>
  <si>
    <t>Welch</t>
  </si>
  <si>
    <t>Arzola</t>
  </si>
  <si>
    <t>Dianne</t>
  </si>
  <si>
    <t>Yanes</t>
  </si>
  <si>
    <t>Monson</t>
  </si>
  <si>
    <t>Polly</t>
  </si>
  <si>
    <t>Utz</t>
  </si>
  <si>
    <t>Mathewson</t>
  </si>
  <si>
    <t>Grose</t>
  </si>
  <si>
    <t>Devaney</t>
  </si>
  <si>
    <t>Mathews</t>
  </si>
  <si>
    <t>Coggins</t>
  </si>
  <si>
    <t>Arnott</t>
  </si>
  <si>
    <t>Carlton</t>
  </si>
  <si>
    <t>Geoghegan</t>
  </si>
  <si>
    <t>Aguilar</t>
  </si>
  <si>
    <t>Putz</t>
  </si>
  <si>
    <t>Delia</t>
  </si>
  <si>
    <t>Cordeiro</t>
  </si>
  <si>
    <t>Siegel</t>
  </si>
  <si>
    <t>Polite</t>
  </si>
  <si>
    <t>Toler</t>
  </si>
  <si>
    <t>Noah</t>
  </si>
  <si>
    <t>Lanham</t>
  </si>
  <si>
    <t>Queen</t>
  </si>
  <si>
    <t>Andy</t>
  </si>
  <si>
    <t>Saul</t>
  </si>
  <si>
    <t>Mayer</t>
  </si>
  <si>
    <t>Huckaby</t>
  </si>
  <si>
    <t>Samson</t>
  </si>
  <si>
    <t>Tuggle</t>
  </si>
  <si>
    <t>Geoffrey</t>
  </si>
  <si>
    <t>Logan</t>
  </si>
  <si>
    <t>Titus</t>
  </si>
  <si>
    <t>Henault</t>
  </si>
  <si>
    <t>Dobson</t>
  </si>
  <si>
    <t>Alex</t>
  </si>
  <si>
    <t>Ahumada</t>
  </si>
  <si>
    <t>Daniels</t>
  </si>
  <si>
    <t>Mcelroy</t>
  </si>
  <si>
    <t>Whittle</t>
  </si>
  <si>
    <t>Bolles</t>
  </si>
  <si>
    <t>Swingle</t>
  </si>
  <si>
    <t>Dept</t>
  </si>
  <si>
    <t>Status</t>
  </si>
  <si>
    <t>City</t>
  </si>
  <si>
    <t>State</t>
  </si>
  <si>
    <t>Code Lookups</t>
  </si>
  <si>
    <t>New York City</t>
  </si>
  <si>
    <t> New York</t>
  </si>
  <si>
    <t>Los Angeles</t>
  </si>
  <si>
    <t> California</t>
  </si>
  <si>
    <t>Chicago</t>
  </si>
  <si>
    <t> Illinois</t>
  </si>
  <si>
    <t> Texas</t>
  </si>
  <si>
    <t>Phoenix</t>
  </si>
  <si>
    <t> Arizona</t>
  </si>
  <si>
    <t>Philadelphia</t>
  </si>
  <si>
    <t> Pennsylvania</t>
  </si>
  <si>
    <t>San Antonio</t>
  </si>
  <si>
    <t>San Diego</t>
  </si>
  <si>
    <t>Dallas</t>
  </si>
  <si>
    <t>San Jose</t>
  </si>
  <si>
    <t>Jacksonville</t>
  </si>
  <si>
    <t> Florida</t>
  </si>
  <si>
    <t>San Francisco</t>
  </si>
  <si>
    <t>Columbus</t>
  </si>
  <si>
    <t> Ohio</t>
  </si>
  <si>
    <t>Fort Worth</t>
  </si>
  <si>
    <t>Indianapolis</t>
  </si>
  <si>
    <t> Indiana</t>
  </si>
  <si>
    <t> North Carolina</t>
  </si>
  <si>
    <t>Seattle</t>
  </si>
  <si>
    <t> Washington</t>
  </si>
  <si>
    <t>Denver</t>
  </si>
  <si>
    <t> Colorado</t>
  </si>
  <si>
    <t>Washington, D.C.</t>
  </si>
  <si>
    <t> District of Columbia</t>
  </si>
  <si>
    <t> Massachusetts</t>
  </si>
  <si>
    <t>El Paso</t>
  </si>
  <si>
    <t>Detroit</t>
  </si>
  <si>
    <t> Michigan</t>
  </si>
  <si>
    <t>Nashville</t>
  </si>
  <si>
    <t> Tennessee</t>
  </si>
  <si>
    <t>Memphis</t>
  </si>
  <si>
    <t>Portland</t>
  </si>
  <si>
    <t> Oregon</t>
  </si>
  <si>
    <t>Oklahoma City</t>
  </si>
  <si>
    <t> Oklahoma</t>
  </si>
  <si>
    <t>Las Vegas</t>
  </si>
  <si>
    <t> Nevada</t>
  </si>
  <si>
    <t>Louisville</t>
  </si>
  <si>
    <t> Kentucky</t>
  </si>
  <si>
    <t>Baltimore</t>
  </si>
  <si>
    <t> Maryland</t>
  </si>
  <si>
    <t>Milwaukee</t>
  </si>
  <si>
    <t> Wisconsin</t>
  </si>
  <si>
    <t>Albuquerque</t>
  </si>
  <si>
    <t> New Mexico</t>
  </si>
  <si>
    <t>Tucson</t>
  </si>
  <si>
    <t>Fresno</t>
  </si>
  <si>
    <t>Sacramento</t>
  </si>
  <si>
    <t>Mesa</t>
  </si>
  <si>
    <t>Kansas City</t>
  </si>
  <si>
    <t> Missouri</t>
  </si>
  <si>
    <t>Atlanta</t>
  </si>
  <si>
    <t> Georgia</t>
  </si>
  <si>
    <t>Long Beach</t>
  </si>
  <si>
    <t>Omaha</t>
  </si>
  <si>
    <t> Nebraska</t>
  </si>
  <si>
    <t>Colorado Springs</t>
  </si>
  <si>
    <t>Miami</t>
  </si>
  <si>
    <t>Virginia Beach</t>
  </si>
  <si>
    <t> Virginia</t>
  </si>
  <si>
    <t>Oakland</t>
  </si>
  <si>
    <t>Minneapolis</t>
  </si>
  <si>
    <t> Minnesota</t>
  </si>
  <si>
    <t>Tulsa</t>
  </si>
  <si>
    <t>Arlington</t>
  </si>
  <si>
    <t>New Orleans</t>
  </si>
  <si>
    <t> Louisiana</t>
  </si>
  <si>
    <t>Wichita</t>
  </si>
  <si>
    <t> Kansas</t>
  </si>
  <si>
    <t>Cleveland</t>
  </si>
  <si>
    <t>Tampa</t>
  </si>
  <si>
    <t>Bakersfield</t>
  </si>
  <si>
    <t>Anaheim</t>
  </si>
  <si>
    <t>Honolulu</t>
  </si>
  <si>
    <t> Hawaii</t>
  </si>
  <si>
    <t>Santa Ana</t>
  </si>
  <si>
    <t>Riverside</t>
  </si>
  <si>
    <t>Corpus Christi</t>
  </si>
  <si>
    <t>Lexington</t>
  </si>
  <si>
    <t>Stockton</t>
  </si>
  <si>
    <t>St. Louis</t>
  </si>
  <si>
    <t>Saint Paul</t>
  </si>
  <si>
    <t>Pittsburgh</t>
  </si>
  <si>
    <t>Cincinnati</t>
  </si>
  <si>
    <t>Anchorage</t>
  </si>
  <si>
    <t> Alaska</t>
  </si>
  <si>
    <t>Greensboro</t>
  </si>
  <si>
    <t>Plano</t>
  </si>
  <si>
    <t>Newark</t>
  </si>
  <si>
    <t> New Jersey</t>
  </si>
  <si>
    <t>Lincoln</t>
  </si>
  <si>
    <t>Orlando</t>
  </si>
  <si>
    <t>Irvine</t>
  </si>
  <si>
    <t>Jersey City</t>
  </si>
  <si>
    <t>Chula Vista</t>
  </si>
  <si>
    <t>Fort Wayne</t>
  </si>
  <si>
    <t>St. Petersburg</t>
  </si>
  <si>
    <t>Laredo</t>
  </si>
  <si>
    <t>Buffalo</t>
  </si>
  <si>
    <t>Madison</t>
  </si>
  <si>
    <t>Lubbock</t>
  </si>
  <si>
    <t>Scottsdale</t>
  </si>
  <si>
    <t>Reno</t>
  </si>
  <si>
    <t>Glendale</t>
  </si>
  <si>
    <t>Norfolk</t>
  </si>
  <si>
    <t>Location Code</t>
  </si>
  <si>
    <t>Accounting</t>
  </si>
  <si>
    <t>Administration</t>
  </si>
  <si>
    <t>Assessment</t>
  </si>
  <si>
    <t>Customer Support</t>
  </si>
  <si>
    <t>Finance</t>
  </si>
  <si>
    <t>Human Resources</t>
  </si>
  <si>
    <t>IT</t>
  </si>
  <si>
    <t>Legal</t>
  </si>
  <si>
    <t>Marketing</t>
  </si>
  <si>
    <t>Media</t>
  </si>
  <si>
    <t>R&amp;D</t>
  </si>
  <si>
    <t>Sales</t>
  </si>
  <si>
    <t>Shipping</t>
  </si>
  <si>
    <t>Dept Code</t>
  </si>
  <si>
    <t>Department</t>
  </si>
  <si>
    <t>Status Code</t>
  </si>
  <si>
    <t>Part-Time</t>
  </si>
  <si>
    <t>Full-Time</t>
  </si>
  <si>
    <t>Workspace</t>
  </si>
  <si>
    <t>Author</t>
  </si>
  <si>
    <t>Date</t>
  </si>
  <si>
    <t>Purpose</t>
  </si>
  <si>
    <t>To extract employee information from an employee ID code</t>
  </si>
  <si>
    <t>David Cooper</t>
  </si>
  <si>
    <t>1006-11-2017-12-1</t>
  </si>
  <si>
    <t>1001-12-2015-11-1</t>
  </si>
  <si>
    <t>1002-14-2018-11-1</t>
  </si>
  <si>
    <t>1004-18-2013-11-1</t>
  </si>
  <si>
    <t>Year Code</t>
  </si>
  <si>
    <t>Month Code</t>
  </si>
  <si>
    <t>Starting Month</t>
  </si>
  <si>
    <t>1007-22-2021-11-1</t>
  </si>
  <si>
    <t>1007-15-2015-1-0</t>
  </si>
  <si>
    <t>1037-17-2019-8-1</t>
  </si>
  <si>
    <t>1054-20-2012-10-1</t>
  </si>
  <si>
    <t>1072-13-2019-7-1</t>
  </si>
  <si>
    <t>1006-11-2021-12-1</t>
  </si>
  <si>
    <t>1065-20-2023-2-1</t>
  </si>
  <si>
    <t>1082-13-2016-7-1</t>
  </si>
  <si>
    <t>1008-12-2011-7-1</t>
  </si>
  <si>
    <t>1034-22-2012-12-1</t>
  </si>
  <si>
    <t>1002-18-2013-2-1</t>
  </si>
  <si>
    <t>1002-12-2017-5-1</t>
  </si>
  <si>
    <t>1009-22-2011-4-0</t>
  </si>
  <si>
    <t>1014-23-2023-7-1</t>
  </si>
  <si>
    <t>1056-18-2023-6-1</t>
  </si>
  <si>
    <t>1083-14-2014-11-1</t>
  </si>
  <si>
    <t>1081-20-2021-4-1</t>
  </si>
  <si>
    <t>1023-22-2011-3-1</t>
  </si>
  <si>
    <t>1077-18-2018-9-1</t>
  </si>
  <si>
    <t>1001-11-2011-7-1</t>
  </si>
  <si>
    <t>1060-12-2016-5-1</t>
  </si>
  <si>
    <t>1010-12-2011-11-0</t>
  </si>
  <si>
    <t>1035-12-2013-1-1</t>
  </si>
  <si>
    <t>1008-16-2014-7-1</t>
  </si>
  <si>
    <t>1047-22-2019-11-1</t>
  </si>
  <si>
    <t>1001-18-2016-5-1</t>
  </si>
  <si>
    <t>1012-22-2021-10-1</t>
  </si>
  <si>
    <t>1002-16-2021-3-0</t>
  </si>
  <si>
    <t>1001-19-2023-1-0</t>
  </si>
  <si>
    <t>1069-15-2019-9-1</t>
  </si>
  <si>
    <t>1003-22-2017-2-1</t>
  </si>
  <si>
    <t>1011-12-2011-11-1</t>
  </si>
  <si>
    <t>1011-12-2014-3-1</t>
  </si>
  <si>
    <t>1071-13-2023-2-1</t>
  </si>
  <si>
    <t>1075-22-2022-5-1</t>
  </si>
  <si>
    <t>1040-18-2011-10-1</t>
  </si>
  <si>
    <t>1008-14-2022-4-1</t>
  </si>
  <si>
    <t>1076-15-2021-9-1</t>
  </si>
  <si>
    <t>1002-22-2014-8-1</t>
  </si>
  <si>
    <t>1004-16-2018-12-1</t>
  </si>
  <si>
    <t>1064-14-2013-11-1</t>
  </si>
  <si>
    <t>1004-14-2020-1-0</t>
  </si>
  <si>
    <t>1038-12-2013-9-1</t>
  </si>
  <si>
    <t>1046-19-2015-3-1</t>
  </si>
  <si>
    <t>1056-12-2023-8-1</t>
  </si>
  <si>
    <t>1002-20-2019-5-0</t>
  </si>
  <si>
    <t>1006-13-2023-8-0</t>
  </si>
  <si>
    <t>1013-12-2020-5-0</t>
  </si>
  <si>
    <t>1001-21-2013-11-0</t>
  </si>
  <si>
    <t>1001-14-2018-9-1</t>
  </si>
  <si>
    <t>1011-11-2011-2-1</t>
  </si>
  <si>
    <t>1071-19-2014-1-1</t>
  </si>
  <si>
    <t>1062-12-2011-3-1</t>
  </si>
  <si>
    <t>1046-18-2020-10-1</t>
  </si>
  <si>
    <t>1070-14-2014-6-1</t>
  </si>
  <si>
    <t>1009-19-2021-12-1</t>
  </si>
  <si>
    <t>1012-12-2021-9-1</t>
  </si>
  <si>
    <t>1004-18-2013-3-1</t>
  </si>
  <si>
    <t>1048-13-2017-2-1</t>
  </si>
  <si>
    <t>1025-20-2022-2-1</t>
  </si>
  <si>
    <t>1001-22-2016-1-1</t>
  </si>
  <si>
    <t>1008-13-2011-11-1</t>
  </si>
  <si>
    <t>1013-13-2020-5-1</t>
  </si>
  <si>
    <t>1007-22-2017-8-1</t>
  </si>
  <si>
    <t>1032-11-2016-1-1</t>
  </si>
  <si>
    <t>1022-13-2022-3-1</t>
  </si>
  <si>
    <t>1079-12-2021-4-1</t>
  </si>
  <si>
    <t>1068-19-2012-3-1</t>
  </si>
  <si>
    <t>1005-18-2013-5-1</t>
  </si>
  <si>
    <t>1013-13-2012-3-1</t>
  </si>
  <si>
    <t>1078-14-2017-12-1</t>
  </si>
  <si>
    <t>1003-21-2023-5-1</t>
  </si>
  <si>
    <t>1052-19-2015-5-1</t>
  </si>
  <si>
    <t>1074-15-2020-3-1</t>
  </si>
  <si>
    <t>1007-20-2013-8-0</t>
  </si>
  <si>
    <t>1085-14-2019-11-1</t>
  </si>
  <si>
    <t>1003-12-2011-3-0</t>
  </si>
  <si>
    <t>1014-12-2013-3-1</t>
  </si>
  <si>
    <t>1007-18-2020-7-1</t>
  </si>
  <si>
    <t>1054-14-2013-2-1</t>
  </si>
  <si>
    <t>1054-19-2015-4-1</t>
  </si>
  <si>
    <t>1001-21-2019-6-1</t>
  </si>
  <si>
    <t>1006-12-2015-5-1</t>
  </si>
  <si>
    <t>1004-14-2011-9-0</t>
  </si>
  <si>
    <t>1022-11-2013-5-1</t>
  </si>
  <si>
    <t>1015-19-2013-3-1</t>
  </si>
  <si>
    <t>1050-18-2012-4-1</t>
  </si>
  <si>
    <t>1072-13-2022-1-1</t>
  </si>
  <si>
    <t>1054-15-2014-3-1</t>
  </si>
  <si>
    <t>1040-12-2019-6-1</t>
  </si>
  <si>
    <t>1006-22-2017-2-1</t>
  </si>
  <si>
    <t>1027-22-2014-5-0</t>
  </si>
  <si>
    <t>1023-15-2015-11-1</t>
  </si>
  <si>
    <t>1001-14-2017-7-0</t>
  </si>
  <si>
    <t>1021-18-2019-4-1</t>
  </si>
  <si>
    <t>1053-19-2012-4-1</t>
  </si>
  <si>
    <t>1038-14-2015-2-0</t>
  </si>
  <si>
    <t>1007-16-2015-8-1</t>
  </si>
  <si>
    <t>1050-19-2014-3-1</t>
  </si>
  <si>
    <t>1053-15-2013-2-1</t>
  </si>
  <si>
    <t>1020-14-2017-4-1</t>
  </si>
  <si>
    <t>1002-20-2011-11-1</t>
  </si>
  <si>
    <t>1001-18-2018-1-0</t>
  </si>
  <si>
    <t>1002-21-2015-5-1</t>
  </si>
  <si>
    <t>1038-18-2014-1-0</t>
  </si>
  <si>
    <t>1020-23-2012-7-1</t>
  </si>
  <si>
    <t>1009-21-2020-11-1</t>
  </si>
  <si>
    <t>1006-12-2023-8-1</t>
  </si>
  <si>
    <t>1013-14-2023-4-0</t>
  </si>
  <si>
    <t>1087-22-2012-2-1</t>
  </si>
  <si>
    <t>1005-19-2013-4-0</t>
  </si>
  <si>
    <t>1070-12-2020-12-1</t>
  </si>
  <si>
    <t>1027-11-2016-3-0</t>
  </si>
  <si>
    <t>1002-14-2023-9-1</t>
  </si>
  <si>
    <t>1053-23-2011-12-1</t>
  </si>
  <si>
    <t>1001-12-2019-10-1</t>
  </si>
  <si>
    <t>1003-14-2014-12-0</t>
  </si>
  <si>
    <t>1001-12-2018-5-1</t>
  </si>
  <si>
    <t>1003-21-2018-3-1</t>
  </si>
  <si>
    <t>1083-12-2022-9-1</t>
  </si>
  <si>
    <t>1036-12-2013-9-1</t>
  </si>
  <si>
    <t>1041-19-2023-7-1</t>
  </si>
  <si>
    <t>1028-22-2012-7-0</t>
  </si>
  <si>
    <t>1080-18-2019-10-0</t>
  </si>
  <si>
    <t>1076-17-2021-8-1</t>
  </si>
  <si>
    <t>1046-13-2016-1-1</t>
  </si>
  <si>
    <t>1041-15-2018-10-1</t>
  </si>
  <si>
    <t>1005-11-2014-9-1</t>
  </si>
  <si>
    <t>1031-11-2020-5-1</t>
  </si>
  <si>
    <t>1002-16-2012-2-1</t>
  </si>
  <si>
    <t>1056-14-2023-8-1</t>
  </si>
  <si>
    <t>1002-11-2020-1-1</t>
  </si>
  <si>
    <t>1058-23-2012-5-1</t>
  </si>
  <si>
    <t>1006-12-2012-1-1</t>
  </si>
  <si>
    <t>1025-21-2016-9-1</t>
  </si>
  <si>
    <t>1085-14-2023-10-1</t>
  </si>
  <si>
    <t>1004-14-2014-5-1</t>
  </si>
  <si>
    <t>1020-12-2017-4-1</t>
  </si>
  <si>
    <t>1019-14-2016-10-1</t>
  </si>
  <si>
    <t>1045-18-2014-3-0</t>
  </si>
  <si>
    <t>1003-14-2023-5-1</t>
  </si>
  <si>
    <t>1018-23-2023-4-1</t>
  </si>
  <si>
    <t>1026-12-2013-12-1</t>
  </si>
  <si>
    <t>1011-15-2019-1-1</t>
  </si>
  <si>
    <t>1001-11-2013-6-1</t>
  </si>
  <si>
    <t>1015-14-2022-7-1</t>
  </si>
  <si>
    <t>1029-15-2022-7-1</t>
  </si>
  <si>
    <t>1001-15-2019-5-0</t>
  </si>
  <si>
    <t>1032-21-2019-3-1</t>
  </si>
  <si>
    <t>1001-12-2019-11-1</t>
  </si>
  <si>
    <t>1013-12-2012-1-1</t>
  </si>
  <si>
    <t>1003-22-2014-12-1</t>
  </si>
  <si>
    <t>1004-15-2012-6-1</t>
  </si>
  <si>
    <t>1081-22-2022-8-1</t>
  </si>
  <si>
    <t>1034-13-2018-6-1</t>
  </si>
  <si>
    <t>1030-12-2014-10-1</t>
  </si>
  <si>
    <t>1002-19-2015-11-1</t>
  </si>
  <si>
    <t>1009-16-2022-10-1</t>
  </si>
  <si>
    <t>1029-18-2011-3-1</t>
  </si>
  <si>
    <t>1009-12-2020-5-1</t>
  </si>
  <si>
    <t>1081-16-2021-11-1</t>
  </si>
  <si>
    <t>1004-14-2016-9-1</t>
  </si>
  <si>
    <t>1012-11-2011-7-1</t>
  </si>
  <si>
    <t>1038-11-2013-12-1</t>
  </si>
  <si>
    <t>1083-11-2018-12-1</t>
  </si>
  <si>
    <t>1006-15-2021-5-1</t>
  </si>
  <si>
    <t>1059-19-2013-6-1</t>
  </si>
  <si>
    <t>1006-18-2013-10-1</t>
  </si>
  <si>
    <t>1004-11-2019-1-1</t>
  </si>
  <si>
    <t>1010-20-2012-8-1</t>
  </si>
  <si>
    <t>1013-11-2023-3-1</t>
  </si>
  <si>
    <t>1028-17-2016-11-1</t>
  </si>
  <si>
    <t>1002-14-2011-2-1</t>
  </si>
  <si>
    <t>1073-22-2018-12-1</t>
  </si>
  <si>
    <t>1002-22-2011-6-1</t>
  </si>
  <si>
    <t>1003-22-2011-10-1</t>
  </si>
  <si>
    <t>1009-20-2016-5-1</t>
  </si>
  <si>
    <t>1070-13-2012-10-1</t>
  </si>
  <si>
    <t>1045-20-2016-1-1</t>
  </si>
  <si>
    <t>1008-13-2014-3-1</t>
  </si>
  <si>
    <t>1028-12-2020-5-1</t>
  </si>
  <si>
    <t>1008-11-2011-2-0</t>
  </si>
  <si>
    <t>1027-14-2018-10-1</t>
  </si>
  <si>
    <t>1028-14-2018-11-1</t>
  </si>
  <si>
    <t>1039-13-2021-1-1</t>
  </si>
  <si>
    <t>1008-22-2020-9-1</t>
  </si>
  <si>
    <t>1049-19-2020-5-1</t>
  </si>
  <si>
    <t>1032-16-2022-2-1</t>
  </si>
  <si>
    <t>1081-18-2016-11-1</t>
  </si>
  <si>
    <t>1007-20-2014-2-1</t>
  </si>
  <si>
    <t>1049-15-2021-6-1</t>
  </si>
  <si>
    <t>1011-15-2021-5-1</t>
  </si>
  <si>
    <t>1077-15-2021-6-0</t>
  </si>
  <si>
    <t>1003-14-2020-1-1</t>
  </si>
  <si>
    <t>1002-16-2017-12-1</t>
  </si>
  <si>
    <t>1014-14-2022-1-1</t>
  </si>
  <si>
    <t>1007-18-2016-8-1</t>
  </si>
  <si>
    <t>1003-13-2018-4-1</t>
  </si>
  <si>
    <t>1008-22-2012-9-1</t>
  </si>
  <si>
    <t>1038-12-2016-8-1</t>
  </si>
  <si>
    <t>1011-16-2019-11-1</t>
  </si>
  <si>
    <t>1075-12-2021-7-1</t>
  </si>
  <si>
    <t>1002-13-2017-6-0</t>
  </si>
  <si>
    <t>1084-19-2017-7-1</t>
  </si>
  <si>
    <t>1058-15-2020-9-1</t>
  </si>
  <si>
    <t>1030-14-2013-3-1</t>
  </si>
  <si>
    <t>1059-22-2015-11-0</t>
  </si>
  <si>
    <t>1004-12-2017-5-1</t>
  </si>
  <si>
    <t>1006-17-2017-3-1</t>
  </si>
  <si>
    <t>1059-19-2017-8-1</t>
  </si>
  <si>
    <t>1039-14-2012-4-1</t>
  </si>
  <si>
    <t>1014-12-2015-2-1</t>
  </si>
  <si>
    <t>1001-11-2019-7-1</t>
  </si>
  <si>
    <t>1002-11-2020-6-0</t>
  </si>
  <si>
    <t>1063-15-2019-7-0</t>
  </si>
  <si>
    <t>1010-11-2021-3-1</t>
  </si>
  <si>
    <t>1011-15-2014-8-1</t>
  </si>
  <si>
    <t>1017-15-2021-1-1</t>
  </si>
  <si>
    <t>1020-17-2014-9-1</t>
  </si>
  <si>
    <t>1005-13-2016-10-1</t>
  </si>
  <si>
    <t>1002-20-2012-7-1</t>
  </si>
  <si>
    <t>1055-19-2016-12-1</t>
  </si>
  <si>
    <t>1002-11-2011-1-1</t>
  </si>
  <si>
    <t>1011-14-2016-3-1</t>
  </si>
  <si>
    <t>1028-11-2022-7-1</t>
  </si>
  <si>
    <t>1004-11-2013-6-1</t>
  </si>
  <si>
    <t>1001-17-2012-6-1</t>
  </si>
  <si>
    <t>1027-19-2012-7-1</t>
  </si>
  <si>
    <t>1022-13-2015-11-1</t>
  </si>
  <si>
    <t>1002-17-2017-7-1</t>
  </si>
  <si>
    <t>1005-16-2014-2-1</t>
  </si>
  <si>
    <t>1010-19-2019-7-1</t>
  </si>
  <si>
    <t>1050-14-2012-7-1</t>
  </si>
  <si>
    <t>1018-11-2020-3-1</t>
  </si>
  <si>
    <t>1021-14-2023-10-1</t>
  </si>
  <si>
    <t>1009-11-2019-12-1</t>
  </si>
  <si>
    <t>1012-14-2022-6-1</t>
  </si>
  <si>
    <t>1006-11-2012-2-1</t>
  </si>
  <si>
    <t>1001-11-2021-6-1</t>
  </si>
  <si>
    <t>1037-14-2016-10-1</t>
  </si>
  <si>
    <t>1030-16-2015-5-1</t>
  </si>
  <si>
    <t>1088-22-2021-11-1</t>
  </si>
  <si>
    <t>1010-20-2014-7-1</t>
  </si>
  <si>
    <t>1002-19-2022-4-1</t>
  </si>
  <si>
    <t>1002-12-2019-3-1</t>
  </si>
  <si>
    <t>1081-14-2019-10-0</t>
  </si>
  <si>
    <t>1069-22-2023-9-1</t>
  </si>
  <si>
    <t>1048-14-2023-3-0</t>
  </si>
  <si>
    <t>1045-11-2022-9-1</t>
  </si>
  <si>
    <t>1067-14-2015-4-1</t>
  </si>
  <si>
    <t>1032-18-2013-4-0</t>
  </si>
  <si>
    <t>1013-15-2021-3-1</t>
  </si>
  <si>
    <t>1036-17-2013-6-1</t>
  </si>
  <si>
    <t>1040-19-2019-5-1</t>
  </si>
  <si>
    <t>1015-13-2013-8-1</t>
  </si>
  <si>
    <t>1017-22-2012-7-1</t>
  </si>
  <si>
    <t>1054-14-2020-11-0</t>
  </si>
  <si>
    <t>1001-11-2021-3-1</t>
  </si>
  <si>
    <t>1037-11-2022-5-1</t>
  </si>
  <si>
    <t>1088-17-2012-1-1</t>
  </si>
  <si>
    <t>1011-16-2023-12-1</t>
  </si>
  <si>
    <t>1039-12-2015-9-1</t>
  </si>
  <si>
    <t>1001-15-2019-8-1</t>
  </si>
  <si>
    <t>1008-14-2011-8-1</t>
  </si>
  <si>
    <t>1008-16-2022-5-1</t>
  </si>
  <si>
    <t>1013-11-2012-11-1</t>
  </si>
  <si>
    <t>1001-18-2016-9-1</t>
  </si>
  <si>
    <t>1022-15-2020-3-1</t>
  </si>
  <si>
    <t>1013-17-2017-4-1</t>
  </si>
  <si>
    <t>1001-19-2015-5-1</t>
  </si>
  <si>
    <t>1038-14-2016-8-1</t>
  </si>
  <si>
    <t>1070-15-2012-3-0</t>
  </si>
  <si>
    <t>1040-18-2018-9-1</t>
  </si>
  <si>
    <t>1002-14-2012-4-1</t>
  </si>
  <si>
    <t>1087-14-2022-5-1</t>
  </si>
  <si>
    <t>1004-12-2023-12-1</t>
  </si>
  <si>
    <t>1005-16-2012-4-1</t>
  </si>
  <si>
    <t>1038-11-2020-3-1</t>
  </si>
  <si>
    <t>1013-18-2023-9-1</t>
  </si>
  <si>
    <t>1002-13-2023-1-1</t>
  </si>
  <si>
    <t>1064-16-2022-6-1</t>
  </si>
  <si>
    <t>1017-23-2015-4-1</t>
  </si>
  <si>
    <t>1041-22-2013-4-1</t>
  </si>
  <si>
    <t>1032-11-2013-4-1</t>
  </si>
  <si>
    <t>1080-22-2017-10-1</t>
  </si>
  <si>
    <t>1045-11-2023-4-1</t>
  </si>
  <si>
    <t>1002-21-2011-9-1</t>
  </si>
  <si>
    <t>1040-12-2015-9-1</t>
  </si>
  <si>
    <t>1068-12-2020-6-1</t>
  </si>
  <si>
    <t>1019-14-2013-12-1</t>
  </si>
  <si>
    <t>1014-17-2013-11-1</t>
  </si>
  <si>
    <t>1003-14-2012-4-1</t>
  </si>
  <si>
    <t>1018-19-2022-11-1</t>
  </si>
  <si>
    <t>1002-18-2011-4-0</t>
  </si>
  <si>
    <t>1016-18-2015-10-1</t>
  </si>
  <si>
    <t>1008-17-2022-7-1</t>
  </si>
  <si>
    <t>1010-14-2020-9-0</t>
  </si>
  <si>
    <t>1061-21-2013-8-1</t>
  </si>
  <si>
    <t>1018-22-2021-11-1</t>
  </si>
  <si>
    <t>1009-16-2018-3-1</t>
  </si>
  <si>
    <t>1045-13-2018-8-0</t>
  </si>
  <si>
    <t>1001-11-2016-11-1</t>
  </si>
  <si>
    <t>1059-11-2016-4-1</t>
  </si>
  <si>
    <t>1001-15-2021-5-0</t>
  </si>
  <si>
    <t>1007-12-2021-4-1</t>
  </si>
  <si>
    <t>1002-14-2016-3-1</t>
  </si>
  <si>
    <t>1053-23-2012-9-0</t>
  </si>
  <si>
    <t>1071-15-2016-11-1</t>
  </si>
  <si>
    <t>1002-21-2019-11-0</t>
  </si>
  <si>
    <t>1070-17-2017-2-1</t>
  </si>
  <si>
    <t>1020-13-2011-10-1</t>
  </si>
  <si>
    <t>1053-19-2011-11-1</t>
  </si>
  <si>
    <t>1067-11-2018-7-1</t>
  </si>
  <si>
    <t>1047-18-2016-9-1</t>
  </si>
  <si>
    <t>1043-13-2014-10-1</t>
  </si>
  <si>
    <t>1013-14-2019-1-1</t>
  </si>
  <si>
    <t>1001-12-2013-3-1</t>
  </si>
  <si>
    <t>1035-14-2015-4-1</t>
  </si>
  <si>
    <t>1017-18-2020-3-1</t>
  </si>
  <si>
    <t>1032-11-2016-11-1</t>
  </si>
  <si>
    <t>1046-23-2017-9-1</t>
  </si>
  <si>
    <t>1008-16-2018-4-1</t>
  </si>
  <si>
    <t>1064-12-2021-9-1</t>
  </si>
  <si>
    <t>1003-19-2011-4-1</t>
  </si>
  <si>
    <t>1002-14-2017-9-1</t>
  </si>
  <si>
    <t>1076-13-2021-8-1</t>
  </si>
  <si>
    <t>1046-13-2021-10-0</t>
  </si>
  <si>
    <t>1052-14-2022-8-1</t>
  </si>
  <si>
    <t>1064-11-2015-11-1</t>
  </si>
  <si>
    <t>1014-11-2014-4-1</t>
  </si>
  <si>
    <t>1001-17-2014-6-1</t>
  </si>
  <si>
    <t>1008-15-2013-4-1</t>
  </si>
  <si>
    <t>1001-21-2018-5-1</t>
  </si>
  <si>
    <t>1002-13-2014-4-1</t>
  </si>
  <si>
    <t>1045-12-2017-3-1</t>
  </si>
  <si>
    <t>1016-20-2013-11-0</t>
  </si>
  <si>
    <t>1006-18-2011-7-1</t>
  </si>
  <si>
    <t>1070-22-2023-9-1</t>
  </si>
  <si>
    <t>1003-16-2015-5-1</t>
  </si>
  <si>
    <t>1015-18-2019-12-0</t>
  </si>
  <si>
    <t>1003-18-2014-12-1</t>
  </si>
  <si>
    <t>1013-20-2020-8-1</t>
  </si>
  <si>
    <t>1013-18-2013-12-1</t>
  </si>
  <si>
    <t>1001-14-2023-5-1</t>
  </si>
  <si>
    <t>1001-11-2011-9-0</t>
  </si>
  <si>
    <t>1088-19-2013-2-0</t>
  </si>
  <si>
    <t>1022-23-2011-10-1</t>
  </si>
  <si>
    <t>1048-16-2022-6-1</t>
  </si>
  <si>
    <t>1008-14-2019-5-1</t>
  </si>
  <si>
    <t>1030-22-2021-1-1</t>
  </si>
  <si>
    <t>1001-19-2023-7-1</t>
  </si>
  <si>
    <t>1019-18-2017-3-1</t>
  </si>
  <si>
    <t>1025-15-2021-12-1</t>
  </si>
  <si>
    <t>1004-17-2012-5-1</t>
  </si>
  <si>
    <t>1028-15-2018-10-1</t>
  </si>
  <si>
    <t>1014-21-2017-3-0</t>
  </si>
  <si>
    <t>1015-13-2021-11-1</t>
  </si>
  <si>
    <t>1037-16-2012-8-1</t>
  </si>
  <si>
    <t>1014-22-2019-3-1</t>
  </si>
  <si>
    <t>1043-17-2012-10-1</t>
  </si>
  <si>
    <t>1003-22-2020-2-0</t>
  </si>
  <si>
    <t>1073-22-2019-8-1</t>
  </si>
  <si>
    <t>1020-18-2016-4-1</t>
  </si>
  <si>
    <t>1034-19-2020-8-1</t>
  </si>
  <si>
    <t>1062-11-2023-10-1</t>
  </si>
  <si>
    <t>1002-22-2015-3-0</t>
  </si>
  <si>
    <t>1012-22-2017-7-1</t>
  </si>
  <si>
    <t>1003-11-2016-4-0</t>
  </si>
  <si>
    <t>1021-12-2023-10-1</t>
  </si>
  <si>
    <t>1001-15-2019-1-1</t>
  </si>
  <si>
    <t>1001-23-2012-5-1</t>
  </si>
  <si>
    <t>1001-15-2011-1-1</t>
  </si>
  <si>
    <t>1081-23-2016-7-1</t>
  </si>
  <si>
    <t>1008-22-2021-12-1</t>
  </si>
  <si>
    <t>1018-15-2018-3-1</t>
  </si>
  <si>
    <t>1001-13-2018-11-1</t>
  </si>
  <si>
    <t>1009-20-2017-7-1</t>
  </si>
  <si>
    <t>1066-16-2012-11-1</t>
  </si>
  <si>
    <t>1002-17-2017-11-1</t>
  </si>
  <si>
    <t>1013-12-2012-10-1</t>
  </si>
  <si>
    <t>1004-15-2012-2-0</t>
  </si>
  <si>
    <t>1016-11-2023-1-0</t>
  </si>
  <si>
    <t>1006-11-2021-6-1</t>
  </si>
  <si>
    <t>1053-23-2020-11-1</t>
  </si>
  <si>
    <t>1007-11-2016-4-1</t>
  </si>
  <si>
    <t>1018-12-2013-9-1</t>
  </si>
  <si>
    <t>1050-20-2014-3-1</t>
  </si>
  <si>
    <t>1017-20-2014-5-1</t>
  </si>
  <si>
    <t>1016-16-2012-1-1</t>
  </si>
  <si>
    <t>1001-15-2011-11-1</t>
  </si>
  <si>
    <t>1001-11-2021-8-1</t>
  </si>
  <si>
    <t>1028-17-2014-8-1</t>
  </si>
  <si>
    <t>1080-22-2022-5-1</t>
  </si>
  <si>
    <t>1006-12-2022-4-1</t>
  </si>
  <si>
    <t>1071-12-2020-8-1</t>
  </si>
  <si>
    <t>1086-12-2014-5-1</t>
  </si>
  <si>
    <t>1022-17-2013-2-0</t>
  </si>
  <si>
    <t>1033-12-2013-9-1</t>
  </si>
  <si>
    <t>1003-14-2019-1-0</t>
  </si>
  <si>
    <t>1043-11-2020-6-1</t>
  </si>
  <si>
    <t>1068-18-2014-8-1</t>
  </si>
  <si>
    <t>1026-14-2023-8-1</t>
  </si>
  <si>
    <t>1066-16-2018-2-1</t>
  </si>
  <si>
    <t>1014-14-2021-11-1</t>
  </si>
  <si>
    <t>1023-15-2022-12-1</t>
  </si>
  <si>
    <t>1001-22-2017-8-1</t>
  </si>
  <si>
    <t>1041-18-2014-2-1</t>
  </si>
  <si>
    <t>1001-15-2017-11-1</t>
  </si>
  <si>
    <t>1004-12-2014-5-1</t>
  </si>
  <si>
    <t>1003-12-2020-9-0</t>
  </si>
  <si>
    <t>1013-15-2013-3-1</t>
  </si>
  <si>
    <t>1001-12-2012-4-1</t>
  </si>
  <si>
    <t>1081-14-2021-7-0</t>
  </si>
  <si>
    <t>1068-18-2015-3-0</t>
  </si>
  <si>
    <t>1001-22-2015-1-1</t>
  </si>
  <si>
    <t>1010-12-2013-7-1</t>
  </si>
  <si>
    <t>1019-12-2018-5-1</t>
  </si>
  <si>
    <t>1040-11-2021-11-1</t>
  </si>
  <si>
    <t>1037-22-2013-12-0</t>
  </si>
  <si>
    <t>1003-20-2022-4-1</t>
  </si>
  <si>
    <t>1057-11-2023-4-1</t>
  </si>
  <si>
    <t>1064-11-2020-11-1</t>
  </si>
  <si>
    <t>1042-11-2018-9-0</t>
  </si>
  <si>
    <t>1025-13-2013-12-1</t>
  </si>
  <si>
    <t>1017-21-2017-10-1</t>
  </si>
  <si>
    <t>1012-11-2014-11-1</t>
  </si>
  <si>
    <t>1034-15-2014-1-1</t>
  </si>
  <si>
    <t>1060-14-2015-11-1</t>
  </si>
  <si>
    <t>1035-13-2015-12-1</t>
  </si>
  <si>
    <t>1056-23-2021-5-1</t>
  </si>
  <si>
    <t>1040-14-2018-3-1</t>
  </si>
  <si>
    <t>1002-14-2022-6-0</t>
  </si>
  <si>
    <t>1045-11-2016-1-1</t>
  </si>
  <si>
    <t>1088-16-2018-4-1</t>
  </si>
  <si>
    <t>1057-20-2013-6-1</t>
  </si>
  <si>
    <t>1026-12-2017-10-1</t>
  </si>
  <si>
    <t>1001-18-2016-10-1</t>
  </si>
  <si>
    <t>1083-21-2012-2-0</t>
  </si>
  <si>
    <t>1017-15-2013-4-1</t>
  </si>
  <si>
    <t>1022-14-2022-5-0</t>
  </si>
  <si>
    <t>1069-11-2017-4-0</t>
  </si>
  <si>
    <t>1013-20-2012-11-1</t>
  </si>
  <si>
    <t>1021-15-2022-8-1</t>
  </si>
  <si>
    <t>1001-22-2013-11-1</t>
  </si>
  <si>
    <t>1045-17-2015-8-1</t>
  </si>
  <si>
    <t>1016-14-2014-6-1</t>
  </si>
  <si>
    <t>1004-11-2022-8-1</t>
  </si>
  <si>
    <t>1016-15-2015-11-1</t>
  </si>
  <si>
    <t>1016-19-2014-10-0</t>
  </si>
  <si>
    <t>1002-15-2017-12-1</t>
  </si>
  <si>
    <t>1015-14-2017-7-1</t>
  </si>
  <si>
    <t>1031-12-2022-3-1</t>
  </si>
  <si>
    <t>1031-23-2011-4-1</t>
  </si>
  <si>
    <t>1077-18-2011-5-1</t>
  </si>
  <si>
    <t>1001-11-2016-9-1</t>
  </si>
  <si>
    <t>1020-11-2020-1-1</t>
  </si>
  <si>
    <t>1001-19-2015-12-1</t>
  </si>
  <si>
    <t>1001-13-2017-3-1</t>
  </si>
  <si>
    <t>1083-14-2021-5-1</t>
  </si>
  <si>
    <t>1002-14-2013-6-1</t>
  </si>
  <si>
    <t>1020-16-2019-2-1</t>
  </si>
  <si>
    <t>1073-14-2011-12-1</t>
  </si>
  <si>
    <t>1001-14-2022-8-1</t>
  </si>
  <si>
    <t>1076-17-2011-11-1</t>
  </si>
  <si>
    <t>1007-18-2022-5-1</t>
  </si>
  <si>
    <t>1044-18-2011-4-1</t>
  </si>
  <si>
    <t>1016-18-2023-2-1</t>
  </si>
  <si>
    <t>1018-22-2016-4-1</t>
  </si>
  <si>
    <t>1003-15-2011-5-1</t>
  </si>
  <si>
    <t>1040-12-2011-9-0</t>
  </si>
  <si>
    <t>1032-13-2023-10-1</t>
  </si>
  <si>
    <t>1024-13-2011-2-0</t>
  </si>
  <si>
    <t>1072-12-2019-12-0</t>
  </si>
  <si>
    <t>1026-22-2018-2-1</t>
  </si>
  <si>
    <t>1041-16-2021-11-1</t>
  </si>
  <si>
    <t>1011-14-2019-10-0</t>
  </si>
  <si>
    <t>1017-18-2014-11-1</t>
  </si>
  <si>
    <t>1031-18-2023-1-1</t>
  </si>
  <si>
    <t>1001-13-2022-1-1</t>
  </si>
  <si>
    <t>1018-12-2018-3-1</t>
  </si>
  <si>
    <t>1004-12-2011-12-1</t>
  </si>
  <si>
    <t>1004-20-2021-9-1</t>
  </si>
  <si>
    <t>1056-14-2018-1-1</t>
  </si>
  <si>
    <t>1032-16-2018-12-1</t>
  </si>
  <si>
    <t>1049-19-2017-9-1</t>
  </si>
  <si>
    <t>1002-20-2015-5-1</t>
  </si>
  <si>
    <t>1034-19-2012-3-0</t>
  </si>
  <si>
    <t>1041-12-2022-10-0</t>
  </si>
  <si>
    <t>1017-18-2011-10-1</t>
  </si>
  <si>
    <t>1032-18-2015-2-0</t>
  </si>
  <si>
    <t>1002-14-2021-7-1</t>
  </si>
  <si>
    <t>1013-13-2015-3-1</t>
  </si>
  <si>
    <t>1013-11-2014-12-0</t>
  </si>
  <si>
    <t>1015-22-2017-8-1</t>
  </si>
  <si>
    <t>1042-15-2017-4-1</t>
  </si>
  <si>
    <t>1003-14-2016-6-1</t>
  </si>
  <si>
    <t>1017-19-2020-3-1</t>
  </si>
  <si>
    <t>1015-20-2013-3-1</t>
  </si>
  <si>
    <t>1012-11-2013-10-1</t>
  </si>
  <si>
    <t>1069-13-2021-9-1</t>
  </si>
  <si>
    <t>1081-22-2017-3-0</t>
  </si>
  <si>
    <t>1004-11-2023-6-1</t>
  </si>
  <si>
    <t>1003-12-2020-7-1</t>
  </si>
  <si>
    <t>1041-14-2011-9-1</t>
  </si>
  <si>
    <t>1063-17-2020-6-1</t>
  </si>
  <si>
    <t>1051-11-2015-3-1</t>
  </si>
  <si>
    <t>1062-14-2019-4-1</t>
  </si>
  <si>
    <t>1006-19-2013-6-1</t>
  </si>
  <si>
    <t>1005-18-2020-12-1</t>
  </si>
  <si>
    <t>1054-15-2016-9-1</t>
  </si>
  <si>
    <t>1026-20-2013-12-1</t>
  </si>
  <si>
    <t>1037-11-2012-11-1</t>
  </si>
  <si>
    <t>1002-19-2019-1-1</t>
  </si>
  <si>
    <t>1004-11-2014-10-1</t>
  </si>
  <si>
    <t>1005-20-2013-1-1</t>
  </si>
  <si>
    <t>1064-21-2015-11-1</t>
  </si>
  <si>
    <t>1019-22-2014-6-1</t>
  </si>
  <si>
    <t>1041-11-2019-12-0</t>
  </si>
  <si>
    <t>1007-12-2019-4-1</t>
  </si>
  <si>
    <t>1056-18-2019-6-1</t>
  </si>
  <si>
    <t>1034-11-2023-1-1</t>
  </si>
  <si>
    <t>1084-15-2015-4-1</t>
  </si>
  <si>
    <t>1041-14-2017-5-1</t>
  </si>
  <si>
    <t>1040-15-2012-10-1</t>
  </si>
  <si>
    <t>1001-16-2018-12-1</t>
  </si>
  <si>
    <t>1001-14-2019-8-1</t>
  </si>
  <si>
    <t>1026-11-2013-2-0</t>
  </si>
  <si>
    <t>1004-22-2017-7-0</t>
  </si>
  <si>
    <t>1047-12-2021-8-1</t>
  </si>
  <si>
    <t>1001-12-2013-7-1</t>
  </si>
  <si>
    <t>1002-15-2020-3-1</t>
  </si>
  <si>
    <t>1019-14-2015-11-1</t>
  </si>
  <si>
    <t>1062-12-2022-9-1</t>
  </si>
  <si>
    <t>1007-12-2018-5-1</t>
  </si>
  <si>
    <t>1009-12-2015-10-1</t>
  </si>
  <si>
    <t>1082-13-2018-3-1</t>
  </si>
  <si>
    <t>1040-13-2023-2-0</t>
  </si>
  <si>
    <t>1045-18-2012-5-1</t>
  </si>
  <si>
    <t>1042-22-2023-11-1</t>
  </si>
  <si>
    <t>1017-14-2017-12-1</t>
  </si>
  <si>
    <t>1029-13-2017-10-1</t>
  </si>
  <si>
    <t>1015-12-2020-6-1</t>
  </si>
  <si>
    <t>1003-14-2019-6-0</t>
  </si>
  <si>
    <t>1087-11-2020-3-1</t>
  </si>
  <si>
    <t>1034-14-2013-4-1</t>
  </si>
  <si>
    <t>1074-11-2014-11-1</t>
  </si>
  <si>
    <t>1002-15-2023-6-1</t>
  </si>
  <si>
    <t>1003-18-2011-6-0</t>
  </si>
  <si>
    <t>1087-12-2016-8-1</t>
  </si>
  <si>
    <t>1006-12-2013-4-1</t>
  </si>
  <si>
    <t>1003-22-2014-8-1</t>
  </si>
  <si>
    <t>1001-11-2020-2-0</t>
  </si>
  <si>
    <t>1043-22-2018-11-1</t>
  </si>
  <si>
    <t>1006-11-2019-7-1</t>
  </si>
  <si>
    <t>1023-15-2021-2-1</t>
  </si>
  <si>
    <t>1042-18-2011-11-0</t>
  </si>
  <si>
    <t>1076-12-2011-9-1</t>
  </si>
  <si>
    <t>1001-19-2019-1-1</t>
  </si>
  <si>
    <t>1002-16-2015-5-1</t>
  </si>
  <si>
    <t>1005-11-2013-5-1</t>
  </si>
  <si>
    <t>1072-22-2013-5-1</t>
  </si>
  <si>
    <t>1006-20-2017-7-0</t>
  </si>
  <si>
    <t>1067-18-2019-7-1</t>
  </si>
  <si>
    <t>1050-16-2011-10-1</t>
  </si>
  <si>
    <t>1002-13-2022-8-1</t>
  </si>
  <si>
    <t>1002-15-2014-3-1</t>
  </si>
  <si>
    <t>1009-20-2017-5-1</t>
  </si>
  <si>
    <t>1006-18-2011-3-1</t>
  </si>
  <si>
    <t>1003-12-2012-5-1</t>
  </si>
  <si>
    <t>1004-11-2021-8-1</t>
  </si>
  <si>
    <t>1019-19-2015-6-1</t>
  </si>
  <si>
    <t>1053-16-2015-4-1</t>
  </si>
  <si>
    <t>1003-18-2018-8-1</t>
  </si>
  <si>
    <t>1051-16-2017-6-1</t>
  </si>
  <si>
    <t>1018-23-2014-4-1</t>
  </si>
  <si>
    <t>1013-11-2015-7-1</t>
  </si>
  <si>
    <t>1035-11-2013-3-1</t>
  </si>
  <si>
    <t>1006-16-2015-5-1</t>
  </si>
  <si>
    <t>1043-19-2015-11-1</t>
  </si>
  <si>
    <t>1030-18-2014-10-1</t>
  </si>
  <si>
    <t>1002-14-2022-11-1</t>
  </si>
  <si>
    <t>1009-22-2021-8-1</t>
  </si>
  <si>
    <t>1006-14-2017-8-1</t>
  </si>
  <si>
    <t>1024-11-2011-1-0</t>
  </si>
  <si>
    <t>1013-12-2014-9-1</t>
  </si>
  <si>
    <t>1031-18-2022-5-1</t>
  </si>
  <si>
    <t>1004-14-2021-11-1</t>
  </si>
  <si>
    <t>1001-16-2019-10-1</t>
  </si>
  <si>
    <t>1036-16-2016-8-1</t>
  </si>
  <si>
    <t>1008-17-2019-2-1</t>
  </si>
  <si>
    <t>1002-13-2022-6-1</t>
  </si>
  <si>
    <t>1016-12-2011-4-0</t>
  </si>
  <si>
    <t>1003-16-2014-6-1</t>
  </si>
  <si>
    <t>1063-14-2013-6-1</t>
  </si>
  <si>
    <t>1029-14-2013-7-1</t>
  </si>
  <si>
    <t>1023-18-2017-8-1</t>
  </si>
  <si>
    <t>1013-18-2013-7-1</t>
  </si>
  <si>
    <t>1004-14-2014-11-1</t>
  </si>
  <si>
    <t>1029-22-2014-2-0</t>
  </si>
  <si>
    <t>1020-12-2019-1-1</t>
  </si>
  <si>
    <t>1076-11-2014-2-1</t>
  </si>
  <si>
    <t>1056-14-2019-4-0</t>
  </si>
  <si>
    <t>1003-17-2016-12-1</t>
  </si>
  <si>
    <t>1005-13-2017-11-1</t>
  </si>
  <si>
    <t>1032-19-2013-1-1</t>
  </si>
  <si>
    <t>1007-19-2017-7-1</t>
  </si>
  <si>
    <t>1018-17-2017-5-1</t>
  </si>
  <si>
    <t>1045-12-2016-11-1</t>
  </si>
  <si>
    <t>1003-12-2018-2-1</t>
  </si>
  <si>
    <t>1002-12-2012-1-1</t>
  </si>
  <si>
    <t>1003-17-2016-4-1</t>
  </si>
  <si>
    <t>1008-20-2022-11-1</t>
  </si>
  <si>
    <t>1001-14-2012-11-1</t>
  </si>
  <si>
    <t>1004-11-2014-4-1</t>
  </si>
  <si>
    <t>1001-12-2011-2-1</t>
  </si>
  <si>
    <t>1018-12-2015-4-0</t>
  </si>
  <si>
    <t>1005-16-2023-11-1</t>
  </si>
  <si>
    <t>1001-14-2021-9-1</t>
  </si>
  <si>
    <t>1036-14-2021-11-1</t>
  </si>
  <si>
    <t>1074-20-2016-9-0</t>
  </si>
  <si>
    <t>1030-18-2020-11-1</t>
  </si>
  <si>
    <t>1020-18-2021-3-0</t>
  </si>
  <si>
    <t>1076-18-2012-12-1</t>
  </si>
  <si>
    <t>1076-19-2017-8-1</t>
  </si>
  <si>
    <t>1005-16-2022-5-0</t>
  </si>
  <si>
    <t>1024-20-2023-7-1</t>
  </si>
  <si>
    <t>1046-13-2019-3-0</t>
  </si>
  <si>
    <t>1020-12-2018-12-1</t>
  </si>
  <si>
    <t>1009-11-2013-9-1</t>
  </si>
  <si>
    <t>1002-19-2018-3-1</t>
  </si>
  <si>
    <t>1002-16-2021-6-1</t>
  </si>
  <si>
    <t>1031-11-2011-10-1</t>
  </si>
  <si>
    <t>1001-16-2012-12-1</t>
  </si>
  <si>
    <t>1032-12-2013-8-1</t>
  </si>
  <si>
    <t>1011-15-2022-9-1</t>
  </si>
  <si>
    <t>1027-15-2020-1-1</t>
  </si>
  <si>
    <t>1026-16-2023-4-1</t>
  </si>
  <si>
    <t>1058-18-2011-1-0</t>
  </si>
  <si>
    <t>1011-12-2018-7-0</t>
  </si>
  <si>
    <t>1003-13-2011-12-1</t>
  </si>
  <si>
    <t>1011-21-2019-8-1</t>
  </si>
  <si>
    <t>1001-14-2016-8-1</t>
  </si>
  <si>
    <t>1026-22-2022-3-1</t>
  </si>
  <si>
    <t>1001-13-2023-6-1</t>
  </si>
  <si>
    <t>1007-22-2021-3-1</t>
  </si>
  <si>
    <t>1007-18-2023-1-1</t>
  </si>
  <si>
    <t>1023-15-2022-6-1</t>
  </si>
  <si>
    <t>1056-22-2018-10-1</t>
  </si>
  <si>
    <t>1030-22-2018-3-0</t>
  </si>
  <si>
    <t>1027-18-2013-10-1</t>
  </si>
  <si>
    <t>1080-18-2011-3-1</t>
  </si>
  <si>
    <t>1020-12-2020-5-1</t>
  </si>
  <si>
    <t>1035-12-2023-7-1</t>
  </si>
  <si>
    <t>1042-15-2014-4-1</t>
  </si>
  <si>
    <t>1001-18-2022-5-1</t>
  </si>
  <si>
    <t>1011-20-2019-5-1</t>
  </si>
  <si>
    <t>1072-18-2013-8-1</t>
  </si>
  <si>
    <t>1002-16-2023-4-1</t>
  </si>
  <si>
    <t>1081-22-2015-5-1</t>
  </si>
  <si>
    <t>1010-18-2022-9-1</t>
  </si>
  <si>
    <t>1003-14-2013-10-1</t>
  </si>
  <si>
    <t>1008-22-2021-6-0</t>
  </si>
  <si>
    <t>1002-19-2012-12-1</t>
  </si>
  <si>
    <t>1003-17-2014-7-1</t>
  </si>
  <si>
    <t>1001-19-2014-9-1</t>
  </si>
  <si>
    <t>1002-12-2014-1-1</t>
  </si>
  <si>
    <t>1009-17-2012-7-1</t>
  </si>
  <si>
    <t>1001-15-2019-6-1</t>
  </si>
  <si>
    <t>1078-17-2023-8-1</t>
  </si>
  <si>
    <t>1035-22-2013-11-1</t>
  </si>
  <si>
    <t>1009-22-2011-11-0</t>
  </si>
  <si>
    <t>1053-17-2019-12-1</t>
  </si>
  <si>
    <t>1005-11-2016-11-1</t>
  </si>
  <si>
    <t>1020-19-2022-3-1</t>
  </si>
  <si>
    <t>1059-17-2012-6-0</t>
  </si>
  <si>
    <t>1005-12-2015-9-0</t>
  </si>
  <si>
    <t>1014-12-2018-8-0</t>
  </si>
  <si>
    <t>1003-17-2020-5-1</t>
  </si>
  <si>
    <t>1016-18-2018-1-1</t>
  </si>
  <si>
    <t>1009-11-2012-7-1</t>
  </si>
  <si>
    <t>1024-13-2014-9-1</t>
  </si>
  <si>
    <t>1034-20-2012-9-1</t>
  </si>
  <si>
    <t>1007-17-2017-8-0</t>
  </si>
  <si>
    <t>1018-20-2022-2-0</t>
  </si>
  <si>
    <t>1033-11-2014-11-1</t>
  </si>
  <si>
    <t>1002-11-2017-2-1</t>
  </si>
  <si>
    <t>1025-22-2019-4-1</t>
  </si>
  <si>
    <t>1005-18-2021-4-1</t>
  </si>
  <si>
    <t>1001-12-2017-1-1</t>
  </si>
  <si>
    <t>1026-12-2013-3-1</t>
  </si>
  <si>
    <t>1060-13-2017-6-1</t>
  </si>
  <si>
    <t>1012-12-2017-2-1</t>
  </si>
  <si>
    <t>1022-12-2013-12-1</t>
  </si>
  <si>
    <t>1002-15-2018-6-1</t>
  </si>
  <si>
    <t>1020-19-2018-4-1</t>
  </si>
  <si>
    <t>1032-21-2023-7-1</t>
  </si>
  <si>
    <t>1004-12-2016-7-1</t>
  </si>
  <si>
    <t>1035-15-2022-1-1</t>
  </si>
  <si>
    <t>1016-17-2011-12-1</t>
  </si>
  <si>
    <t>1041-18-2019-1-1</t>
  </si>
  <si>
    <t>1076-11-2017-6-1</t>
  </si>
  <si>
    <t>1003-19-2023-10-1</t>
  </si>
  <si>
    <t>1080-14-2017-8-1</t>
  </si>
  <si>
    <t>1008-20-2021-2-1</t>
  </si>
  <si>
    <t>1038-14-2014-6-1</t>
  </si>
  <si>
    <t>1010-22-2012-11-1</t>
  </si>
  <si>
    <t>1039-14-2017-9-1</t>
  </si>
  <si>
    <t>1008-16-2022-3-1</t>
  </si>
  <si>
    <t>1072-11-2012-1-1</t>
  </si>
  <si>
    <t>1001-17-2012-8-1</t>
  </si>
  <si>
    <t>1029-13-2015-6-1</t>
  </si>
  <si>
    <t>1030-14-2013-11-1</t>
  </si>
  <si>
    <t>1061-22-2015-3-1</t>
  </si>
  <si>
    <t>1001-11-2017-11-1</t>
  </si>
  <si>
    <t>1001-12-2021-7-1</t>
  </si>
  <si>
    <t>1028-19-2014-2-1</t>
  </si>
  <si>
    <t>1024-12-2014-8-1</t>
  </si>
  <si>
    <t>1036-14-2016-8-1</t>
  </si>
  <si>
    <t>1011-19-2017-3-0</t>
  </si>
  <si>
    <t>1010-12-2020-5-1</t>
  </si>
  <si>
    <t>1063-20-2015-10-1</t>
  </si>
  <si>
    <t>1003-17-2023-6-1</t>
  </si>
  <si>
    <t>1051-13-2018-5-1</t>
  </si>
  <si>
    <t>1031-16-2020-4-0</t>
  </si>
  <si>
    <t>1010-17-2021-12-0</t>
  </si>
  <si>
    <t>1016-14-2019-4-1</t>
  </si>
  <si>
    <t>1063-18-2021-11-1</t>
  </si>
  <si>
    <t>1004-21-2020-1-1</t>
  </si>
  <si>
    <t>1007-19-2019-6-1</t>
  </si>
  <si>
    <t>1003-14-2014-7-1</t>
  </si>
  <si>
    <t>1069-11-2018-12-1</t>
  </si>
  <si>
    <t>1007-12-2011-5-1</t>
  </si>
  <si>
    <t>1002-21-2020-11-1</t>
  </si>
  <si>
    <t>1034-20-2013-5-1</t>
  </si>
  <si>
    <t>1003-18-2021-5-1</t>
  </si>
  <si>
    <t>1003-11-2016-9-1</t>
  </si>
  <si>
    <t>1002-11-2014-6-1</t>
  </si>
  <si>
    <t>1033-22-2016-7-1</t>
  </si>
  <si>
    <t>1036-11-2012-4-1</t>
  </si>
  <si>
    <t>1033-11-2019-4-1</t>
  </si>
  <si>
    <t>1042-18-2018-8-1</t>
  </si>
  <si>
    <t>1044-22-2017-4-1</t>
  </si>
  <si>
    <t>1033-18-2015-7-1</t>
  </si>
  <si>
    <t>1029-12-2019-4-1</t>
  </si>
  <si>
    <t>1007-19-2019-10-0</t>
  </si>
  <si>
    <t>1016-12-2019-6-0</t>
  </si>
  <si>
    <t>1011-18-2011-4-1</t>
  </si>
  <si>
    <t>1083-22-2018-4-1</t>
  </si>
  <si>
    <t>1051-22-2012-9-1</t>
  </si>
  <si>
    <t>1037-14-2019-12-1</t>
  </si>
  <si>
    <t>1003-15-2020-6-1</t>
  </si>
  <si>
    <t>1013-17-2012-12-1</t>
  </si>
  <si>
    <t>1008-18-2013-8-1</t>
  </si>
  <si>
    <t>1055-21-2019-8-1</t>
  </si>
  <si>
    <t>1009-14-2016-6-1</t>
  </si>
  <si>
    <t>1025-11-2015-10-1</t>
  </si>
  <si>
    <t>1079-14-2014-10-1</t>
  </si>
  <si>
    <t>1001-15-2014-11-1</t>
  </si>
  <si>
    <t>1020-13-2022-8-1</t>
  </si>
  <si>
    <t>1044-12-2019-6-1</t>
  </si>
  <si>
    <t>1050-18-2011-11-1</t>
  </si>
  <si>
    <t>1004-22-2011-3-1</t>
  </si>
  <si>
    <t>1019-12-2011-7-1</t>
  </si>
  <si>
    <t>1002-12-2013-5-0</t>
  </si>
  <si>
    <t>1043-18-2014-2-1</t>
  </si>
  <si>
    <t>1028-16-2012-4-1</t>
  </si>
  <si>
    <t>1063-19-2019-2-1</t>
  </si>
  <si>
    <t>1006-13-2017-4-1</t>
  </si>
  <si>
    <t>1008-22-2013-5-1</t>
  </si>
  <si>
    <t>1031-13-2016-5-1</t>
  </si>
  <si>
    <t>1050-18-2012-2-1</t>
  </si>
  <si>
    <t>1063-11-2017-5-1</t>
  </si>
  <si>
    <t>1011-22-2023-2-1</t>
  </si>
  <si>
    <t>1001-17-2011-9-0</t>
  </si>
  <si>
    <t>1067-23-2016-12-0</t>
  </si>
  <si>
    <t>1041-19-2018-4-1</t>
  </si>
  <si>
    <t>1028-18-2016-5-1</t>
  </si>
  <si>
    <t>1003-22-2017-6-0</t>
  </si>
  <si>
    <t>1050-11-2012-4-1</t>
  </si>
  <si>
    <t>1026-20-2018-4-1</t>
  </si>
  <si>
    <t>1041-12-2011-4-1</t>
  </si>
  <si>
    <t>1064-17-2019-3-1</t>
  </si>
  <si>
    <t>1058-22-2018-5-1</t>
  </si>
  <si>
    <t>1056-23-2016-6-1</t>
  </si>
  <si>
    <t>1085-23-2020-3-1</t>
  </si>
  <si>
    <t>1003-11-2015-1-1</t>
  </si>
  <si>
    <t>1002-17-2012-2-1</t>
  </si>
  <si>
    <t>1001-15-2019-12-1</t>
  </si>
  <si>
    <t>1023-13-2013-4-1</t>
  </si>
  <si>
    <t>1067-15-2011-4-1</t>
  </si>
  <si>
    <t>1040-11-2020-10-1</t>
  </si>
  <si>
    <t>1003-22-2018-7-1</t>
  </si>
  <si>
    <t>1007-11-2015-6-1</t>
  </si>
  <si>
    <t>1002-12-2020-10-1</t>
  </si>
  <si>
    <t>1002-23-2015-12-1</t>
  </si>
  <si>
    <t>1022-14-2014-10-1</t>
  </si>
  <si>
    <t>1001-14-2015-7-1</t>
  </si>
  <si>
    <t>1084-14-2020-11-1</t>
  </si>
  <si>
    <t>1066-18-2018-4-1</t>
  </si>
  <si>
    <t>1062-11-2012-4-1</t>
  </si>
  <si>
    <t>1020-19-2017-10-1</t>
  </si>
  <si>
    <t>1037-16-2017-5-1</t>
  </si>
  <si>
    <t>1011-23-2018-2-1</t>
  </si>
  <si>
    <t>1041-11-2021-7-1</t>
  </si>
  <si>
    <t>1033-11-2014-7-1</t>
  </si>
  <si>
    <t>1084-12-2022-8-1</t>
  </si>
  <si>
    <t>1015-11-2011-5-1</t>
  </si>
  <si>
    <t>1033-11-2022-3-1</t>
  </si>
  <si>
    <t>1015-11-2023-11-1</t>
  </si>
  <si>
    <t>1001-18-2021-3-1</t>
  </si>
  <si>
    <t>1014-12-2017-7-1</t>
  </si>
  <si>
    <t>1087-15-2015-5-1</t>
  </si>
  <si>
    <t>1039-15-2012-5-1</t>
  </si>
  <si>
    <t>1002-11-2021-9-1</t>
  </si>
  <si>
    <t>1004-12-2015-3-1</t>
  </si>
  <si>
    <t>1020-15-2015-2-1</t>
  </si>
  <si>
    <t>1052-12-2012-6-0</t>
  </si>
  <si>
    <t>1041-14-2022-9-0</t>
  </si>
  <si>
    <t>1001-14-2013-4-0</t>
  </si>
  <si>
    <t>1002-11-2014-12-1</t>
  </si>
  <si>
    <t>1009-17-2017-5-0</t>
  </si>
  <si>
    <t>1028-22-2022-8-1</t>
  </si>
  <si>
    <t>1006-22-2017-8-0</t>
  </si>
  <si>
    <t>1028-14-2020-9-1</t>
  </si>
  <si>
    <t>1004-22-2020-8-1</t>
  </si>
  <si>
    <t>1013-12-2022-1-0</t>
  </si>
  <si>
    <t>1059-22-2016-12-1</t>
  </si>
  <si>
    <t>1001-22-2019-4-0</t>
  </si>
  <si>
    <t>1044-19-2013-1-1</t>
  </si>
  <si>
    <t>1016-13-2021-12-0</t>
  </si>
  <si>
    <t>1036-12-2015-4-1</t>
  </si>
  <si>
    <t>1081-14-2016-11-1</t>
  </si>
  <si>
    <t>1088-12-2013-9-1</t>
  </si>
  <si>
    <t>1002-20-2023-9-1</t>
  </si>
  <si>
    <t>1001-14-2022-3-1</t>
  </si>
  <si>
    <t>1023-17-2020-10-1</t>
  </si>
  <si>
    <t>1043-17-2020-1-1</t>
  </si>
  <si>
    <t>1004-22-2013-3-1</t>
  </si>
  <si>
    <t>1014-14-2020-8-1</t>
  </si>
  <si>
    <t>1071-11-2021-6-0</t>
  </si>
  <si>
    <t>1003-19-2018-11-1</t>
  </si>
  <si>
    <t>1081-19-2021-2-1</t>
  </si>
  <si>
    <t>1037-14-2018-12-1</t>
  </si>
  <si>
    <t>1001-20-2014-3-1</t>
  </si>
  <si>
    <t>1038-22-2022-7-0</t>
  </si>
  <si>
    <t>1004-11-2012-5-1</t>
  </si>
  <si>
    <t>1032-22-2017-2-1</t>
  </si>
  <si>
    <t>1086-18-2021-1-1</t>
  </si>
  <si>
    <t>1044-11-2023-8-0</t>
  </si>
  <si>
    <t>1006-14-2016-2-1</t>
  </si>
  <si>
    <t>1002-11-2014-1-1</t>
  </si>
  <si>
    <t>1006-18-2018-3-1</t>
  </si>
  <si>
    <t>1058-11-2011-11-1</t>
  </si>
  <si>
    <t>1004-12-2015-8-1</t>
  </si>
  <si>
    <t>1045-17-2015-12-0</t>
  </si>
  <si>
    <t>1041-14-2013-2-1</t>
  </si>
  <si>
    <t>1023-11-2021-11-1</t>
  </si>
  <si>
    <t>1001-17-2023-2-0</t>
  </si>
  <si>
    <t>1059-11-2022-10-1</t>
  </si>
  <si>
    <t>1046-13-2011-11-1</t>
  </si>
  <si>
    <t>1005-15-2012-10-1</t>
  </si>
  <si>
    <t>1003-12-2012-8-0</t>
  </si>
  <si>
    <t>1028-12-2017-4-1</t>
  </si>
  <si>
    <t>1023-22-2019-8-1</t>
  </si>
  <si>
    <t>1088-16-2023-12-1</t>
  </si>
  <si>
    <t>1009-16-2016-9-0</t>
  </si>
  <si>
    <t>1028-22-2018-9-1</t>
  </si>
  <si>
    <t>1002-23-2022-1-1</t>
  </si>
  <si>
    <t>1032-11-2019-9-0</t>
  </si>
  <si>
    <t>1087-12-2021-11-1</t>
  </si>
  <si>
    <t>1002-12-2019-10-1</t>
  </si>
  <si>
    <t>1004-23-2019-10-1</t>
  </si>
  <si>
    <t>1034-22-2017-8-1</t>
  </si>
  <si>
    <t>1032-13-2014-6-1</t>
  </si>
  <si>
    <t>1080-14-2021-4-1</t>
  </si>
  <si>
    <t>1001-13-2015-8-1</t>
  </si>
  <si>
    <t>1027-12-2012-8-1</t>
  </si>
  <si>
    <t>1047-19-2015-6-1</t>
  </si>
  <si>
    <t>1001-15-2011-9-1</t>
  </si>
  <si>
    <t>1036-12-2020-7-1</t>
  </si>
  <si>
    <t>1002-22-2016-1-1</t>
  </si>
  <si>
    <t>1062-18-2013-10-1</t>
  </si>
  <si>
    <t>1007-22-2022-10-1</t>
  </si>
  <si>
    <t>1003-18-2017-6-1</t>
  </si>
  <si>
    <t>1036-14-2023-5-0</t>
  </si>
  <si>
    <t>1002-14-2021-6-1</t>
  </si>
  <si>
    <t>1018-20-2015-9-1</t>
  </si>
  <si>
    <t>1022-22-2011-3-1</t>
  </si>
  <si>
    <t>1014-19-2014-10-1</t>
  </si>
  <si>
    <t>1055-14-2016-10-1</t>
  </si>
  <si>
    <t>1008-12-2012-1-1</t>
  </si>
  <si>
    <t>1018-12-2018-6-1</t>
  </si>
  <si>
    <t>1049-22-2018-9-1</t>
  </si>
  <si>
    <t>1008-13-2020-12-1</t>
  </si>
  <si>
    <t>1004-16-2019-8-1</t>
  </si>
  <si>
    <t>1088-22-2011-11-0</t>
  </si>
  <si>
    <t>1003-16-2015-8-0</t>
  </si>
  <si>
    <t>1004-23-2011-11-1</t>
  </si>
  <si>
    <t>1006-20-2015-4-1</t>
  </si>
  <si>
    <t>1046-18-2011-12-1</t>
  </si>
  <si>
    <t>1041-14-2012-5-1</t>
  </si>
  <si>
    <t>1021-17-2022-11-1</t>
  </si>
  <si>
    <t>1002-15-2022-10-1</t>
  </si>
  <si>
    <t>1004-22-2016-5-1</t>
  </si>
  <si>
    <t>1010-19-2023-4-1</t>
  </si>
  <si>
    <t>1035-11-2023-1-0</t>
  </si>
  <si>
    <t>1050-17-2012-3-1</t>
  </si>
  <si>
    <t>1022-22-2011-4-0</t>
  </si>
  <si>
    <t>1019-13-2022-4-1</t>
  </si>
  <si>
    <t>1054-13-2015-5-1</t>
  </si>
  <si>
    <t>1015-14-2018-6-1</t>
  </si>
  <si>
    <t>1001-11-2012-6-0</t>
  </si>
  <si>
    <t>1007-18-2020-8-1</t>
  </si>
  <si>
    <t>1072-12-2021-10-1</t>
  </si>
  <si>
    <t>1005-12-2016-7-1</t>
  </si>
  <si>
    <t>1026-18-2021-2-1</t>
  </si>
  <si>
    <t>1002-21-2017-4-0</t>
  </si>
  <si>
    <t>1048-16-2011-7-1</t>
  </si>
  <si>
    <t>1021-22-2017-5-1</t>
  </si>
  <si>
    <t>1002-16-2022-7-1</t>
  </si>
  <si>
    <t>1011-14-2019-2-1</t>
  </si>
  <si>
    <t>1046-14-2021-6-1</t>
  </si>
  <si>
    <t>1009-22-2020-2-1</t>
  </si>
  <si>
    <t>1012-12-2013-12-1</t>
  </si>
  <si>
    <t>1076-14-2012-6-1</t>
  </si>
  <si>
    <t>1002-16-2021-4-1</t>
  </si>
  <si>
    <t>1042-14-2021-8-1</t>
  </si>
  <si>
    <t>1001-17-2019-6-1</t>
  </si>
  <si>
    <t>1001-20-2015-2-1</t>
  </si>
  <si>
    <t>1072-14-2016-7-1</t>
  </si>
  <si>
    <t>1038-15-2012-4-1</t>
  </si>
  <si>
    <t>1020-15-2014-11-1</t>
  </si>
  <si>
    <t>1003-11-2012-5-1</t>
  </si>
  <si>
    <t>1010-22-2021-11-0</t>
  </si>
  <si>
    <t>1077-17-2012-6-1</t>
  </si>
  <si>
    <t>1013-14-2021-3-1</t>
  </si>
  <si>
    <t>1017-19-2011-8-1</t>
  </si>
  <si>
    <t>1001-14-2016-1-1</t>
  </si>
  <si>
    <t>1030-11-2021-3-0</t>
  </si>
  <si>
    <t>1052-19-2015-6-1</t>
  </si>
  <si>
    <t>1040-13-2016-11-1</t>
  </si>
  <si>
    <t>1002-19-2012-4-1</t>
  </si>
  <si>
    <t>1063-22-2017-7-0</t>
  </si>
  <si>
    <t>1028-12-2018-4-0</t>
  </si>
  <si>
    <t>1071-19-2011-7-1</t>
  </si>
  <si>
    <t>1006-12-2014-2-1</t>
  </si>
  <si>
    <t>1036-14-2016-3-1</t>
  </si>
  <si>
    <t>1068-20-2015-4-0</t>
  </si>
  <si>
    <t>1023-17-2014-8-1</t>
  </si>
  <si>
    <t>1024-12-2013-5-1</t>
  </si>
  <si>
    <t>1006-14-2022-2-1</t>
  </si>
  <si>
    <t>1014-14-2015-5-1</t>
  </si>
  <si>
    <t>1018-12-2013-7-1</t>
  </si>
  <si>
    <t>1024-19-2013-3-1</t>
  </si>
  <si>
    <t>1004-12-2017-12-1</t>
  </si>
  <si>
    <t>1002-11-2016-6-1</t>
  </si>
  <si>
    <t>1009-16-2016-3-1</t>
  </si>
  <si>
    <t>1075-12-2017-2-1</t>
  </si>
  <si>
    <t>1073-14-2020-4-1</t>
  </si>
  <si>
    <t>1003-19-2020-11-1</t>
  </si>
  <si>
    <t>1070-14-2013-10-0</t>
  </si>
  <si>
    <t>1003-14-2012-1-1</t>
  </si>
  <si>
    <t>1033-14-2023-8-1</t>
  </si>
  <si>
    <t>1005-11-2023-10-0</t>
  </si>
  <si>
    <t>1030-17-2022-10-1</t>
  </si>
  <si>
    <t>1050-12-2023-9-1</t>
  </si>
  <si>
    <t>1021-17-2013-11-1</t>
  </si>
  <si>
    <t>1083-19-2020-12-1</t>
  </si>
  <si>
    <t>1031-11-2018-5-1</t>
  </si>
  <si>
    <t>1008-13-2021-11-1</t>
  </si>
  <si>
    <t>1012-20-2018-5-1</t>
  </si>
  <si>
    <t>1001-14-2023-9-1</t>
  </si>
  <si>
    <t>1004-14-2011-2-1</t>
  </si>
  <si>
    <t>1003-12-2015-5-1</t>
  </si>
  <si>
    <t>1002-22-2011-9-1</t>
  </si>
  <si>
    <t>1002-14-2023-7-0</t>
  </si>
  <si>
    <t>1013-14-2016-1-1</t>
  </si>
  <si>
    <t>1077-16-2019-9-1</t>
  </si>
  <si>
    <t>1087-14-2017-6-1</t>
  </si>
  <si>
    <t>1009-14-2013-1-1</t>
  </si>
  <si>
    <t>1016-12-2015-12-0</t>
  </si>
  <si>
    <t>1011-13-2015-1-1</t>
  </si>
  <si>
    <t>1057-12-2016-4-0</t>
  </si>
  <si>
    <t>1037-15-2021-12-1</t>
  </si>
  <si>
    <t>1035-11-2016-3-0</t>
  </si>
  <si>
    <t>1038-14-2022-8-1</t>
  </si>
  <si>
    <t>1054-12-2021-8-1</t>
  </si>
  <si>
    <t>1031-12-2016-7-1</t>
  </si>
  <si>
    <t>1001-18-2014-10-1</t>
  </si>
  <si>
    <t>1047-12-2020-11-1</t>
  </si>
  <si>
    <t>1069-15-2011-1-1</t>
  </si>
  <si>
    <t>1007-19-2015-7-1</t>
  </si>
  <si>
    <t>1018-18-2011-10-1</t>
  </si>
  <si>
    <t>1001-14-2012-10-1</t>
  </si>
  <si>
    <t>1001-18-2011-2-1</t>
  </si>
  <si>
    <t>1048-23-2018-5-1</t>
  </si>
  <si>
    <t>1006-12-2011-5-1</t>
  </si>
  <si>
    <t>1023-21-2021-8-1</t>
  </si>
  <si>
    <t>1033-13-2012-1-1</t>
  </si>
  <si>
    <t>1085-11-2018-5-1</t>
  </si>
  <si>
    <t>1072-11-2017-2-1</t>
  </si>
  <si>
    <t>1003-16-2022-1-0</t>
  </si>
  <si>
    <t>1063-22-2011-12-1</t>
  </si>
  <si>
    <t>1002-17-2021-3-1</t>
  </si>
  <si>
    <t>1020-14-2012-8-1</t>
  </si>
  <si>
    <t>1001-14-2022-9-0</t>
  </si>
  <si>
    <t>1003-17-2012-1-1</t>
  </si>
  <si>
    <t>1001-11-2015-12-1</t>
  </si>
  <si>
    <t>1077-12-2020-7-1</t>
  </si>
  <si>
    <t>1028-12-2018-11-1</t>
  </si>
  <si>
    <t>1077-14-2012-2-0</t>
  </si>
  <si>
    <t>1002-13-2017-9-1</t>
  </si>
  <si>
    <t>1004-15-2021-3-1</t>
  </si>
  <si>
    <t>1043-13-2017-2-1</t>
  </si>
  <si>
    <t>1035-21-2013-5-1</t>
  </si>
  <si>
    <t>1062-12-2021-7-1</t>
  </si>
  <si>
    <t>1036-19-2016-3-1</t>
  </si>
  <si>
    <t>1053-14-2014-6-1</t>
  </si>
  <si>
    <t>1053-16-2019-8-1</t>
  </si>
  <si>
    <t>1081-14-2013-12-1</t>
  </si>
  <si>
    <t>1073-23-2020-3-1</t>
  </si>
  <si>
    <t>1063-19-2018-3-1</t>
  </si>
  <si>
    <t>1049-19-2012-6-1</t>
  </si>
  <si>
    <t>1034-18-2020-7-1</t>
  </si>
  <si>
    <t>1007-11-2022-8-1</t>
  </si>
  <si>
    <t>1017-17-2015-1-1</t>
  </si>
  <si>
    <t>1007-16-2016-4-1</t>
  </si>
  <si>
    <t>1005-16-2021-4-1</t>
  </si>
  <si>
    <t>1015-11-2017-9-1</t>
  </si>
  <si>
    <t>1014-22-2017-6-1</t>
  </si>
  <si>
    <t>1015-20-2023-12-1</t>
  </si>
  <si>
    <t>1022-14-2020-9-1</t>
  </si>
  <si>
    <t>1016-13-2020-12-1</t>
  </si>
  <si>
    <t>1085-20-2015-4-1</t>
  </si>
  <si>
    <t>1084-17-2022-10-1</t>
  </si>
  <si>
    <t>1060-13-2022-5-0</t>
  </si>
  <si>
    <t>1035-18-2022-10-1</t>
  </si>
  <si>
    <t>1027-14-2021-2-1</t>
  </si>
  <si>
    <t>1044-17-2023-2-1</t>
  </si>
  <si>
    <t>1077-16-2022-9-1</t>
  </si>
  <si>
    <t>1002-13-2022-2-1</t>
  </si>
  <si>
    <t>1012-20-2016-8-1</t>
  </si>
  <si>
    <t>1028-15-2021-1-1</t>
  </si>
  <si>
    <t>1052-18-2019-12-1</t>
  </si>
  <si>
    <t>1001-16-2015-3-1</t>
  </si>
  <si>
    <t>1007-23-2013-5-1</t>
  </si>
  <si>
    <t>1081-13-2013-9-1</t>
  </si>
  <si>
    <t>1055-13-2012-4-1</t>
  </si>
  <si>
    <t>1053-14-2019-5-1</t>
  </si>
  <si>
    <t>1013-19-2020-12-1</t>
  </si>
  <si>
    <t>1001-14-2013-6-1</t>
  </si>
  <si>
    <t>1004-14-2023-4-1</t>
  </si>
  <si>
    <t>1001-22-2016-6-1</t>
  </si>
  <si>
    <t>1023-22-2016-2-1</t>
  </si>
  <si>
    <t>1001-19-2013-2-1</t>
  </si>
  <si>
    <t>1038-21-2016-11-1</t>
  </si>
  <si>
    <t>1005-11-2015-6-1</t>
  </si>
  <si>
    <t>1031-12-2012-7-1</t>
  </si>
  <si>
    <t>1002-17-2011-8-1</t>
  </si>
  <si>
    <t>1037-22-2013-9-1</t>
  </si>
  <si>
    <t>1002-17-2018-1-1</t>
  </si>
  <si>
    <t>1007-21-2016-2-1</t>
  </si>
  <si>
    <t>1058-15-2020-1-1</t>
  </si>
  <si>
    <t>1006-22-2019-6-1</t>
  </si>
  <si>
    <t>1001-15-2021-7-1</t>
  </si>
  <si>
    <t>1086-14-2011-12-1</t>
  </si>
  <si>
    <t>1003-12-2015-9-0</t>
  </si>
  <si>
    <t>1003-13-2022-1-1</t>
  </si>
  <si>
    <t>1035-15-2018-7-0</t>
  </si>
  <si>
    <t>1007-11-2023-2-1</t>
  </si>
  <si>
    <t>1003-11-2017-3-1</t>
  </si>
  <si>
    <t>1008-14-2011-6-1</t>
  </si>
  <si>
    <t>1041-22-2011-1-1</t>
  </si>
  <si>
    <t>1051-19-2021-4-1</t>
  </si>
  <si>
    <t>1003-13-2015-3-1</t>
  </si>
  <si>
    <t>1065-19-2014-11-1</t>
  </si>
  <si>
    <t>1024-15-2021-4-1</t>
  </si>
  <si>
    <t>1070-12-2020-7-0</t>
  </si>
  <si>
    <t>1001-22-2018-7-1</t>
  </si>
  <si>
    <t>1005-13-2017-7-1</t>
  </si>
  <si>
    <t>1037-14-2018-7-0</t>
  </si>
  <si>
    <t>1017-11-2014-7-1</t>
  </si>
  <si>
    <t>1039-14-2019-10-0</t>
  </si>
  <si>
    <t>1005-11-2021-3-0</t>
  </si>
  <si>
    <t>1019-14-2020-12-1</t>
  </si>
  <si>
    <t>1080-21-2014-1-1</t>
  </si>
  <si>
    <t>1020-20-2013-6-1</t>
  </si>
  <si>
    <t>1052-22-2016-5-1</t>
  </si>
  <si>
    <t>1013-18-2015-2-1</t>
  </si>
  <si>
    <t>1075-14-2020-12-1</t>
  </si>
  <si>
    <t>1006-14-2012-5-0</t>
  </si>
  <si>
    <t>1008-12-2014-7-1</t>
  </si>
  <si>
    <t>1085-18-2014-2-1</t>
  </si>
  <si>
    <t>1079-22-2017-3-1</t>
  </si>
  <si>
    <t>1020-15-2015-6-1</t>
  </si>
  <si>
    <t>1052-12-2015-2-1</t>
  </si>
  <si>
    <t>1045-12-2012-1-0</t>
  </si>
  <si>
    <t>1027-13-2014-9-1</t>
  </si>
  <si>
    <t>1059-22-2017-8-1</t>
  </si>
  <si>
    <t>1002-22-2021-6-1</t>
  </si>
  <si>
    <t>1058-22-2021-6-0</t>
  </si>
  <si>
    <t>1065-11-2012-10-1</t>
  </si>
  <si>
    <t>1004-12-2019-4-1</t>
  </si>
  <si>
    <t>1074-19-2023-10-1</t>
  </si>
  <si>
    <t>1032-16-2016-7-1</t>
  </si>
  <si>
    <t>1011-22-2013-8-1</t>
  </si>
  <si>
    <t>1055-17-2012-9-1</t>
  </si>
  <si>
    <t>1030-18-2018-5-1</t>
  </si>
  <si>
    <t>1067-17-2018-1-1</t>
  </si>
  <si>
    <t>1032-11-2022-9-0</t>
  </si>
  <si>
    <t>1036-14-2012-5-0</t>
  </si>
  <si>
    <t>1008-16-2015-6-0</t>
  </si>
  <si>
    <t>1071-16-2012-10-0</t>
  </si>
  <si>
    <t>1043-12-2022-1-1</t>
  </si>
  <si>
    <t>1003-14-2014-4-1</t>
  </si>
  <si>
    <t>1045-14-2018-1-1</t>
  </si>
  <si>
    <t>1053-14-2019-3-1</t>
  </si>
  <si>
    <t>1055-15-2017-3-1</t>
  </si>
  <si>
    <t>1041-14-2011-9-0</t>
  </si>
  <si>
    <t>1029-19-2022-4-1</t>
  </si>
  <si>
    <t>1023-22-2011-9-1</t>
  </si>
  <si>
    <t>1025-18-2022-6-1</t>
  </si>
  <si>
    <t>1083-17-2023-10-1</t>
  </si>
  <si>
    <t>1016-18-2011-12-0</t>
  </si>
  <si>
    <t>1002-15-2012-1-1</t>
  </si>
  <si>
    <t>1004-14-2021-12-0</t>
  </si>
  <si>
    <t>1050-16-2018-6-0</t>
  </si>
  <si>
    <t>1020-14-2017-5-1</t>
  </si>
  <si>
    <t>1001-17-2021-10-1</t>
  </si>
  <si>
    <t>1081-14-2017-10-1</t>
  </si>
  <si>
    <t>1073-17-2017-6-1</t>
  </si>
  <si>
    <t>1085-22-2017-10-1</t>
  </si>
  <si>
    <t>1003-12-2020-4-1</t>
  </si>
  <si>
    <t>1024-18-2017-12-1</t>
  </si>
  <si>
    <t>1030-14-2013-5-1</t>
  </si>
  <si>
    <t>1031-17-2018-5-0</t>
  </si>
  <si>
    <t>1002-19-2013-5-1</t>
  </si>
  <si>
    <t>1033-12-2018-2-1</t>
  </si>
  <si>
    <t>1057-21-2019-2-0</t>
  </si>
  <si>
    <t>1001-17-2018-7-1</t>
  </si>
  <si>
    <t>1013-23-2021-1-1</t>
  </si>
  <si>
    <t>1001-19-2012-6-1</t>
  </si>
  <si>
    <t>1057-18-2013-9-1</t>
  </si>
  <si>
    <t>1031-16-2019-8-1</t>
  </si>
  <si>
    <t>1053-14-2018-11-1</t>
  </si>
  <si>
    <t>1041-12-2023-2-0</t>
  </si>
  <si>
    <t>1020-12-2021-2-1</t>
  </si>
  <si>
    <t>1001-14-2019-6-1</t>
  </si>
  <si>
    <t>1017-22-2020-5-1</t>
  </si>
  <si>
    <t>1025-18-2013-9-1</t>
  </si>
  <si>
    <t>1002-18-2016-4-1</t>
  </si>
  <si>
    <t>1001-20-2022-5-1</t>
  </si>
  <si>
    <t>1076-14-2020-11-1</t>
  </si>
  <si>
    <t>1035-14-2022-5-1</t>
  </si>
  <si>
    <t>1077-16-2020-11-1</t>
  </si>
  <si>
    <t>1002-18-2019-8-0</t>
  </si>
  <si>
    <t>1043-23-2016-9-0</t>
  </si>
  <si>
    <t>1012-16-2012-3-1</t>
  </si>
  <si>
    <t>1016-18-2019-5-1</t>
  </si>
  <si>
    <t>1080-15-2017-11-1</t>
  </si>
  <si>
    <t>1003-20-2021-7-1</t>
  </si>
  <si>
    <t>1057-11-2018-9-1</t>
  </si>
  <si>
    <t>1067-11-2012-6-1</t>
  </si>
  <si>
    <t>1017-15-2016-2-1</t>
  </si>
  <si>
    <t>1045-11-2017-5-0</t>
  </si>
  <si>
    <t>1070-13-2011-5-1</t>
  </si>
  <si>
    <t>1027-13-2021-8-1</t>
  </si>
  <si>
    <t>1002-15-2014-6-1</t>
  </si>
  <si>
    <t>1037-20-2014-11-1</t>
  </si>
  <si>
    <t>1022-15-2018-6-1</t>
  </si>
  <si>
    <t>1040-11-2020-2-1</t>
  </si>
  <si>
    <t>1002-18-2013-9-1</t>
  </si>
  <si>
    <t>1008-11-2017-2-1</t>
  </si>
  <si>
    <t>1008-13-2012-9-1</t>
  </si>
  <si>
    <t>1022-14-2016-6-1</t>
  </si>
  <si>
    <t>1001-18-2011-8-1</t>
  </si>
  <si>
    <t>1001-11-2012-7-1</t>
  </si>
  <si>
    <t>1001-22-2016-10-1</t>
  </si>
  <si>
    <t>1006-17-2013-3-1</t>
  </si>
  <si>
    <t>1015-22-2023-11-1</t>
  </si>
  <si>
    <t>1004-18-2018-10-0</t>
  </si>
  <si>
    <t>1060-13-2012-5-1</t>
  </si>
  <si>
    <t>1034-14-2013-10-1</t>
  </si>
  <si>
    <t>1002-11-2023-8-1</t>
  </si>
  <si>
    <t>1002-12-2021-4-1</t>
  </si>
  <si>
    <t>1019-12-2017-2-1</t>
  </si>
  <si>
    <t>1003-20-2017-2-1</t>
  </si>
  <si>
    <t>1002-16-2022-3-0</t>
  </si>
  <si>
    <t>1009-19-2020-1-1</t>
  </si>
  <si>
    <t>1003-16-2023-6-1</t>
  </si>
  <si>
    <t>1027-16-2015-4-1</t>
  </si>
  <si>
    <t>1003-14-2018-5-1</t>
  </si>
  <si>
    <t>1017-12-2013-3-1</t>
  </si>
  <si>
    <t>1002-22-2018-9-1</t>
  </si>
  <si>
    <t>1047-18-2018-2-1</t>
  </si>
  <si>
    <t>1027-11-2011-5-1</t>
  </si>
  <si>
    <t>1001-15-2019-3-1</t>
  </si>
  <si>
    <t>1044-19-2014-12-1</t>
  </si>
  <si>
    <t>1055-22-2019-2-1</t>
  </si>
  <si>
    <t>1018-22-2016-9-0</t>
  </si>
  <si>
    <t>1003-16-2018-12-0</t>
  </si>
  <si>
    <t>1003-16-2022-12-1</t>
  </si>
  <si>
    <t>1004-14-2015-1-1</t>
  </si>
  <si>
    <t>1016-15-2019-7-1</t>
  </si>
  <si>
    <t>1057-12-2020-7-1</t>
  </si>
  <si>
    <t>1004-15-2015-1-1</t>
  </si>
  <si>
    <t>1024-12-2017-12-1</t>
  </si>
  <si>
    <t>1040-13-2020-12-1</t>
  </si>
  <si>
    <t>1003-11-2012-11-1</t>
  </si>
  <si>
    <t>1014-18-2012-8-1</t>
  </si>
  <si>
    <t>1041-19-2013-2-1</t>
  </si>
  <si>
    <t>1014-22-2014-5-1</t>
  </si>
  <si>
    <t>1037-15-2011-6-1</t>
  </si>
  <si>
    <t>1001-22-2022-10-1</t>
  </si>
  <si>
    <t>1004-18-2012-11-1</t>
  </si>
  <si>
    <t>1022-13-2012-10-0</t>
  </si>
  <si>
    <t>1010-13-2023-8-1</t>
  </si>
  <si>
    <t>1046-19-2011-5-1</t>
  </si>
  <si>
    <t>1080-11-2012-5-1</t>
  </si>
  <si>
    <t>1001-14-2012-10-0</t>
  </si>
  <si>
    <t>1041-22-2012-11-1</t>
  </si>
  <si>
    <t>1001-14-2013-4-1</t>
  </si>
  <si>
    <t>1012-11-2012-8-1</t>
  </si>
  <si>
    <t>1048-12-2017-12-1</t>
  </si>
  <si>
    <t>1069-13-2019-1-1</t>
  </si>
  <si>
    <t>1047-14-2020-1-1</t>
  </si>
  <si>
    <t>1006-18-2021-10-1</t>
  </si>
  <si>
    <t>1039-12-2019-3-1</t>
  </si>
  <si>
    <t>1015-19-2013-3-0</t>
  </si>
  <si>
    <t>1028-12-2017-11-1</t>
  </si>
  <si>
    <t>1032-12-2016-8-1</t>
  </si>
  <si>
    <t>1058-12-2016-5-0</t>
  </si>
  <si>
    <t>1002-14-2017-8-1</t>
  </si>
  <si>
    <t>1015-15-2016-8-1</t>
  </si>
  <si>
    <t>1033-12-2019-3-1</t>
  </si>
  <si>
    <t>1002-14-2013-5-1</t>
  </si>
  <si>
    <t>1080-15-2021-7-1</t>
  </si>
  <si>
    <t>1022-14-2014-11-1</t>
  </si>
  <si>
    <t>1059-14-2022-2-1</t>
  </si>
  <si>
    <t>1027-20-2023-7-1</t>
  </si>
  <si>
    <t>1020-22-2017-10-1</t>
  </si>
  <si>
    <t>1010-18-2012-7-1</t>
  </si>
  <si>
    <t>1051-23-2014-1-1</t>
  </si>
  <si>
    <t>1024-12-2012-3-1</t>
  </si>
  <si>
    <t>1011-14-2018-8-1</t>
  </si>
  <si>
    <t>1010-22-2011-12-1</t>
  </si>
  <si>
    <t>1083-13-2018-7-1</t>
  </si>
  <si>
    <t>1036-21-2016-10-1</t>
  </si>
  <si>
    <t>1045-13-2019-9-0</t>
  </si>
  <si>
    <t>1003-18-2011-10-1</t>
  </si>
  <si>
    <t>1003-11-2018-4-1</t>
  </si>
  <si>
    <t>1003-20-2013-2-1</t>
  </si>
  <si>
    <t>1005-12-2014-7-1</t>
  </si>
  <si>
    <t>1019-20-2016-8-1</t>
  </si>
  <si>
    <t>1025-11-2016-3-1</t>
  </si>
  <si>
    <t>1032-14-2012-9-1</t>
  </si>
  <si>
    <t>1013-14-2016-10-1</t>
  </si>
  <si>
    <t>1001-17-2023-7-1</t>
  </si>
  <si>
    <t>1036-14-2013-9-1</t>
  </si>
  <si>
    <t>1005-11-2016-10-1</t>
  </si>
  <si>
    <t>1015-18-2019-7-0</t>
  </si>
  <si>
    <t>1002-23-2015-1-0</t>
  </si>
  <si>
    <t>1018-13-2021-12-1</t>
  </si>
  <si>
    <t>1064-16-2012-10-1</t>
  </si>
  <si>
    <t>1020-16-2020-3-1</t>
  </si>
  <si>
    <t>1020-15-2012-6-1</t>
  </si>
  <si>
    <t>1013-12-2023-10-0</t>
  </si>
  <si>
    <t>1007-20-2018-9-1</t>
  </si>
  <si>
    <t>1002-12-2011-4-0</t>
  </si>
  <si>
    <t>1009-22-2017-12-0</t>
  </si>
  <si>
    <t>1043-12-2015-6-1</t>
  </si>
  <si>
    <t>1002-17-2017-4-1</t>
  </si>
  <si>
    <t>1007-20-2014-5-1</t>
  </si>
  <si>
    <t>1057-12-2019-7-1</t>
  </si>
  <si>
    <t>1016-16-2020-5-1</t>
  </si>
  <si>
    <t>1014-16-2011-8-1</t>
  </si>
  <si>
    <t>1017-11-2016-2-1</t>
  </si>
  <si>
    <t>1056-19-2014-3-1</t>
  </si>
  <si>
    <t>1007-16-2015-9-1</t>
  </si>
  <si>
    <t>1031-12-2020-11-1</t>
  </si>
  <si>
    <t>1052-23-2011-4-0</t>
  </si>
  <si>
    <t>1009-22-2016-10-1</t>
  </si>
  <si>
    <t>1024-11-2011-1-1</t>
  </si>
  <si>
    <t>1003-13-2019-6-0</t>
  </si>
  <si>
    <t>1001-14-2018-3-1</t>
  </si>
  <si>
    <t>1005-13-2015-8-1</t>
  </si>
  <si>
    <t>1016-13-2013-6-1</t>
  </si>
  <si>
    <t>1003-12-2012-4-1</t>
  </si>
  <si>
    <t>1051-11-2021-7-1</t>
  </si>
  <si>
    <t>1050-15-2018-8-0</t>
  </si>
  <si>
    <t>1006-11-2023-5-1</t>
  </si>
  <si>
    <t>1008-18-2017-2-1</t>
  </si>
  <si>
    <t>1066-11-2016-6-1</t>
  </si>
  <si>
    <t>1024-13-2017-12-1</t>
  </si>
  <si>
    <t>1024-20-2014-12-1</t>
  </si>
  <si>
    <t>1051-12-2012-4-1</t>
  </si>
  <si>
    <t>1036-16-2022-2-1</t>
  </si>
  <si>
    <t>1041-19-2019-6-1</t>
  </si>
  <si>
    <t>1004-12-2022-6-1</t>
  </si>
  <si>
    <t>1004-17-2016-9-1</t>
  </si>
  <si>
    <t>1011-15-2021-7-0</t>
  </si>
  <si>
    <t>1044-14-2020-4-1</t>
  </si>
  <si>
    <t>1005-11-2011-6-1</t>
  </si>
  <si>
    <t>1020-22-2020-1-1</t>
  </si>
  <si>
    <t>1028-19-2012-3-1</t>
  </si>
  <si>
    <t>1008-23-2013-2-1</t>
  </si>
  <si>
    <t>1006-13-2016-8-0</t>
  </si>
  <si>
    <t>1007-20-2019-8-1</t>
  </si>
  <si>
    <t>1083-19-2012-1-0</t>
  </si>
  <si>
    <t>1004-15-2023-6-0</t>
  </si>
  <si>
    <t>1004-11-2014-9-1</t>
  </si>
  <si>
    <t>1017-13-2014-12-0</t>
  </si>
  <si>
    <t>1008-12-2011-9-1</t>
  </si>
  <si>
    <t>1003-13-2021-8-1</t>
  </si>
  <si>
    <t>1020-18-2016-6-1</t>
  </si>
  <si>
    <t>1005-16-2011-4-1</t>
  </si>
  <si>
    <t>1026-14-2020-9-0</t>
  </si>
  <si>
    <t>1035-12-2015-12-1</t>
  </si>
  <si>
    <t>1015-12-2016-7-1</t>
  </si>
  <si>
    <t>1010-21-2014-11-0</t>
  </si>
  <si>
    <t>1038-15-2023-8-0</t>
  </si>
  <si>
    <t>1001-21-2014-5-1</t>
  </si>
  <si>
    <t>1055-13-2019-6-0</t>
  </si>
  <si>
    <t>1004-13-2022-11-1</t>
  </si>
  <si>
    <t>1001-14-2014-6-1</t>
  </si>
  <si>
    <t>1082-22-2012-7-1</t>
  </si>
  <si>
    <t>1031-15-2021-11-1</t>
  </si>
  <si>
    <t>1014-14-2019-9-1</t>
  </si>
  <si>
    <t>1018-16-2018-4-1</t>
  </si>
  <si>
    <t>1070-13-2012-6-1</t>
  </si>
  <si>
    <t>1035-11-2012-12-1</t>
  </si>
  <si>
    <t>1064-14-2022-3-1</t>
  </si>
  <si>
    <t>1004-19-2022-9-1</t>
  </si>
  <si>
    <t>1002-11-2020-10-1</t>
  </si>
  <si>
    <t>1001-23-2012-2-1</t>
  </si>
  <si>
    <t>1012-20-2012-4-1</t>
  </si>
  <si>
    <t>1065-22-2018-2-1</t>
  </si>
  <si>
    <t>1025-12-2011-8-1</t>
  </si>
  <si>
    <t>1044-22-2011-9-1</t>
  </si>
  <si>
    <t>1002-16-2012-5-0</t>
  </si>
  <si>
    <t>1003-22-2018-10-1</t>
  </si>
  <si>
    <t>1002-18-2015-7-1</t>
  </si>
  <si>
    <t>1042-18-2016-10-1</t>
  </si>
  <si>
    <t>1061-15-2015-10-1</t>
  </si>
  <si>
    <t>1009-14-2011-9-0</t>
  </si>
  <si>
    <t>1001-18-2017-3-1</t>
  </si>
  <si>
    <t>1020-18-2017-10-1</t>
  </si>
  <si>
    <t>1017-17-2014-6-1</t>
  </si>
  <si>
    <t>1010-22-2021-10-1</t>
  </si>
  <si>
    <t>1029-12-2022-8-1</t>
  </si>
  <si>
    <t>1024-22-2017-3-1</t>
  </si>
  <si>
    <t>1087-13-2018-2-1</t>
  </si>
  <si>
    <t>1011-20-2022-11-0</t>
  </si>
  <si>
    <t>1035-21-2012-4-1</t>
  </si>
  <si>
    <t>1014-14-2018-10-1</t>
  </si>
  <si>
    <t>1031-15-2016-5-1</t>
  </si>
  <si>
    <t>1001-18-2013-12-1</t>
  </si>
  <si>
    <t>1063-23-2013-3-1</t>
  </si>
  <si>
    <t>1065-11-2012-7-1</t>
  </si>
  <si>
    <t>1024-21-2023-9-1</t>
  </si>
  <si>
    <t>1009-14-2014-5-1</t>
  </si>
  <si>
    <t>1008-12-2017-4-1</t>
  </si>
  <si>
    <t>1044-22-2021-7-1</t>
  </si>
  <si>
    <t>1015-11-2022-10-1</t>
  </si>
  <si>
    <t>1047-19-2023-9-1</t>
  </si>
  <si>
    <t>1014-15-2022-7-1</t>
  </si>
  <si>
    <t>1006-11-2022-6-1</t>
  </si>
  <si>
    <t>1046-18-2014-6-1</t>
  </si>
  <si>
    <t>1011-18-2013-5-1</t>
  </si>
  <si>
    <t>1084-16-2017-11-0</t>
  </si>
  <si>
    <t>1063-17-2013-2-0</t>
  </si>
  <si>
    <t>1051-12-2013-10-0</t>
  </si>
  <si>
    <t>1003-17-2016-7-1</t>
  </si>
  <si>
    <t>1001-21-2012-7-1</t>
  </si>
  <si>
    <t>1056-17-2011-10-1</t>
  </si>
  <si>
    <t>1004-14-2014-6-0</t>
  </si>
  <si>
    <t>1054-18-2016-9-0</t>
  </si>
  <si>
    <t>1002-23-2013-7-1</t>
  </si>
  <si>
    <t>1007-11-2016-10-1</t>
  </si>
  <si>
    <t>1072-14-2018-1-1</t>
  </si>
  <si>
    <t>1006-11-2016-8-1</t>
  </si>
  <si>
    <t>1007-21-2016-8-1</t>
  </si>
  <si>
    <t>1080-11-2018-9-1</t>
  </si>
  <si>
    <t>1024-23-2022-11-1</t>
  </si>
  <si>
    <t>1017-11-2020-3-1</t>
  </si>
  <si>
    <t>1011-18-2023-4-1</t>
  </si>
  <si>
    <t>1005-16-2016-10-1</t>
  </si>
  <si>
    <t>1052-11-2017-1-1</t>
  </si>
  <si>
    <t>1018-18-2017-9-1</t>
  </si>
  <si>
    <t>1023-19-2021-7-1</t>
  </si>
  <si>
    <t>1001-12-2013-5-1</t>
  </si>
  <si>
    <t>1005-14-2011-9-1</t>
  </si>
  <si>
    <t>1005-16-2022-7-1</t>
  </si>
  <si>
    <t>1025-13-2021-4-1</t>
  </si>
  <si>
    <t>1016-19-2014-1-1</t>
  </si>
  <si>
    <t>1055-20-2016-9-1</t>
  </si>
  <si>
    <t>1060-13-2012-2-0</t>
  </si>
  <si>
    <t>1048-11-2020-4-1</t>
  </si>
  <si>
    <t>1031-12-2012-2-1</t>
  </si>
  <si>
    <t>1004-19-2016-5-1</t>
  </si>
  <si>
    <t>1015-11-2015-7-1</t>
  </si>
  <si>
    <t>1001-15-2014-9-0</t>
  </si>
  <si>
    <t>1006-14-2017-12-0</t>
  </si>
  <si>
    <t>1012-23-2018-1-1</t>
  </si>
  <si>
    <t>1004-22-2022-1-1</t>
  </si>
  <si>
    <t>1015-17-2022-8-0</t>
  </si>
  <si>
    <t>1071-18-2020-7-0</t>
  </si>
  <si>
    <t>1020-12-2018-6-1</t>
  </si>
  <si>
    <t>1020-20-2013-10-1</t>
  </si>
  <si>
    <t>1016-22-2022-2-1</t>
  </si>
  <si>
    <t>1015-11-2018-12-1</t>
  </si>
  <si>
    <t>1011-14-2016-7-1</t>
  </si>
  <si>
    <t>1072-15-2013-6-1</t>
  </si>
  <si>
    <t>1014-20-2017-8-0</t>
  </si>
  <si>
    <t>1002-18-2018-4-1</t>
  </si>
  <si>
    <t>1008-22-2019-4-1</t>
  </si>
  <si>
    <t>1057-20-2012-10-1</t>
  </si>
  <si>
    <t>1009-17-2011-5-1</t>
  </si>
  <si>
    <t>1002-12-2018-3-1</t>
  </si>
  <si>
    <t>1064-19-2011-3-0</t>
  </si>
  <si>
    <t>1005-12-2012-9-1</t>
  </si>
  <si>
    <t>1003-11-2023-7-1</t>
  </si>
  <si>
    <t>1075-16-2019-4-1</t>
  </si>
  <si>
    <t>1017-16-2016-11-1</t>
  </si>
  <si>
    <t>1044-12-2014-11-1</t>
  </si>
  <si>
    <t>1014-19-2023-3-1</t>
  </si>
  <si>
    <t>1014-21-2016-7-1</t>
  </si>
  <si>
    <t>1002-23-2011-6-1</t>
  </si>
  <si>
    <t>1046-17-2023-4-1</t>
  </si>
  <si>
    <t>1040-13-2019-2-1</t>
  </si>
  <si>
    <t>1072-11-2011-1-1</t>
  </si>
  <si>
    <t>1028-15-2020-8-1</t>
  </si>
  <si>
    <t>1033-14-2020-12-0</t>
  </si>
  <si>
    <t>1001-18-2016-8-1</t>
  </si>
  <si>
    <t>1050-18-2013-1-1</t>
  </si>
  <si>
    <t>1009-12-2017-8-1</t>
  </si>
  <si>
    <t>1088-11-2023-8-1</t>
  </si>
  <si>
    <t>1031-13-2017-6-0</t>
  </si>
  <si>
    <t>1046-13-2019-8-1</t>
  </si>
  <si>
    <t>1014-20-2021-6-0</t>
  </si>
  <si>
    <t>1007-15-2019-6-1</t>
  </si>
  <si>
    <t>1002-21-2011-4-1</t>
  </si>
  <si>
    <t>1033-12-2019-8-1</t>
  </si>
  <si>
    <t>1037-11-2014-3-1</t>
  </si>
  <si>
    <t>1032-12-2014-2-1</t>
  </si>
  <si>
    <t>1002-19-2017-11-1</t>
  </si>
  <si>
    <t>1036-11-2011-3-1</t>
  </si>
  <si>
    <t>1067-16-2017-12-1</t>
  </si>
  <si>
    <t>1002-23-2016-3-1</t>
  </si>
  <si>
    <t>1048-22-2011-5-1</t>
  </si>
  <si>
    <t>1063-14-2011-6-1</t>
  </si>
  <si>
    <t>1016-11-2019-9-1</t>
  </si>
  <si>
    <t>1057-19-2015-6-1</t>
  </si>
  <si>
    <t>1064-22-2015-5-1</t>
  </si>
  <si>
    <t>1054-11-2012-7-1</t>
  </si>
  <si>
    <t>1035-17-2013-1-0</t>
  </si>
  <si>
    <t>1001-14-2017-10-1</t>
  </si>
  <si>
    <t>1045-11-2018-3-1</t>
  </si>
  <si>
    <t>1056-12-2018-11-1</t>
  </si>
  <si>
    <t>1005-19-2022-2-1</t>
  </si>
  <si>
    <t>1051-12-2014-4-1</t>
  </si>
  <si>
    <t>1012-11-2021-6-1</t>
  </si>
  <si>
    <t>1017-14-2016-8-1</t>
  </si>
  <si>
    <t>1004-14-2021-5-1</t>
  </si>
  <si>
    <t>1036-11-2016-9-1</t>
  </si>
  <si>
    <t>1001-18-2022-9-1</t>
  </si>
  <si>
    <t>1020-22-2019-3-1</t>
  </si>
  <si>
    <t>1020-19-2013-4-1</t>
  </si>
  <si>
    <t>1086-14-2018-7-1</t>
  </si>
  <si>
    <t>1004-22-2023-8-0</t>
  </si>
  <si>
    <t>1083-11-2022-6-1</t>
  </si>
  <si>
    <t>1046-11-2021-3-1</t>
  </si>
  <si>
    <t>1016-14-2019-10-1</t>
  </si>
  <si>
    <t>1013-13-2023-6-1</t>
  </si>
  <si>
    <t>1033-23-2011-9-1</t>
  </si>
  <si>
    <t>1076-20-2011-7-1</t>
  </si>
  <si>
    <t>1087-15-2018-1-0</t>
  </si>
  <si>
    <t>1070-17-2018-8-1</t>
  </si>
  <si>
    <t>1039-13-2021-3-1</t>
  </si>
  <si>
    <t>1012-12-2020-5-1</t>
  </si>
  <si>
    <t>1008-13-2019-2-0</t>
  </si>
  <si>
    <t>1060-12-2017-5-1</t>
  </si>
  <si>
    <t>1003-11-2017-1-1</t>
  </si>
  <si>
    <t>1003-12-2016-4-1</t>
  </si>
  <si>
    <t>1050-18-2019-6-1</t>
  </si>
  <si>
    <t>1008-12-2023-8-1</t>
  </si>
  <si>
    <t>1028-14-2023-2-1</t>
  </si>
  <si>
    <t>1038-18-2022-9-1</t>
  </si>
  <si>
    <t>1005-13-2016-7-1</t>
  </si>
  <si>
    <t>1002-11-2015-1-1</t>
  </si>
  <si>
    <t>1005-11-2017-2-1</t>
  </si>
  <si>
    <t>1008-18-2013-9-1</t>
  </si>
  <si>
    <t>1004-13-2016-2-1</t>
  </si>
  <si>
    <t>1015-15-2021-3-0</t>
  </si>
  <si>
    <t>1011-19-2012-11-1</t>
  </si>
  <si>
    <t>1060-15-2017-9-1</t>
  </si>
  <si>
    <t>1005-22-2019-5-1</t>
  </si>
  <si>
    <t>1066-22-2013-1-1</t>
  </si>
  <si>
    <t>1037-11-2015-9-0</t>
  </si>
  <si>
    <t>1017-12-2023-3-1</t>
  </si>
  <si>
    <t>1074-17-2014-6-1</t>
  </si>
  <si>
    <t>1046-14-2016-4-1</t>
  </si>
  <si>
    <t>1064-22-2017-1-1</t>
  </si>
  <si>
    <t>1020-20-2021-1-1</t>
  </si>
  <si>
    <t>1062-17-2012-10-0</t>
  </si>
  <si>
    <t>1004-20-2014-1-1</t>
  </si>
  <si>
    <t>1001-12-2013-1-1</t>
  </si>
  <si>
    <t>1008-14-2018-11-1</t>
  </si>
  <si>
    <t>1066-14-2015-9-0</t>
  </si>
  <si>
    <t>1070-14-2012-8-1</t>
  </si>
  <si>
    <t>1022-12-2016-3-1</t>
  </si>
  <si>
    <t>1076-15-2020-5-1</t>
  </si>
  <si>
    <t>1008-20-2023-8-1</t>
  </si>
  <si>
    <t>1053-18-2014-3-1</t>
  </si>
  <si>
    <t>1053-14-2018-10-1</t>
  </si>
  <si>
    <t>1065-12-2018-5-1</t>
  </si>
  <si>
    <t>1009-17-2013-2-1</t>
  </si>
  <si>
    <t>1019-14-2019-12-1</t>
  </si>
  <si>
    <t>1081-13-2021-10-1</t>
  </si>
  <si>
    <t>1028-20-2012-10-1</t>
  </si>
  <si>
    <t>1060-23-2018-6-1</t>
  </si>
  <si>
    <t>1003-11-2016-2-1</t>
  </si>
  <si>
    <t>1010-19-2021-10-1</t>
  </si>
  <si>
    <t>1081-22-2020-4-1</t>
  </si>
  <si>
    <t>1016-19-2012-6-1</t>
  </si>
  <si>
    <t>1037-12-2020-1-1</t>
  </si>
  <si>
    <t>1003-18-2020-3-1</t>
  </si>
  <si>
    <t>1007-14-2012-12-1</t>
  </si>
  <si>
    <t>1039-12-2011-1-1</t>
  </si>
  <si>
    <t>1028-18-2015-7-1</t>
  </si>
  <si>
    <t>1028-22-2014-5-1</t>
  </si>
  <si>
    <t>1059-12-2017-12-1</t>
  </si>
  <si>
    <t>1025-15-2022-11-1</t>
  </si>
  <si>
    <t>1021-15-2020-12-0</t>
  </si>
  <si>
    <t>1007-14-2020-5-1</t>
  </si>
  <si>
    <t>1044-19-2013-2-1</t>
  </si>
  <si>
    <t>1006-18-2013-2-1</t>
  </si>
  <si>
    <t>1023-15-2014-1-0</t>
  </si>
  <si>
    <t>1002-12-2018-7-1</t>
  </si>
  <si>
    <t>1072-15-2012-6-1</t>
  </si>
  <si>
    <t>1074-13-2011-11-1</t>
  </si>
  <si>
    <t>1028-17-2018-11-1</t>
  </si>
  <si>
    <t>1002-22-2023-4-1</t>
  </si>
  <si>
    <t>1024-13-2020-6-1</t>
  </si>
  <si>
    <t>1003-22-2021-11-1</t>
  </si>
  <si>
    <t>1002-12-2021-7-1</t>
  </si>
  <si>
    <t>1025-16-2018-9-1</t>
  </si>
  <si>
    <t>1048-14-2014-5-0</t>
  </si>
  <si>
    <t>1049-18-2022-5-0</t>
  </si>
  <si>
    <t>1002-18-2022-11-1</t>
  </si>
  <si>
    <t>1006-14-2011-6-1</t>
  </si>
  <si>
    <t>1053-11-2019-11-1</t>
  </si>
  <si>
    <t>1072-12-2020-9-0</t>
  </si>
  <si>
    <t>1049-23-2016-4-1</t>
  </si>
  <si>
    <t>1037-16-2019-8-1</t>
  </si>
  <si>
    <t>1021-22-2022-5-1</t>
  </si>
  <si>
    <t>1024-22-2019-4-0</t>
  </si>
  <si>
    <t>1025-14-2021-8-1</t>
  </si>
  <si>
    <t>1045-14-2011-8-1</t>
  </si>
  <si>
    <t>1050-22-2019-10-1</t>
  </si>
  <si>
    <t>1065-15-2018-1-1</t>
  </si>
  <si>
    <t>1017-11-2023-4-1</t>
  </si>
  <si>
    <t>1047-13-2018-5-1</t>
  </si>
  <si>
    <t>1002-11-2012-2-1</t>
  </si>
  <si>
    <t>1022-14-2011-12-1</t>
  </si>
  <si>
    <t>1004-12-2019-9-1</t>
  </si>
  <si>
    <t>1034-12-2017-4-1</t>
  </si>
  <si>
    <t>1035-14-2011-6-0</t>
  </si>
  <si>
    <t>1003-18-2015-8-1</t>
  </si>
  <si>
    <t>1048-12-2019-9-1</t>
  </si>
  <si>
    <t>1033-12-2011-7-0</t>
  </si>
  <si>
    <t>1008-13-2012-12-1</t>
  </si>
  <si>
    <t>1002-23-2023-7-0</t>
  </si>
  <si>
    <t>1020-18-2014-10-1</t>
  </si>
  <si>
    <t>1003-20-2018-1-1</t>
  </si>
  <si>
    <t>1002-20-2023-7-1</t>
  </si>
  <si>
    <t>1043-14-2019-1-1</t>
  </si>
  <si>
    <t>1061-11-2023-2-1</t>
  </si>
  <si>
    <t>1057-12-2014-4-1</t>
  </si>
  <si>
    <t>1009-16-2023-1-1</t>
  </si>
  <si>
    <t>1028-13-2011-6-1</t>
  </si>
  <si>
    <t>1050-20-2012-6-1</t>
  </si>
  <si>
    <t>1009-21-2014-3-1</t>
  </si>
  <si>
    <t>1020-12-2011-9-1</t>
  </si>
  <si>
    <t>1002-14-2011-5-0</t>
  </si>
  <si>
    <t>1036-12-2012-2-1</t>
  </si>
  <si>
    <t>1012-14-2011-1-1</t>
  </si>
  <si>
    <t>1002-14-2019-5-0</t>
  </si>
  <si>
    <t>1031-15-2013-3-1</t>
  </si>
  <si>
    <t>1013-12-2021-12-1</t>
  </si>
  <si>
    <t>1001-14-2013-8-1</t>
  </si>
  <si>
    <t>1055-13-2018-5-0</t>
  </si>
  <si>
    <t>1058-17-2012-12-1</t>
  </si>
  <si>
    <t>1008-15-2014-12-1</t>
  </si>
  <si>
    <t>1048-16-2018-4-1</t>
  </si>
  <si>
    <t>1008-19-2020-4-1</t>
  </si>
  <si>
    <t>1008-18-2012-4-1</t>
  </si>
  <si>
    <t>1055-12-2012-8-0</t>
  </si>
  <si>
    <t>1016-18-2019-7-0</t>
  </si>
  <si>
    <t>1005-21-2021-11-1</t>
  </si>
  <si>
    <t>1001-14-2020-12-1</t>
  </si>
  <si>
    <t>1070-23-2020-4-1</t>
  </si>
  <si>
    <t>1071-14-2012-1-1</t>
  </si>
  <si>
    <t>1085-14-2011-7-0</t>
  </si>
  <si>
    <t>1027-16-2011-7-1</t>
  </si>
  <si>
    <t>1010-13-2013-6-1</t>
  </si>
  <si>
    <t>1009-11-2017-10-1</t>
  </si>
  <si>
    <t>1050-14-2013-12-1</t>
  </si>
  <si>
    <t>1008-12-2017-12-1</t>
  </si>
  <si>
    <t>1008-11-2022-1-1</t>
  </si>
  <si>
    <t>1052-16-2022-11-1</t>
  </si>
  <si>
    <t>1068-22-2012-3-1</t>
  </si>
  <si>
    <t>1001-14-2022-7-1</t>
  </si>
  <si>
    <t>1032-15-2012-8-1</t>
  </si>
  <si>
    <t>1055-14-2020-9-1</t>
  </si>
  <si>
    <t>1029-15-2014-12-1</t>
  </si>
  <si>
    <t>1012-19-2020-5-1</t>
  </si>
  <si>
    <t>1070-19-2019-12-1</t>
  </si>
  <si>
    <t>1023-11-2014-6-1</t>
  </si>
  <si>
    <t>1078-20-2022-11-0</t>
  </si>
  <si>
    <t>1030-12-2015-5-1</t>
  </si>
  <si>
    <t>1028-16-2022-10-1</t>
  </si>
  <si>
    <t>1002-22-2016-11-1</t>
  </si>
  <si>
    <t>1002-12-2022-1-1</t>
  </si>
  <si>
    <t>1001-13-2014-9-1</t>
  </si>
  <si>
    <t>1005-12-2021-8-1</t>
  </si>
  <si>
    <t>1079-12-2014-12-1</t>
  </si>
  <si>
    <t>1022-14-2017-5-0</t>
  </si>
  <si>
    <t>1010-18-2015-2-1</t>
  </si>
  <si>
    <t>1080-23-2013-1-1</t>
  </si>
  <si>
    <t>1003-15-2017-8-1</t>
  </si>
  <si>
    <t>1025-17-2016-3-1</t>
  </si>
  <si>
    <t>1003-17-2016-6-1</t>
  </si>
  <si>
    <t>1002-15-2011-2-1</t>
  </si>
  <si>
    <t>1006-15-2023-8-1</t>
  </si>
  <si>
    <t>1001-19-2021-9-1</t>
  </si>
  <si>
    <t>1007-13-2020-2-1</t>
  </si>
  <si>
    <t>1002-15-2021-5-1</t>
  </si>
  <si>
    <t>1009-11-2019-11-1</t>
  </si>
  <si>
    <t>1020-20-2015-1-1</t>
  </si>
  <si>
    <t>1026-13-2020-4-0</t>
  </si>
  <si>
    <t>1011-12-2019-8-0</t>
  </si>
  <si>
    <t>1009-16-2019-10-1</t>
  </si>
  <si>
    <t>1017-13-2016-10-1</t>
  </si>
  <si>
    <t>1021-14-2016-2-1</t>
  </si>
  <si>
    <t>1087-14-2021-6-0</t>
  </si>
  <si>
    <t>1007-12-2014-5-1</t>
  </si>
  <si>
    <t>1076-22-2022-3-1</t>
  </si>
  <si>
    <t>1077-13-2019-4-0</t>
  </si>
  <si>
    <t>1011-22-2020-5-1</t>
  </si>
  <si>
    <t>1040-15-2021-9-1</t>
  </si>
  <si>
    <t>1064-13-2014-6-1</t>
  </si>
  <si>
    <t>1004-16-2011-2-1</t>
  </si>
  <si>
    <t>1075-22-2012-9-0</t>
  </si>
  <si>
    <t>1034-16-2016-8-1</t>
  </si>
  <si>
    <t>1077-20-2012-10-1</t>
  </si>
  <si>
    <t>1022-18-2013-7-1</t>
  </si>
  <si>
    <t>1021-15-2018-8-1</t>
  </si>
  <si>
    <t>1087-12-2014-3-1</t>
  </si>
  <si>
    <t>1008-13-2014-10-1</t>
  </si>
  <si>
    <t>1029-12-2020-5-1</t>
  </si>
  <si>
    <t>1001-20-2014-7-1</t>
  </si>
  <si>
    <t>1028-14-2011-4-0</t>
  </si>
  <si>
    <t>1018-22-2016-3-1</t>
  </si>
  <si>
    <t>1036-19-2020-1-1</t>
  </si>
  <si>
    <t>1017-22-2012-2-1</t>
  </si>
  <si>
    <t>1004-12-2020-7-1</t>
  </si>
  <si>
    <t>1001-12-2020-2-1</t>
  </si>
  <si>
    <t>1053-16-2023-4-1</t>
  </si>
  <si>
    <t>1073-16-2022-11-1</t>
  </si>
  <si>
    <t>1045-13-2013-4-1</t>
  </si>
  <si>
    <t>1005-16-2022-8-1</t>
  </si>
  <si>
    <t>1004-19-2013-3-1</t>
  </si>
  <si>
    <t>1033-18-2014-5-1</t>
  </si>
  <si>
    <t>1012-15-2012-12-1</t>
  </si>
  <si>
    <t>1036-14-2018-10-0</t>
  </si>
  <si>
    <t>1072-11-2011-12-1</t>
  </si>
  <si>
    <t>1001-16-2015-11-1</t>
  </si>
  <si>
    <t>1025-20-2019-3-1</t>
  </si>
  <si>
    <t>1001-11-2015-9-1</t>
  </si>
  <si>
    <t>1013-13-2020-8-0</t>
  </si>
  <si>
    <t>1031-14-2013-8-1</t>
  </si>
  <si>
    <t>1015-14-2016-7-1</t>
  </si>
  <si>
    <t>1057-19-2022-4-1</t>
  </si>
  <si>
    <t>1043-11-2013-6-1</t>
  </si>
  <si>
    <t>1004-15-2012-4-1</t>
  </si>
  <si>
    <t>1047-11-2012-5-1</t>
  </si>
  <si>
    <t>1003-20-2019-7-1</t>
  </si>
  <si>
    <t>1002-14-2016-3-0</t>
  </si>
  <si>
    <t>1005-20-2017-10-1</t>
  </si>
  <si>
    <t>1011-16-2017-3-1</t>
  </si>
  <si>
    <t>1008-11-2018-10-1</t>
  </si>
  <si>
    <t>1012-15-2017-2-1</t>
  </si>
  <si>
    <t>1019-11-2015-2-1</t>
  </si>
  <si>
    <t>1061-14-2011-12-0</t>
  </si>
  <si>
    <t>1047-22-2015-7-1</t>
  </si>
  <si>
    <t>1039-15-2019-2-0</t>
  </si>
  <si>
    <t>1015-11-2011-1-1</t>
  </si>
  <si>
    <t>1002-14-2017-6-1</t>
  </si>
  <si>
    <t>1056-22-2016-3-1</t>
  </si>
  <si>
    <t>1019-12-2023-12-1</t>
  </si>
  <si>
    <t>1053-17-2017-7-0</t>
  </si>
  <si>
    <t>1003-12-2017-5-1</t>
  </si>
  <si>
    <t>1025-18-2019-10-1</t>
  </si>
  <si>
    <t>1004-14-2022-5-0</t>
  </si>
  <si>
    <t>1027-22-2022-2-0</t>
  </si>
  <si>
    <t>1011-18-2019-1-0</t>
  </si>
  <si>
    <t>1017-22-2013-7-1</t>
  </si>
  <si>
    <t>1028-14-2016-7-1</t>
  </si>
  <si>
    <t>1084-17-2013-12-1</t>
  </si>
  <si>
    <t>1050-13-2023-9-0</t>
  </si>
  <si>
    <t>1018-16-2012-5-0</t>
  </si>
  <si>
    <t>1032-22-2019-7-1</t>
  </si>
  <si>
    <t>1045-17-2012-7-1</t>
  </si>
  <si>
    <t>1042-11-2017-7-0</t>
  </si>
  <si>
    <t>1086-12-2014-2-1</t>
  </si>
  <si>
    <t>1025-13-2013-11-1</t>
  </si>
  <si>
    <t>1043-19-2021-2-0</t>
  </si>
  <si>
    <t>1029-19-2018-11-1</t>
  </si>
  <si>
    <t>1015-21-2015-9-1</t>
  </si>
  <si>
    <t>1055-17-2013-11-1</t>
  </si>
  <si>
    <t>1003-15-2018-12-1</t>
  </si>
  <si>
    <t>1006-18-2013-7-1</t>
  </si>
  <si>
    <t>1011-17-2017-12-1</t>
  </si>
  <si>
    <t>1021-14-2015-8-1</t>
  </si>
  <si>
    <t>1007-22-2013-3-1</t>
  </si>
  <si>
    <t>1030-11-2017-8-1</t>
  </si>
  <si>
    <t>1066-17-2020-2-1</t>
  </si>
  <si>
    <t>1007-12-2013-9-1</t>
  </si>
  <si>
    <t>1074-23-2011-4-0</t>
  </si>
  <si>
    <t>1021-22-2021-4-1</t>
  </si>
  <si>
    <t>1005-18-2019-8-0</t>
  </si>
  <si>
    <t>1064-20-2015-3-0</t>
  </si>
  <si>
    <t>1006-14-2013-1-1</t>
  </si>
  <si>
    <t>1038-22-2012-2-1</t>
  </si>
  <si>
    <t>1039-14-2016-4-1</t>
  </si>
  <si>
    <t>1059-20-2012-3-1</t>
  </si>
  <si>
    <t>1015-19-2014-12-0</t>
  </si>
  <si>
    <t>1052-17-2016-12-0</t>
  </si>
  <si>
    <t>1006-20-2018-8-0</t>
  </si>
  <si>
    <t>1023-21-2012-1-1</t>
  </si>
  <si>
    <t>1071-18-2011-12-1</t>
  </si>
  <si>
    <t>1008-15-2015-8-1</t>
  </si>
  <si>
    <t>1026-14-2011-6-1</t>
  </si>
  <si>
    <t>1075-14-2015-3-1</t>
  </si>
  <si>
    <t>1003-14-2019-9-0</t>
  </si>
  <si>
    <t>1003-12-2016-3-1</t>
  </si>
  <si>
    <t>1010-12-2017-1-1</t>
  </si>
  <si>
    <t>1001-18-2011-1-1</t>
  </si>
  <si>
    <t>1002-12-2014-4-1</t>
  </si>
  <si>
    <t>1008-18-2018-6-1</t>
  </si>
  <si>
    <t>1003-11-2016-1-1</t>
  </si>
  <si>
    <t>1012-14-2012-11-1</t>
  </si>
  <si>
    <t>1014-14-2017-12-1</t>
  </si>
  <si>
    <t>1013-14-2015-2-1</t>
  </si>
  <si>
    <t>1014-22-2020-8-1</t>
  </si>
  <si>
    <t>1026-14-2015-3-1</t>
  </si>
  <si>
    <t>1007-14-2015-4-1</t>
  </si>
  <si>
    <t>1002-19-2014-8-1</t>
  </si>
  <si>
    <t>1005-11-2015-5-1</t>
  </si>
  <si>
    <t>1002-19-2019-8-1</t>
  </si>
  <si>
    <t>1056-22-2017-6-1</t>
  </si>
  <si>
    <t>1001-11-2014-9-1</t>
  </si>
  <si>
    <t>1061-14-2020-12-1</t>
  </si>
  <si>
    <t>1001-12-2019-7-1</t>
  </si>
  <si>
    <t>1001-20-2022-11-1</t>
  </si>
  <si>
    <t>1002-14-2012-9-1</t>
  </si>
  <si>
    <t>1021-17-2022-12-1</t>
  </si>
  <si>
    <t>1001-11-2016-8-1</t>
  </si>
  <si>
    <t>1030-20-2019-10-1</t>
  </si>
  <si>
    <t>1016-14-2022-5-1</t>
  </si>
  <si>
    <t>1024-13-2018-11-1</t>
  </si>
  <si>
    <t>1017-17-2019-6-1</t>
  </si>
  <si>
    <t>1001-23-2011-11-1</t>
  </si>
  <si>
    <t>1043-11-2020-7-1</t>
  </si>
  <si>
    <t>1032-18-2023-12-1</t>
  </si>
  <si>
    <t>1077-19-2018-5-1</t>
  </si>
  <si>
    <t>1007-22-2015-11-1</t>
  </si>
  <si>
    <t>1032-13-2017-5-1</t>
  </si>
  <si>
    <t>1017-13-2012-5-1</t>
  </si>
  <si>
    <t>1002-11-2015-9-0</t>
  </si>
  <si>
    <t>1007-15-2013-1-1</t>
  </si>
  <si>
    <t>1011-13-2016-6-1</t>
  </si>
  <si>
    <t>1025-12-2016-4-0</t>
  </si>
  <si>
    <t>1007-13-2015-1-1</t>
  </si>
  <si>
    <t>1016-22-2019-11-1</t>
  </si>
  <si>
    <t>1034-18-2019-11-1</t>
  </si>
  <si>
    <t>1016-17-2020-2-1</t>
  </si>
  <si>
    <t>1003-18-2012-11-1</t>
  </si>
  <si>
    <t>1065-12-2013-2-0</t>
  </si>
  <si>
    <t>1001-14-2015-1-0</t>
  </si>
  <si>
    <t>1003-11-2018-6-0</t>
  </si>
  <si>
    <t>1017-15-2012-6-1</t>
  </si>
  <si>
    <t>1004-21-2012-2-0</t>
  </si>
  <si>
    <t>1004-18-2015-9-1</t>
  </si>
  <si>
    <t>1016-14-2020-6-1</t>
  </si>
  <si>
    <t>1060-18-2011-9-0</t>
  </si>
  <si>
    <t>1040-14-2023-10-1</t>
  </si>
  <si>
    <t>1003-14-2019-10-0</t>
  </si>
  <si>
    <t>1012-12-2015-9-1</t>
  </si>
  <si>
    <t>1004-22-2016-1-0</t>
  </si>
  <si>
    <t>1001-16-2022-6-1</t>
  </si>
  <si>
    <t>1041-12-2016-10-0</t>
  </si>
  <si>
    <t>1007-16-2012-11-1</t>
  </si>
  <si>
    <t>1009-15-2023-3-0</t>
  </si>
  <si>
    <t>1027-20-2016-12-1</t>
  </si>
  <si>
    <t>1002-19-2019-7-1</t>
  </si>
  <si>
    <t>1003-12-2019-9-0</t>
  </si>
  <si>
    <t>1001-11-2015-3-0</t>
  </si>
  <si>
    <t>1009-12-2015-12-0</t>
  </si>
  <si>
    <t>1064-19-2013-1-1</t>
  </si>
  <si>
    <t>1025-14-2017-12-1</t>
  </si>
  <si>
    <t>1004-13-2012-6-1</t>
  </si>
  <si>
    <t>1010-12-2011-11-1</t>
  </si>
  <si>
    <t>1083-12-2014-10-0</t>
  </si>
  <si>
    <t>1020-17-2018-7-0</t>
  </si>
  <si>
    <t>1016-17-2021-12-1</t>
  </si>
  <si>
    <t>1077-15-2012-8-1</t>
  </si>
  <si>
    <t>1047-13-2013-12-1</t>
  </si>
  <si>
    <t>1063-19-2016-6-1</t>
  </si>
  <si>
    <t>1005-13-2018-6-1</t>
  </si>
  <si>
    <t>1027-20-2022-8-1</t>
  </si>
  <si>
    <t>1013-22-2023-9-0</t>
  </si>
  <si>
    <t>1007-14-2022-6-1</t>
  </si>
  <si>
    <t>1079-12-2020-12-0</t>
  </si>
  <si>
    <t>1006-13-2016-9-1</t>
  </si>
  <si>
    <t>1001-18-2014-7-1</t>
  </si>
  <si>
    <t>1039-22-2014-7-1</t>
  </si>
  <si>
    <t>1086-18-2015-9-1</t>
  </si>
  <si>
    <t>1002-12-2011-7-1</t>
  </si>
  <si>
    <t>1033-12-2013-4-1</t>
  </si>
  <si>
    <t>1059-14-2011-7-1</t>
  </si>
  <si>
    <t>1063-22-2023-9-1</t>
  </si>
  <si>
    <t>1002-14-2017-3-1</t>
  </si>
  <si>
    <t>1066-20-2021-7-0</t>
  </si>
  <si>
    <t>1008-22-2021-7-1</t>
  </si>
  <si>
    <t>1048-11-2015-5-1</t>
  </si>
  <si>
    <t>1009-20-2016-11-1</t>
  </si>
  <si>
    <t>1006-18-2019-10-1</t>
  </si>
  <si>
    <t>1087-12-2014-11-1</t>
  </si>
  <si>
    <t>1006-16-2022-1-1</t>
  </si>
  <si>
    <t>1018-18-2018-10-1</t>
  </si>
  <si>
    <t>1007-22-2020-4-1</t>
  </si>
  <si>
    <t>1012-22-2012-4-1</t>
  </si>
  <si>
    <t>1003-12-2011-9-0</t>
  </si>
  <si>
    <t>1004-22-2014-10-1</t>
  </si>
  <si>
    <t>1030-11-2022-8-1</t>
  </si>
  <si>
    <t>1008-12-2021-9-1</t>
  </si>
  <si>
    <t>1008-14-2013-3-0</t>
  </si>
  <si>
    <t>1002-22-2021-3-0</t>
  </si>
  <si>
    <t>1042-21-2011-4-1</t>
  </si>
  <si>
    <t>1055-18-2020-6-1</t>
  </si>
  <si>
    <t>1013-22-2011-8-1</t>
  </si>
  <si>
    <t>1026-16-2022-3-1</t>
  </si>
  <si>
    <t>1022-16-2016-1-1</t>
  </si>
  <si>
    <t>1040-14-2022-6-1</t>
  </si>
  <si>
    <t>1001-13-2021-6-0</t>
  </si>
  <si>
    <t>1010-14-2014-9-0</t>
  </si>
  <si>
    <t>1048-16-2017-8-1</t>
  </si>
  <si>
    <t>1002-12-2022-9-1</t>
  </si>
  <si>
    <t>1034-13-2013-9-1</t>
  </si>
  <si>
    <t>1066-14-2020-6-1</t>
  </si>
  <si>
    <t>1076-15-2018-1-0</t>
  </si>
  <si>
    <t>1002-13-2017-2-1</t>
  </si>
  <si>
    <t>1033-12-2021-10-1</t>
  </si>
  <si>
    <t>1001-19-2020-7-1</t>
  </si>
  <si>
    <t>1069-13-2021-11-0</t>
  </si>
  <si>
    <t>1022-18-2017-9-1</t>
  </si>
  <si>
    <t>1001-17-2016-11-1</t>
  </si>
  <si>
    <t>1002-20-2017-11-1</t>
  </si>
  <si>
    <t>1014-22-2016-2-1</t>
  </si>
  <si>
    <t>1045-12-2016-8-1</t>
  </si>
  <si>
    <t>1083-11-2014-6-1</t>
  </si>
  <si>
    <t>1005-21-2014-5-1</t>
  </si>
  <si>
    <t>1078-14-2019-5-1</t>
  </si>
  <si>
    <t>1007-16-2014-1-1</t>
  </si>
  <si>
    <t>1004-18-2017-11-1</t>
  </si>
  <si>
    <t>1002-22-2013-10-1</t>
  </si>
  <si>
    <t>1019-22-2020-7-0</t>
  </si>
  <si>
    <t>1007-14-2017-8-1</t>
  </si>
  <si>
    <t>1004-19-2014-6-1</t>
  </si>
  <si>
    <t>1006-11-2023-11-1</t>
  </si>
  <si>
    <t>1039-18-2022-1-1</t>
  </si>
  <si>
    <t>1001-17-2021-11-1</t>
  </si>
  <si>
    <t>1014-19-2017-10-1</t>
  </si>
  <si>
    <t>1012-12-2018-2-1</t>
  </si>
  <si>
    <t>1011-18-2018-8-1</t>
  </si>
  <si>
    <t>1062-22-2013-12-0</t>
  </si>
  <si>
    <t>1005-15-2014-10-1</t>
  </si>
  <si>
    <t>1005-16-2021-12-1</t>
  </si>
  <si>
    <t>1051-13-2011-6-1</t>
  </si>
  <si>
    <t>1040-14-2022-5-1</t>
  </si>
  <si>
    <t>1030-13-2021-4-0</t>
  </si>
  <si>
    <t>1010-14-2017-5-0</t>
  </si>
  <si>
    <t>1023-18-2015-2-1</t>
  </si>
  <si>
    <t>1004-19-2023-6-1</t>
  </si>
  <si>
    <t>1027-19-2012-4-1</t>
  </si>
  <si>
    <t>1021-16-2014-5-0</t>
  </si>
  <si>
    <t>1009-19-2015-1-0</t>
  </si>
  <si>
    <t>1025-11-2012-3-1</t>
  </si>
  <si>
    <t>1001-12-2012-12-1</t>
  </si>
  <si>
    <t>1023-14-2014-8-1</t>
  </si>
  <si>
    <t>1069-14-2023-7-1</t>
  </si>
  <si>
    <t>1002-11-2012-7-1</t>
  </si>
  <si>
    <t>1010-12-2011-4-1</t>
  </si>
  <si>
    <t>1030-23-2020-10-1</t>
  </si>
  <si>
    <t>1003-14-2019-12-1</t>
  </si>
  <si>
    <t>1085-22-2023-4-0</t>
  </si>
  <si>
    <t>1015-12-2015-8-0</t>
  </si>
  <si>
    <t>1012-19-2015-10-1</t>
  </si>
  <si>
    <t>1081-11-2012-9-1</t>
  </si>
  <si>
    <t>1024-14-2013-10-1</t>
  </si>
  <si>
    <t>1070-16-2017-4-1</t>
  </si>
  <si>
    <t>1049-19-2017-1-0</t>
  </si>
  <si>
    <t>1072-12-2019-4-1</t>
  </si>
  <si>
    <t>1038-15-2017-12-1</t>
  </si>
  <si>
    <t>1085-14-2015-3-1</t>
  </si>
  <si>
    <t>1010-12-2014-4-0</t>
  </si>
  <si>
    <t>1009-22-2021-9-1</t>
  </si>
  <si>
    <t>1010-20-2014-4-1</t>
  </si>
  <si>
    <t>1001-20-2020-10-1</t>
  </si>
  <si>
    <t>1058-13-2019-12-1</t>
  </si>
  <si>
    <t>1054-13-2023-3-1</t>
  </si>
  <si>
    <t>1015-14-2020-6-1</t>
  </si>
  <si>
    <t>1055-12-2022-3-0</t>
  </si>
  <si>
    <t>1029-17-2015-10-0</t>
  </si>
  <si>
    <t>1052-15-2013-9-1</t>
  </si>
  <si>
    <t>1002-16-2023-5-1</t>
  </si>
  <si>
    <t>1011-15-2015-6-0</t>
  </si>
  <si>
    <t>1014-11-2011-4-1</t>
  </si>
  <si>
    <t>1002-11-2017-1-1</t>
  </si>
  <si>
    <t>1028-11-2021-11-0</t>
  </si>
  <si>
    <t>1002-19-2011-7-1</t>
  </si>
  <si>
    <t>1016-23-2015-10-1</t>
  </si>
  <si>
    <t>1038-20-2018-12-1</t>
  </si>
  <si>
    <t>1022-22-2019-2-1</t>
  </si>
  <si>
    <t>1004-11-2020-1-1</t>
  </si>
  <si>
    <t>1066-19-2017-12-0</t>
  </si>
  <si>
    <t>1061-12-2020-10-1</t>
  </si>
  <si>
    <t>1057-21-2013-8-1</t>
  </si>
  <si>
    <t>1013-12-2023-5-1</t>
  </si>
  <si>
    <t>1025-19-2021-8-1</t>
  </si>
  <si>
    <t>1024-11-2017-8-1</t>
  </si>
  <si>
    <t>1015-19-2012-11-1</t>
  </si>
  <si>
    <t>1045-15-2014-3-1</t>
  </si>
  <si>
    <t>1010-18-2016-5-1</t>
  </si>
  <si>
    <t>1028-19-2020-4-1</t>
  </si>
  <si>
    <t>1003-19-2023-8-1</t>
  </si>
  <si>
    <t>1001-19-2014-11-1</t>
  </si>
  <si>
    <t>1012-20-2015-9-0</t>
  </si>
  <si>
    <t>1009-11-2016-8-1</t>
  </si>
  <si>
    <t>1049-11-2012-10-1</t>
  </si>
  <si>
    <t>1012-22-2011-5-0</t>
  </si>
  <si>
    <t>1001-18-2022-3-1</t>
  </si>
  <si>
    <t>1015-16-2012-12-1</t>
  </si>
  <si>
    <t>1050-13-2015-5-1</t>
  </si>
  <si>
    <t>1001-11-2022-6-1</t>
  </si>
  <si>
    <t>1012-13-2013-5-1</t>
  </si>
  <si>
    <t>1044-14-2019-12-1</t>
  </si>
  <si>
    <t>1001-14-2017-5-1</t>
  </si>
  <si>
    <t>1009-16-2011-12-1</t>
  </si>
  <si>
    <t>1002-13-2021-6-1</t>
  </si>
  <si>
    <t>1001-22-2016-4-1</t>
  </si>
  <si>
    <t>1004-14-2014-7-1</t>
  </si>
  <si>
    <t>1059-19-2022-10-1</t>
  </si>
  <si>
    <t>1007-15-2023-9-1</t>
  </si>
  <si>
    <t>1061-12-2019-11-1</t>
  </si>
  <si>
    <t>1001-12-2022-12-1</t>
  </si>
  <si>
    <t>1011-16-2022-11-1</t>
  </si>
  <si>
    <t>1004-20-2013-9-1</t>
  </si>
  <si>
    <t>1018-19-2020-10-1</t>
  </si>
  <si>
    <t>1019-21-2023-6-1</t>
  </si>
  <si>
    <t>1006-14-2023-12-1</t>
  </si>
  <si>
    <t>1024-22-2023-3-1</t>
  </si>
  <si>
    <t>1002-23-2019-5-1</t>
  </si>
  <si>
    <t>1002-11-2014-9-1</t>
  </si>
  <si>
    <t>1030-20-2022-6-1</t>
  </si>
  <si>
    <t>1050-12-2017-7-0</t>
  </si>
  <si>
    <t>1034-13-2021-7-0</t>
  </si>
  <si>
    <t>1003-14-2022-10-1</t>
  </si>
  <si>
    <t>1022-16-2018-3-0</t>
  </si>
  <si>
    <t>1001-11-2023-3-1</t>
  </si>
  <si>
    <t>1031-22-2016-9-0</t>
  </si>
  <si>
    <t>1021-18-2019-10-1</t>
  </si>
  <si>
    <t>1055-11-2017-5-0</t>
  </si>
  <si>
    <t>1025-11-2017-12-1</t>
  </si>
  <si>
    <t>1006-12-2013-10-1</t>
  </si>
  <si>
    <t>1001-22-2011-3-1</t>
  </si>
  <si>
    <t>1027-16-2018-1-1</t>
  </si>
  <si>
    <t>1001-22-2020-8-1</t>
  </si>
  <si>
    <t>1004-17-2021-9-1</t>
  </si>
  <si>
    <t>1028-17-2014-7-1</t>
  </si>
  <si>
    <t>1026-11-2022-9-0</t>
  </si>
  <si>
    <t>1066-11-2021-12-1</t>
  </si>
  <si>
    <t>1007-15-2016-11-0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</si>
</sst>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,\ yyyy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5" tint="-0.249977111117893"/>
      <name val="Calibri Light"/>
      <family val="2"/>
      <scheme val="major"/>
    </font>
    <font>
      <sz val="11"/>
      <color theme="5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22"/>
      <color theme="5" tint="-0.249977111117893"/>
      <name val="Calibri Light"/>
      <family val="2"/>
      <scheme val="major"/>
    </font>
    <font>
      <sz val="12"/>
      <color theme="1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4" fillId="0" borderId="0" xfId="0" applyFont="1"/>
    <xf numFmtId="0" fontId="0" fillId="2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0" xfId="1" applyFont="1"/>
    <xf numFmtId="0" fontId="7" fillId="0" borderId="3" xfId="0" applyFont="1" applyBorder="1"/>
    <xf numFmtId="0" fontId="7" fillId="0" borderId="0" xfId="0" applyFont="1"/>
    <xf numFmtId="0" fontId="0" fillId="0" borderId="0" xfId="0" applyNumberFormat="1"/>
    <xf numFmtId="1" fontId="0" fillId="0" borderId="0" xfId="0" applyNumberFormat="1"/>
    <xf numFmtId="14" fontId="3" fillId="0" borderId="1" xfId="0" applyNumberFormat="1" applyFont="1" applyBorder="1" applyAlignment="1">
      <alignment horizontal="left" vertical="top" wrapText="1"/>
    </xf>
    <xf numFmtId="164" fontId="0" fillId="0" borderId="0" xfId="0" applyNumberFormat="1"/>
    <xf numFmtId="0" fontId="6" fillId="0" borderId="2" xfId="0" applyFont="1" applyBorder="1" applyAlignment="1">
      <alignment horizontal="center"/>
    </xf>
  </cellXfs>
  <cellStyles count="2">
    <cellStyle name="Normal" xfId="0" builtinId="0"/>
    <cellStyle name="Title" xfId="1" builtinId="15"/>
  </cellStyles>
  <dxfs count="8">
    <dxf>
      <font>
        <b/>
        <i val="0"/>
        <color rgb="FFFF0000"/>
      </font>
    </dxf>
    <dxf>
      <font>
        <color theme="0"/>
      </font>
      <fill>
        <patternFill>
          <bgColor rgb="FFFF0000"/>
        </patternFill>
      </fill>
    </dxf>
    <dxf>
      <numFmt numFmtId="1" formatCode="0"/>
    </dxf>
    <dxf>
      <numFmt numFmtId="0" formatCode="General"/>
    </dxf>
    <dxf>
      <numFmt numFmtId="164" formatCode="mmmm\,\ 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mp Style" pivot="0" count="2" xr9:uid="{63DAAA79-8B39-4315-B597-B2D1B6BE22B8}"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F3313-2443-437C-BFF2-1B7A6F2980CE}" name="Employees" displayName="Employees" ref="A4:H2028" totalsRowShown="0">
  <autoFilter ref="A4:H2028" xr:uid="{F39158CA-19FE-4354-84EE-8B349B8CF5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5:H2028">
    <sortCondition ref="C5:C2028"/>
    <sortCondition ref="B5:B2028"/>
    <sortCondition ref="A5:A2028"/>
  </sortState>
  <tableColumns count="8">
    <tableColumn id="1" xr3:uid="{E7D035B5-B7DB-49C1-924D-E54A4F169AF6}" name="Employee ID"/>
    <tableColumn id="2" xr3:uid="{769D708F-CDA8-4EA3-B959-7574D604FFCF}" name="First"/>
    <tableColumn id="3" xr3:uid="{3F21AA0C-9979-4F90-94E6-BBE6A2CBCF1C}" name="Last"/>
    <tableColumn id="4" xr3:uid="{02A009EE-3490-43D9-9480-03D3B1D947C8}" name="City" dataDxfId="7">
      <calculatedColumnFormula>VLOOKUP(J5,Location[],2,FALSE)</calculatedColumnFormula>
    </tableColumn>
    <tableColumn id="7" xr3:uid="{46DCD37B-84E9-4C7D-96C5-9E4F3E8C6B15}" name="State" dataDxfId="6">
      <calculatedColumnFormula>VLOOKUP(J5,Location[],3,FALSE)</calculatedColumnFormula>
    </tableColumn>
    <tableColumn id="5" xr3:uid="{21648663-98D3-4C28-A3A4-A25541F423EB}" name="Dept" dataDxfId="5">
      <calculatedColumnFormula>VLOOKUP(K5,Dept[],2,FALSE)</calculatedColumnFormula>
    </tableColumn>
    <tableColumn id="8" xr3:uid="{6A9D3C9B-2750-4110-AF09-E83855BEA70C}" name="Starting Month" dataDxfId="4">
      <calculatedColumnFormula>DATE(L5,M5,1)</calculatedColumnFormula>
    </tableColumn>
    <tableColumn id="6" xr3:uid="{DA4F0F06-51EA-4CCE-B628-6495B11C91AF}" name="Status" dataDxfId="3">
      <calculatedColumnFormula>VLOOKUP(N5,Status[],2,FALSE)</calculatedColumnFormula>
    </tableColumn>
  </tableColumns>
  <tableStyleInfo name="Emp Style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AB928E-A2DE-423B-A21A-4A3D19A01225}" name="Location" displayName="Location" ref="A4:C92" totalsRowShown="0">
  <autoFilter ref="A4:C92" xr:uid="{4443699C-9C12-428A-BE20-6FD5637D3C22}"/>
  <tableColumns count="3">
    <tableColumn id="1" xr3:uid="{68F642C7-90B6-4AAD-8833-CDF6AF6F02DC}" name="Location Code"/>
    <tableColumn id="2" xr3:uid="{A67B2EBA-5597-4BA4-9763-BB0E82BBC09C}" name="City"/>
    <tableColumn id="3" xr3:uid="{7656669D-4499-42BD-B9F5-D71735E97227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4D33E5-825C-4097-8E06-02921A7A6992}" name="Dept" displayName="Dept" ref="E4:F17" totalsRowShown="0">
  <autoFilter ref="E4:F17" xr:uid="{FB9CB01E-6591-4243-B9A9-4DA0934DFF89}"/>
  <tableColumns count="2">
    <tableColumn id="1" xr3:uid="{4F2301D7-B0F0-4210-AEE1-9C0A53C35311}" name="Dept Code"/>
    <tableColumn id="2" xr3:uid="{DB0ACA3A-8FAF-4CDE-B80D-E75A9507D6F6}" name="Depart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A6FE1-00D5-464F-9237-CD1CFFB366CB}" name="Status" displayName="Status" ref="H4:I6" totalsRowShown="0">
  <autoFilter ref="H4:I6" xr:uid="{1EE08D03-D728-4D4F-A30B-E45CF310DD75}"/>
  <tableColumns count="2">
    <tableColumn id="1" xr3:uid="{B2E2B1A5-B0C0-4C72-9511-998D8150462B}" name="Status Code" dataDxfId="2"/>
    <tableColumn id="2" xr3:uid="{A332BDA1-C2E1-4CA3-BAB9-9467EF64A24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8F47-47DD-4B66-876A-BC4A53E293BE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42578125" customWidth="1"/>
    <col min="2" max="2" width="31.140625" customWidth="1"/>
  </cols>
  <sheetData>
    <row r="1" spans="1:2" ht="28.5" x14ac:dyDescent="0.45">
      <c r="A1" s="5" t="s">
        <v>0</v>
      </c>
    </row>
    <row r="3" spans="1:2" x14ac:dyDescent="0.25">
      <c r="A3" s="3" t="s">
        <v>2239</v>
      </c>
      <c r="B3" s="4" t="s">
        <v>2243</v>
      </c>
    </row>
    <row r="4" spans="1:2" x14ac:dyDescent="0.25">
      <c r="A4" s="3" t="s">
        <v>2240</v>
      </c>
      <c r="B4" s="10">
        <v>45717</v>
      </c>
    </row>
    <row r="5" spans="1:2" ht="45" x14ac:dyDescent="0.25">
      <c r="A5" s="3" t="s">
        <v>2241</v>
      </c>
      <c r="B5" s="4" t="s">
        <v>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C425-31C8-417B-A129-316E6594B562}">
  <dimension ref="A1:N2028"/>
  <sheetViews>
    <sheetView zoomScale="120" zoomScaleNormal="120" workbookViewId="0">
      <selection activeCell="A3" sqref="A3"/>
    </sheetView>
  </sheetViews>
  <sheetFormatPr defaultRowHeight="15" x14ac:dyDescent="0.25"/>
  <cols>
    <col min="1" max="1" width="23.140625" customWidth="1"/>
    <col min="2" max="2" width="11.42578125" bestFit="1" customWidth="1"/>
    <col min="3" max="3" width="12.42578125" bestFit="1" customWidth="1"/>
    <col min="4" max="4" width="16.42578125" customWidth="1"/>
    <col min="5" max="5" width="19" customWidth="1"/>
    <col min="6" max="8" width="16.42578125" customWidth="1"/>
    <col min="9" max="9" width="3.42578125" customWidth="1"/>
    <col min="10" max="10" width="23.7109375" bestFit="1" customWidth="1"/>
    <col min="11" max="11" width="18.28515625" bestFit="1" customWidth="1"/>
    <col min="12" max="12" width="12.85546875" bestFit="1" customWidth="1"/>
    <col min="13" max="14" width="15.5703125" bestFit="1" customWidth="1"/>
  </cols>
  <sheetData>
    <row r="1" spans="1:14" ht="23.25" x14ac:dyDescent="0.35">
      <c r="A1" s="1" t="s">
        <v>0</v>
      </c>
    </row>
    <row r="2" spans="1:14" ht="15.75" x14ac:dyDescent="0.25">
      <c r="A2" s="2" t="s">
        <v>1</v>
      </c>
    </row>
    <row r="3" spans="1:14" ht="16.5" thickBot="1" x14ac:dyDescent="0.3">
      <c r="J3" s="12" t="s">
        <v>2238</v>
      </c>
      <c r="K3" s="12"/>
      <c r="L3" s="12"/>
      <c r="M3" s="12"/>
      <c r="N3" s="12"/>
    </row>
    <row r="4" spans="1:14" ht="15.75" thickBot="1" x14ac:dyDescent="0.3">
      <c r="A4" t="s">
        <v>2</v>
      </c>
      <c r="B4" t="s">
        <v>3</v>
      </c>
      <c r="C4" t="s">
        <v>4</v>
      </c>
      <c r="D4" t="s">
        <v>2105</v>
      </c>
      <c r="E4" t="s">
        <v>2106</v>
      </c>
      <c r="F4" t="s">
        <v>2103</v>
      </c>
      <c r="G4" t="s">
        <v>2250</v>
      </c>
      <c r="H4" t="s">
        <v>2104</v>
      </c>
      <c r="J4" s="6" t="s">
        <v>2219</v>
      </c>
      <c r="K4" s="6" t="s">
        <v>2233</v>
      </c>
      <c r="L4" s="6" t="s">
        <v>2248</v>
      </c>
      <c r="M4" s="6" t="s">
        <v>2249</v>
      </c>
      <c r="N4" s="6" t="s">
        <v>2235</v>
      </c>
    </row>
    <row r="5" spans="1:14" x14ac:dyDescent="0.25">
      <c r="A5" t="s">
        <v>2251</v>
      </c>
      <c r="B5" t="s">
        <v>1128</v>
      </c>
      <c r="C5" t="s">
        <v>1991</v>
      </c>
      <c r="D5" t="str">
        <f>VLOOKUP(J5,Location[],2,FALSE)</f>
        <v>San Antonio</v>
      </c>
      <c r="E5" t="str">
        <f>VLOOKUP(J5,Location[],3,FALSE)</f>
        <v> Texas</v>
      </c>
      <c r="F5" t="str">
        <f>VLOOKUP(K5,Dept[],2,FALSE)</f>
        <v>Sales</v>
      </c>
      <c r="G5" s="11">
        <f t="shared" ref="G5:G68" si="0">DATE(L5,M5,1)</f>
        <v>44501</v>
      </c>
      <c r="H5" t="str">
        <f>VLOOKUP(N5,Status[],2,FALSE)</f>
        <v>Full-Time</v>
      </c>
      <c r="J5" s="7">
        <v>1007</v>
      </c>
      <c r="K5">
        <v>22</v>
      </c>
      <c r="L5">
        <v>2021</v>
      </c>
      <c r="M5">
        <v>11</v>
      </c>
      <c r="N5">
        <v>1</v>
      </c>
    </row>
    <row r="6" spans="1:14" x14ac:dyDescent="0.25">
      <c r="A6" t="s">
        <v>2252</v>
      </c>
      <c r="B6" t="s">
        <v>1737</v>
      </c>
      <c r="C6" t="s">
        <v>1738</v>
      </c>
      <c r="D6" t="str">
        <f>VLOOKUP(J6,Location[],2,FALSE)</f>
        <v>San Antonio</v>
      </c>
      <c r="E6" t="str">
        <f>VLOOKUP(J6,Location[],3,FALSE)</f>
        <v> Texas</v>
      </c>
      <c r="F6" t="str">
        <f>VLOOKUP(K6,Dept[],2,FALSE)</f>
        <v>Finance</v>
      </c>
      <c r="G6" s="11">
        <f t="shared" si="0"/>
        <v>42005</v>
      </c>
      <c r="H6" t="str">
        <f>VLOOKUP(N6,Status[],2,FALSE)</f>
        <v>Part-Time</v>
      </c>
      <c r="J6" s="7">
        <v>1007</v>
      </c>
      <c r="K6">
        <v>15</v>
      </c>
      <c r="L6">
        <v>2015</v>
      </c>
      <c r="M6">
        <v>1</v>
      </c>
      <c r="N6">
        <v>0</v>
      </c>
    </row>
    <row r="7" spans="1:14" x14ac:dyDescent="0.25">
      <c r="A7" t="s">
        <v>2253</v>
      </c>
      <c r="B7" t="s">
        <v>886</v>
      </c>
      <c r="C7" t="s">
        <v>1865</v>
      </c>
      <c r="D7" t="str">
        <f>VLOOKUP(J7,Location[],2,FALSE)</f>
        <v>Kansas City</v>
      </c>
      <c r="E7" t="str">
        <f>VLOOKUP(J7,Location[],3,FALSE)</f>
        <v> Missouri</v>
      </c>
      <c r="F7" t="str">
        <f>VLOOKUP(K7,Dept[],2,FALSE)</f>
        <v>IT</v>
      </c>
      <c r="G7" s="11">
        <f t="shared" si="0"/>
        <v>43678</v>
      </c>
      <c r="H7" t="str">
        <f>VLOOKUP(N7,Status[],2,FALSE)</f>
        <v>Full-Time</v>
      </c>
      <c r="J7" s="7">
        <v>1037</v>
      </c>
      <c r="K7">
        <v>17</v>
      </c>
      <c r="L7">
        <v>2019</v>
      </c>
      <c r="M7">
        <v>8</v>
      </c>
      <c r="N7">
        <v>1</v>
      </c>
    </row>
    <row r="8" spans="1:14" x14ac:dyDescent="0.25">
      <c r="A8" t="s">
        <v>2254</v>
      </c>
      <c r="B8" t="s">
        <v>797</v>
      </c>
      <c r="C8" t="s">
        <v>798</v>
      </c>
      <c r="D8" t="str">
        <f>VLOOKUP(J8,Location[],2,FALSE)</f>
        <v>Aurora</v>
      </c>
      <c r="E8" t="str">
        <f>VLOOKUP(J8,Location[],3,FALSE)</f>
        <v> Colorado</v>
      </c>
      <c r="F8" t="str">
        <f>VLOOKUP(K8,Dept[],2,FALSE)</f>
        <v>Media</v>
      </c>
      <c r="G8" s="11">
        <f t="shared" si="0"/>
        <v>41183</v>
      </c>
      <c r="H8" t="str">
        <f>VLOOKUP(N8,Status[],2,FALSE)</f>
        <v>Full-Time</v>
      </c>
      <c r="J8" s="7">
        <v>1054</v>
      </c>
      <c r="K8">
        <v>20</v>
      </c>
      <c r="L8">
        <v>2012</v>
      </c>
      <c r="M8">
        <v>10</v>
      </c>
      <c r="N8">
        <v>1</v>
      </c>
    </row>
    <row r="9" spans="1:14" x14ac:dyDescent="0.25">
      <c r="A9" t="s">
        <v>2255</v>
      </c>
      <c r="B9" t="s">
        <v>420</v>
      </c>
      <c r="C9" t="s">
        <v>421</v>
      </c>
      <c r="D9" t="str">
        <f>VLOOKUP(J9,Location[],2,FALSE)</f>
        <v>Orlando</v>
      </c>
      <c r="E9" t="str">
        <f>VLOOKUP(J9,Location[],3,FALSE)</f>
        <v> Florida</v>
      </c>
      <c r="F9" t="str">
        <f>VLOOKUP(K9,Dept[],2,FALSE)</f>
        <v>Assessment</v>
      </c>
      <c r="G9" s="11">
        <f t="shared" si="0"/>
        <v>43647</v>
      </c>
      <c r="H9" t="str">
        <f>VLOOKUP(N9,Status[],2,FALSE)</f>
        <v>Full-Time</v>
      </c>
      <c r="J9" s="7">
        <v>1072</v>
      </c>
      <c r="K9">
        <v>13</v>
      </c>
      <c r="L9">
        <v>2019</v>
      </c>
      <c r="M9">
        <v>7</v>
      </c>
      <c r="N9">
        <v>1</v>
      </c>
    </row>
    <row r="10" spans="1:14" x14ac:dyDescent="0.25">
      <c r="A10" t="s">
        <v>2256</v>
      </c>
      <c r="B10" t="s">
        <v>165</v>
      </c>
      <c r="C10" t="s">
        <v>1574</v>
      </c>
      <c r="D10" t="str">
        <f>VLOOKUP(J10,Location[],2,FALSE)</f>
        <v>Philadelphia</v>
      </c>
      <c r="E10" t="str">
        <f>VLOOKUP(J10,Location[],3,FALSE)</f>
        <v> Pennsylvania</v>
      </c>
      <c r="F10" t="str">
        <f>VLOOKUP(K10,Dept[],2,FALSE)</f>
        <v>Accounting</v>
      </c>
      <c r="G10" s="11">
        <f t="shared" si="0"/>
        <v>44531</v>
      </c>
      <c r="H10" t="str">
        <f>VLOOKUP(N10,Status[],2,FALSE)</f>
        <v>Full-Time</v>
      </c>
      <c r="J10" s="7">
        <v>1006</v>
      </c>
      <c r="K10">
        <v>11</v>
      </c>
      <c r="L10">
        <v>2021</v>
      </c>
      <c r="M10">
        <v>12</v>
      </c>
      <c r="N10">
        <v>1</v>
      </c>
    </row>
    <row r="11" spans="1:14" x14ac:dyDescent="0.25">
      <c r="A11" t="s">
        <v>2257</v>
      </c>
      <c r="B11" t="s">
        <v>15</v>
      </c>
      <c r="C11" t="s">
        <v>979</v>
      </c>
      <c r="D11" t="str">
        <f>VLOOKUP(J11,Location[],2,FALSE)</f>
        <v>Pittsburgh</v>
      </c>
      <c r="E11" t="str">
        <f>VLOOKUP(J11,Location[],3,FALSE)</f>
        <v> Pennsylvania</v>
      </c>
      <c r="F11" t="str">
        <f>VLOOKUP(K11,Dept[],2,FALSE)</f>
        <v>Media</v>
      </c>
      <c r="G11" s="11">
        <f t="shared" si="0"/>
        <v>44958</v>
      </c>
      <c r="H11" t="str">
        <f>VLOOKUP(N11,Status[],2,FALSE)</f>
        <v>Full-Time</v>
      </c>
      <c r="J11" s="7">
        <v>1065</v>
      </c>
      <c r="K11">
        <v>20</v>
      </c>
      <c r="L11">
        <v>2023</v>
      </c>
      <c r="M11">
        <v>2</v>
      </c>
      <c r="N11">
        <v>1</v>
      </c>
    </row>
    <row r="12" spans="1:14" x14ac:dyDescent="0.25">
      <c r="A12" t="s">
        <v>2258</v>
      </c>
      <c r="B12" t="s">
        <v>781</v>
      </c>
      <c r="C12" t="s">
        <v>782</v>
      </c>
      <c r="D12" t="str">
        <f>VLOOKUP(J12,Location[],2,FALSE)</f>
        <v>Madison</v>
      </c>
      <c r="E12" t="str">
        <f>VLOOKUP(J12,Location[],3,FALSE)</f>
        <v> Wisconsin</v>
      </c>
      <c r="F12" t="str">
        <f>VLOOKUP(K12,Dept[],2,FALSE)</f>
        <v>Assessment</v>
      </c>
      <c r="G12" s="11">
        <f t="shared" si="0"/>
        <v>42552</v>
      </c>
      <c r="H12" t="str">
        <f>VLOOKUP(N12,Status[],2,FALSE)</f>
        <v>Full-Time</v>
      </c>
      <c r="J12" s="7">
        <v>1082</v>
      </c>
      <c r="K12">
        <v>13</v>
      </c>
      <c r="L12">
        <v>2016</v>
      </c>
      <c r="M12">
        <v>7</v>
      </c>
      <c r="N12">
        <v>1</v>
      </c>
    </row>
    <row r="13" spans="1:14" x14ac:dyDescent="0.25">
      <c r="A13" t="s">
        <v>2259</v>
      </c>
      <c r="B13" t="s">
        <v>339</v>
      </c>
      <c r="C13" t="s">
        <v>1067</v>
      </c>
      <c r="D13" t="str">
        <f>VLOOKUP(J13,Location[],2,FALSE)</f>
        <v>San Diego</v>
      </c>
      <c r="E13" t="str">
        <f>VLOOKUP(J13,Location[],3,FALSE)</f>
        <v> California</v>
      </c>
      <c r="F13" t="str">
        <f>VLOOKUP(K13,Dept[],2,FALSE)</f>
        <v>Administration</v>
      </c>
      <c r="G13" s="11">
        <f t="shared" si="0"/>
        <v>40725</v>
      </c>
      <c r="H13" t="str">
        <f>VLOOKUP(N13,Status[],2,FALSE)</f>
        <v>Full-Time</v>
      </c>
      <c r="J13" s="7">
        <v>1008</v>
      </c>
      <c r="K13">
        <v>12</v>
      </c>
      <c r="L13">
        <v>2011</v>
      </c>
      <c r="M13">
        <v>7</v>
      </c>
      <c r="N13">
        <v>1</v>
      </c>
    </row>
    <row r="14" spans="1:14" x14ac:dyDescent="0.25">
      <c r="A14" t="s">
        <v>2260</v>
      </c>
      <c r="B14" t="s">
        <v>216</v>
      </c>
      <c r="C14" t="s">
        <v>138</v>
      </c>
      <c r="D14" t="str">
        <f>VLOOKUP(J14,Location[],2,FALSE)</f>
        <v>Fresno</v>
      </c>
      <c r="E14" t="str">
        <f>VLOOKUP(J14,Location[],3,FALSE)</f>
        <v> California</v>
      </c>
      <c r="F14" t="str">
        <f>VLOOKUP(K14,Dept[],2,FALSE)</f>
        <v>Sales</v>
      </c>
      <c r="G14" s="11">
        <f t="shared" si="0"/>
        <v>41244</v>
      </c>
      <c r="H14" t="str">
        <f>VLOOKUP(N14,Status[],2,FALSE)</f>
        <v>Full-Time</v>
      </c>
      <c r="J14" s="7">
        <v>1034</v>
      </c>
      <c r="K14">
        <v>22</v>
      </c>
      <c r="L14">
        <v>2012</v>
      </c>
      <c r="M14">
        <v>12</v>
      </c>
      <c r="N14">
        <v>1</v>
      </c>
    </row>
    <row r="15" spans="1:14" x14ac:dyDescent="0.25">
      <c r="A15" t="s">
        <v>2261</v>
      </c>
      <c r="B15" t="s">
        <v>297</v>
      </c>
      <c r="C15" t="s">
        <v>138</v>
      </c>
      <c r="D15" t="str">
        <f>VLOOKUP(J15,Location[],2,FALSE)</f>
        <v>Los Angeles</v>
      </c>
      <c r="E15" t="str">
        <f>VLOOKUP(J15,Location[],3,FALSE)</f>
        <v> California</v>
      </c>
      <c r="F15" t="str">
        <f>VLOOKUP(K15,Dept[],2,FALSE)</f>
        <v>Legal</v>
      </c>
      <c r="G15" s="11">
        <f t="shared" si="0"/>
        <v>41306</v>
      </c>
      <c r="H15" t="str">
        <f>VLOOKUP(N15,Status[],2,FALSE)</f>
        <v>Full-Time</v>
      </c>
      <c r="J15" s="7">
        <v>1002</v>
      </c>
      <c r="K15">
        <v>18</v>
      </c>
      <c r="L15">
        <v>2013</v>
      </c>
      <c r="M15">
        <v>2</v>
      </c>
      <c r="N15">
        <v>1</v>
      </c>
    </row>
    <row r="16" spans="1:14" x14ac:dyDescent="0.25">
      <c r="A16" t="s">
        <v>2262</v>
      </c>
      <c r="B16" t="s">
        <v>962</v>
      </c>
      <c r="C16" t="s">
        <v>138</v>
      </c>
      <c r="D16" t="str">
        <f>VLOOKUP(J16,Location[],2,FALSE)</f>
        <v>Los Angeles</v>
      </c>
      <c r="E16" t="str">
        <f>VLOOKUP(J16,Location[],3,FALSE)</f>
        <v> California</v>
      </c>
      <c r="F16" t="str">
        <f>VLOOKUP(K16,Dept[],2,FALSE)</f>
        <v>Administration</v>
      </c>
      <c r="G16" s="11">
        <f t="shared" si="0"/>
        <v>42856</v>
      </c>
      <c r="H16" t="str">
        <f>VLOOKUP(N16,Status[],2,FALSE)</f>
        <v>Full-Time</v>
      </c>
      <c r="J16" s="7">
        <v>1002</v>
      </c>
      <c r="K16">
        <v>12</v>
      </c>
      <c r="L16">
        <v>2017</v>
      </c>
      <c r="M16">
        <v>5</v>
      </c>
      <c r="N16">
        <v>1</v>
      </c>
    </row>
    <row r="17" spans="1:14" x14ac:dyDescent="0.25">
      <c r="A17" t="s">
        <v>2263</v>
      </c>
      <c r="B17" t="s">
        <v>250</v>
      </c>
      <c r="C17" t="s">
        <v>138</v>
      </c>
      <c r="D17" t="str">
        <f>VLOOKUP(J17,Location[],2,FALSE)</f>
        <v>Dallas</v>
      </c>
      <c r="E17" t="str">
        <f>VLOOKUP(J17,Location[],3,FALSE)</f>
        <v> Texas</v>
      </c>
      <c r="F17" t="str">
        <f>VLOOKUP(K17,Dept[],2,FALSE)</f>
        <v>Sales</v>
      </c>
      <c r="G17" s="11">
        <f t="shared" si="0"/>
        <v>40634</v>
      </c>
      <c r="H17" t="str">
        <f>VLOOKUP(N17,Status[],2,FALSE)</f>
        <v>Part-Time</v>
      </c>
      <c r="J17" s="7">
        <v>1009</v>
      </c>
      <c r="K17">
        <v>22</v>
      </c>
      <c r="L17">
        <v>2011</v>
      </c>
      <c r="M17">
        <v>4</v>
      </c>
      <c r="N17">
        <v>0</v>
      </c>
    </row>
    <row r="18" spans="1:14" x14ac:dyDescent="0.25">
      <c r="A18" t="s">
        <v>2264</v>
      </c>
      <c r="B18" t="s">
        <v>108</v>
      </c>
      <c r="C18" t="s">
        <v>138</v>
      </c>
      <c r="D18" t="str">
        <f>VLOOKUP(J18,Location[],2,FALSE)</f>
        <v>Columbus</v>
      </c>
      <c r="E18" t="str">
        <f>VLOOKUP(J18,Location[],3,FALSE)</f>
        <v> Ohio</v>
      </c>
      <c r="F18" t="str">
        <f>VLOOKUP(K18,Dept[],2,FALSE)</f>
        <v>Shipping</v>
      </c>
      <c r="G18" s="11">
        <f t="shared" si="0"/>
        <v>45108</v>
      </c>
      <c r="H18" t="str">
        <f>VLOOKUP(N18,Status[],2,FALSE)</f>
        <v>Full-Time</v>
      </c>
      <c r="J18" s="7">
        <v>1014</v>
      </c>
      <c r="K18">
        <v>23</v>
      </c>
      <c r="L18">
        <v>2023</v>
      </c>
      <c r="M18">
        <v>7</v>
      </c>
      <c r="N18">
        <v>1</v>
      </c>
    </row>
    <row r="19" spans="1:14" x14ac:dyDescent="0.25">
      <c r="A19" t="s">
        <v>2265</v>
      </c>
      <c r="B19" t="s">
        <v>716</v>
      </c>
      <c r="C19" t="s">
        <v>138</v>
      </c>
      <c r="D19" t="str">
        <f>VLOOKUP(J19,Location[],2,FALSE)</f>
        <v>Honolulu</v>
      </c>
      <c r="E19" t="str">
        <f>VLOOKUP(J19,Location[],3,FALSE)</f>
        <v> Hawaii</v>
      </c>
      <c r="F19" t="str">
        <f>VLOOKUP(K19,Dept[],2,FALSE)</f>
        <v>Legal</v>
      </c>
      <c r="G19" s="11">
        <f t="shared" si="0"/>
        <v>45078</v>
      </c>
      <c r="H19" t="str">
        <f>VLOOKUP(N19,Status[],2,FALSE)</f>
        <v>Full-Time</v>
      </c>
      <c r="J19" s="7">
        <v>1056</v>
      </c>
      <c r="K19">
        <v>18</v>
      </c>
      <c r="L19">
        <v>2023</v>
      </c>
      <c r="M19">
        <v>6</v>
      </c>
      <c r="N19">
        <v>1</v>
      </c>
    </row>
    <row r="20" spans="1:14" x14ac:dyDescent="0.25">
      <c r="A20" t="s">
        <v>2266</v>
      </c>
      <c r="B20" t="s">
        <v>239</v>
      </c>
      <c r="C20" t="s">
        <v>138</v>
      </c>
      <c r="D20" t="str">
        <f>VLOOKUP(J20,Location[],2,FALSE)</f>
        <v>Lubbock</v>
      </c>
      <c r="E20" t="str">
        <f>VLOOKUP(J20,Location[],3,FALSE)</f>
        <v> Texas</v>
      </c>
      <c r="F20" t="str">
        <f>VLOOKUP(K20,Dept[],2,FALSE)</f>
        <v>Customer Support</v>
      </c>
      <c r="G20" s="11">
        <f t="shared" si="0"/>
        <v>41944</v>
      </c>
      <c r="H20" t="str">
        <f>VLOOKUP(N20,Status[],2,FALSE)</f>
        <v>Full-Time</v>
      </c>
      <c r="J20" s="7">
        <v>1083</v>
      </c>
      <c r="K20">
        <v>14</v>
      </c>
      <c r="L20">
        <v>2014</v>
      </c>
      <c r="M20">
        <v>11</v>
      </c>
      <c r="N20">
        <v>1</v>
      </c>
    </row>
    <row r="21" spans="1:14" x14ac:dyDescent="0.25">
      <c r="A21" t="s">
        <v>2267</v>
      </c>
      <c r="B21" t="s">
        <v>137</v>
      </c>
      <c r="C21" t="s">
        <v>138</v>
      </c>
      <c r="D21" t="str">
        <f>VLOOKUP(J21,Location[],2,FALSE)</f>
        <v>Buffalo</v>
      </c>
      <c r="E21" t="str">
        <f>VLOOKUP(J21,Location[],3,FALSE)</f>
        <v> New York</v>
      </c>
      <c r="F21" t="str">
        <f>VLOOKUP(K21,Dept[],2,FALSE)</f>
        <v>Media</v>
      </c>
      <c r="G21" s="11">
        <f t="shared" si="0"/>
        <v>44287</v>
      </c>
      <c r="H21" t="str">
        <f>VLOOKUP(N21,Status[],2,FALSE)</f>
        <v>Full-Time</v>
      </c>
      <c r="J21" s="7">
        <v>1081</v>
      </c>
      <c r="K21">
        <v>20</v>
      </c>
      <c r="L21">
        <v>2021</v>
      </c>
      <c r="M21">
        <v>4</v>
      </c>
      <c r="N21">
        <v>1</v>
      </c>
    </row>
    <row r="22" spans="1:14" x14ac:dyDescent="0.25">
      <c r="A22" t="s">
        <v>2268</v>
      </c>
      <c r="B22" t="s">
        <v>89</v>
      </c>
      <c r="C22" t="s">
        <v>138</v>
      </c>
      <c r="D22" t="str">
        <f>VLOOKUP(J22,Location[],2,FALSE)</f>
        <v>Detroit</v>
      </c>
      <c r="E22" t="str">
        <f>VLOOKUP(J22,Location[],3,FALSE)</f>
        <v> Michigan</v>
      </c>
      <c r="F22" t="str">
        <f>VLOOKUP(K22,Dept[],2,FALSE)</f>
        <v>Sales</v>
      </c>
      <c r="G22" s="11">
        <f t="shared" si="0"/>
        <v>40603</v>
      </c>
      <c r="H22" t="str">
        <f>VLOOKUP(N22,Status[],2,FALSE)</f>
        <v>Full-Time</v>
      </c>
      <c r="J22" s="7">
        <v>1023</v>
      </c>
      <c r="K22">
        <v>22</v>
      </c>
      <c r="L22">
        <v>2011</v>
      </c>
      <c r="M22">
        <v>3</v>
      </c>
      <c r="N22">
        <v>1</v>
      </c>
    </row>
    <row r="23" spans="1:14" x14ac:dyDescent="0.25">
      <c r="A23" t="s">
        <v>2269</v>
      </c>
      <c r="B23" t="s">
        <v>1164</v>
      </c>
      <c r="C23" t="s">
        <v>1165</v>
      </c>
      <c r="D23" t="str">
        <f>VLOOKUP(J23,Location[],2,FALSE)</f>
        <v>Durham</v>
      </c>
      <c r="E23" t="str">
        <f>VLOOKUP(J23,Location[],3,FALSE)</f>
        <v> North Carolina</v>
      </c>
      <c r="F23" t="str">
        <f>VLOOKUP(K23,Dept[],2,FALSE)</f>
        <v>Legal</v>
      </c>
      <c r="G23" s="11">
        <f t="shared" si="0"/>
        <v>43344</v>
      </c>
      <c r="H23" t="str">
        <f>VLOOKUP(N23,Status[],2,FALSE)</f>
        <v>Full-Time</v>
      </c>
      <c r="J23" s="7">
        <v>1077</v>
      </c>
      <c r="K23">
        <v>18</v>
      </c>
      <c r="L23">
        <v>2018</v>
      </c>
      <c r="M23">
        <v>9</v>
      </c>
      <c r="N23">
        <v>1</v>
      </c>
    </row>
    <row r="24" spans="1:14" x14ac:dyDescent="0.25">
      <c r="A24" t="s">
        <v>2270</v>
      </c>
      <c r="B24" t="s">
        <v>51</v>
      </c>
      <c r="C24" t="s">
        <v>758</v>
      </c>
      <c r="D24" t="str">
        <f>VLOOKUP(J24,Location[],2,FALSE)</f>
        <v>New York City</v>
      </c>
      <c r="E24" t="str">
        <f>VLOOKUP(J24,Location[],3,FALSE)</f>
        <v> New York</v>
      </c>
      <c r="F24" t="str">
        <f>VLOOKUP(K24,Dept[],2,FALSE)</f>
        <v>Accounting</v>
      </c>
      <c r="G24" s="11">
        <f t="shared" si="0"/>
        <v>40725</v>
      </c>
      <c r="H24" t="str">
        <f>VLOOKUP(N24,Status[],2,FALSE)</f>
        <v>Full-Time</v>
      </c>
      <c r="J24" s="7">
        <v>1001</v>
      </c>
      <c r="K24">
        <v>11</v>
      </c>
      <c r="L24">
        <v>2011</v>
      </c>
      <c r="M24">
        <v>7</v>
      </c>
      <c r="N24">
        <v>1</v>
      </c>
    </row>
    <row r="25" spans="1:14" x14ac:dyDescent="0.25">
      <c r="A25" t="s">
        <v>2271</v>
      </c>
      <c r="B25" t="s">
        <v>1160</v>
      </c>
      <c r="C25" t="s">
        <v>1161</v>
      </c>
      <c r="D25" t="str">
        <f>VLOOKUP(J25,Location[],2,FALSE)</f>
        <v>Lexington</v>
      </c>
      <c r="E25" t="str">
        <f>VLOOKUP(J25,Location[],3,FALSE)</f>
        <v> Kentucky</v>
      </c>
      <c r="F25" t="str">
        <f>VLOOKUP(K25,Dept[],2,FALSE)</f>
        <v>Administration</v>
      </c>
      <c r="G25" s="11">
        <f t="shared" si="0"/>
        <v>42491</v>
      </c>
      <c r="H25" t="str">
        <f>VLOOKUP(N25,Status[],2,FALSE)</f>
        <v>Full-Time</v>
      </c>
      <c r="J25" s="7">
        <v>1060</v>
      </c>
      <c r="K25">
        <v>12</v>
      </c>
      <c r="L25">
        <v>2016</v>
      </c>
      <c r="M25">
        <v>5</v>
      </c>
      <c r="N25">
        <v>1</v>
      </c>
    </row>
    <row r="26" spans="1:14" x14ac:dyDescent="0.25">
      <c r="A26" t="s">
        <v>2272</v>
      </c>
      <c r="B26" t="s">
        <v>261</v>
      </c>
      <c r="C26" t="s">
        <v>1762</v>
      </c>
      <c r="D26" t="str">
        <f>VLOOKUP(J26,Location[],2,FALSE)</f>
        <v>San Jose</v>
      </c>
      <c r="E26" t="str">
        <f>VLOOKUP(J26,Location[],3,FALSE)</f>
        <v> California</v>
      </c>
      <c r="F26" t="str">
        <f>VLOOKUP(K26,Dept[],2,FALSE)</f>
        <v>Administration</v>
      </c>
      <c r="G26" s="11">
        <f t="shared" si="0"/>
        <v>40848</v>
      </c>
      <c r="H26" t="str">
        <f>VLOOKUP(N26,Status[],2,FALSE)</f>
        <v>Part-Time</v>
      </c>
      <c r="J26" s="7">
        <v>1010</v>
      </c>
      <c r="K26">
        <v>12</v>
      </c>
      <c r="L26">
        <v>2011</v>
      </c>
      <c r="M26">
        <v>11</v>
      </c>
      <c r="N26">
        <v>0</v>
      </c>
    </row>
    <row r="27" spans="1:14" x14ac:dyDescent="0.25">
      <c r="A27" t="s">
        <v>2273</v>
      </c>
      <c r="B27" t="s">
        <v>593</v>
      </c>
      <c r="C27" t="s">
        <v>2075</v>
      </c>
      <c r="D27" t="str">
        <f>VLOOKUP(J27,Location[],2,FALSE)</f>
        <v>Sacramento</v>
      </c>
      <c r="E27" t="str">
        <f>VLOOKUP(J27,Location[],3,FALSE)</f>
        <v> California</v>
      </c>
      <c r="F27" t="str">
        <f>VLOOKUP(K27,Dept[],2,FALSE)</f>
        <v>Administration</v>
      </c>
      <c r="G27" s="11">
        <f t="shared" si="0"/>
        <v>41275</v>
      </c>
      <c r="H27" t="str">
        <f>VLOOKUP(N27,Status[],2,FALSE)</f>
        <v>Full-Time</v>
      </c>
      <c r="J27" s="7">
        <v>1035</v>
      </c>
      <c r="K27">
        <v>12</v>
      </c>
      <c r="L27">
        <v>2013</v>
      </c>
      <c r="M27">
        <v>1</v>
      </c>
      <c r="N27">
        <v>1</v>
      </c>
    </row>
    <row r="28" spans="1:14" x14ac:dyDescent="0.25">
      <c r="A28" t="s">
        <v>2274</v>
      </c>
      <c r="B28" t="s">
        <v>2096</v>
      </c>
      <c r="C28" t="s">
        <v>2097</v>
      </c>
      <c r="D28" t="str">
        <f>VLOOKUP(J28,Location[],2,FALSE)</f>
        <v>San Diego</v>
      </c>
      <c r="E28" t="str">
        <f>VLOOKUP(J28,Location[],3,FALSE)</f>
        <v> California</v>
      </c>
      <c r="F28" t="str">
        <f>VLOOKUP(K28,Dept[],2,FALSE)</f>
        <v>Human Resources</v>
      </c>
      <c r="G28" s="11">
        <f t="shared" si="0"/>
        <v>41821</v>
      </c>
      <c r="H28" t="str">
        <f>VLOOKUP(N28,Status[],2,FALSE)</f>
        <v>Full-Time</v>
      </c>
      <c r="J28" s="7">
        <v>1008</v>
      </c>
      <c r="K28">
        <v>16</v>
      </c>
      <c r="L28">
        <v>2014</v>
      </c>
      <c r="M28">
        <v>7</v>
      </c>
      <c r="N28">
        <v>1</v>
      </c>
    </row>
    <row r="29" spans="1:14" x14ac:dyDescent="0.25">
      <c r="A29" t="s">
        <v>2275</v>
      </c>
      <c r="B29" t="s">
        <v>339</v>
      </c>
      <c r="C29" t="s">
        <v>1106</v>
      </c>
      <c r="D29" t="str">
        <f>VLOOKUP(J29,Location[],2,FALSE)</f>
        <v>Tulsa</v>
      </c>
      <c r="E29" t="str">
        <f>VLOOKUP(J29,Location[],3,FALSE)</f>
        <v> Oklahoma</v>
      </c>
      <c r="F29" t="str">
        <f>VLOOKUP(K29,Dept[],2,FALSE)</f>
        <v>Sales</v>
      </c>
      <c r="G29" s="11">
        <f t="shared" si="0"/>
        <v>43770</v>
      </c>
      <c r="H29" t="str">
        <f>VLOOKUP(N29,Status[],2,FALSE)</f>
        <v>Full-Time</v>
      </c>
      <c r="J29" s="7">
        <v>1047</v>
      </c>
      <c r="K29">
        <v>22</v>
      </c>
      <c r="L29">
        <v>2019</v>
      </c>
      <c r="M29">
        <v>11</v>
      </c>
      <c r="N29">
        <v>1</v>
      </c>
    </row>
    <row r="30" spans="1:14" x14ac:dyDescent="0.25">
      <c r="A30" t="s">
        <v>2276</v>
      </c>
      <c r="B30" t="s">
        <v>253</v>
      </c>
      <c r="C30" t="s">
        <v>1995</v>
      </c>
      <c r="D30" t="str">
        <f>VLOOKUP(J30,Location[],2,FALSE)</f>
        <v>New York City</v>
      </c>
      <c r="E30" t="str">
        <f>VLOOKUP(J30,Location[],3,FALSE)</f>
        <v> New York</v>
      </c>
      <c r="F30" t="str">
        <f>VLOOKUP(K30,Dept[],2,FALSE)</f>
        <v>Legal</v>
      </c>
      <c r="G30" s="11">
        <f t="shared" si="0"/>
        <v>42491</v>
      </c>
      <c r="H30" t="str">
        <f>VLOOKUP(N30,Status[],2,FALSE)</f>
        <v>Full-Time</v>
      </c>
      <c r="J30" s="7">
        <v>1001</v>
      </c>
      <c r="K30">
        <v>18</v>
      </c>
      <c r="L30">
        <v>2016</v>
      </c>
      <c r="M30">
        <v>5</v>
      </c>
      <c r="N30">
        <v>1</v>
      </c>
    </row>
    <row r="31" spans="1:14" x14ac:dyDescent="0.25">
      <c r="A31" t="s">
        <v>2277</v>
      </c>
      <c r="B31" t="s">
        <v>1900</v>
      </c>
      <c r="C31" t="s">
        <v>1901</v>
      </c>
      <c r="D31" t="str">
        <f>VLOOKUP(J31,Location[],2,FALSE)</f>
        <v>Jacksonville</v>
      </c>
      <c r="E31" t="str">
        <f>VLOOKUP(J31,Location[],3,FALSE)</f>
        <v> Florida</v>
      </c>
      <c r="F31" t="str">
        <f>VLOOKUP(K31,Dept[],2,FALSE)</f>
        <v>Sales</v>
      </c>
      <c r="G31" s="11">
        <f t="shared" si="0"/>
        <v>44470</v>
      </c>
      <c r="H31" t="str">
        <f>VLOOKUP(N31,Status[],2,FALSE)</f>
        <v>Full-Time</v>
      </c>
      <c r="J31" s="7">
        <v>1012</v>
      </c>
      <c r="K31">
        <v>22</v>
      </c>
      <c r="L31">
        <v>2021</v>
      </c>
      <c r="M31">
        <v>10</v>
      </c>
      <c r="N31">
        <v>1</v>
      </c>
    </row>
    <row r="32" spans="1:14" x14ac:dyDescent="0.25">
      <c r="A32" t="s">
        <v>2278</v>
      </c>
      <c r="B32" t="s">
        <v>878</v>
      </c>
      <c r="C32" t="s">
        <v>724</v>
      </c>
      <c r="D32" t="str">
        <f>VLOOKUP(J32,Location[],2,FALSE)</f>
        <v>Los Angeles</v>
      </c>
      <c r="E32" t="str">
        <f>VLOOKUP(J32,Location[],3,FALSE)</f>
        <v> California</v>
      </c>
      <c r="F32" t="str">
        <f>VLOOKUP(K32,Dept[],2,FALSE)</f>
        <v>Human Resources</v>
      </c>
      <c r="G32" s="11">
        <f t="shared" si="0"/>
        <v>44256</v>
      </c>
      <c r="H32" t="str">
        <f>VLOOKUP(N32,Status[],2,FALSE)</f>
        <v>Part-Time</v>
      </c>
      <c r="J32" s="7">
        <v>1002</v>
      </c>
      <c r="K32">
        <v>16</v>
      </c>
      <c r="L32">
        <v>2021</v>
      </c>
      <c r="M32">
        <v>3</v>
      </c>
      <c r="N32">
        <v>0</v>
      </c>
    </row>
    <row r="33" spans="1:14" x14ac:dyDescent="0.25">
      <c r="A33" t="s">
        <v>2279</v>
      </c>
      <c r="B33" t="s">
        <v>1855</v>
      </c>
      <c r="C33" t="s">
        <v>724</v>
      </c>
      <c r="D33" t="str">
        <f>VLOOKUP(J33,Location[],2,FALSE)</f>
        <v>New York City</v>
      </c>
      <c r="E33" t="str">
        <f>VLOOKUP(J33,Location[],3,FALSE)</f>
        <v> New York</v>
      </c>
      <c r="F33" t="str">
        <f>VLOOKUP(K33,Dept[],2,FALSE)</f>
        <v>Marketing</v>
      </c>
      <c r="G33" s="11">
        <f t="shared" si="0"/>
        <v>44927</v>
      </c>
      <c r="H33" t="str">
        <f>VLOOKUP(N33,Status[],2,FALSE)</f>
        <v>Part-Time</v>
      </c>
      <c r="J33" s="7">
        <v>1001</v>
      </c>
      <c r="K33">
        <v>19</v>
      </c>
      <c r="L33">
        <v>2023</v>
      </c>
      <c r="M33">
        <v>1</v>
      </c>
      <c r="N33">
        <v>0</v>
      </c>
    </row>
    <row r="34" spans="1:14" x14ac:dyDescent="0.25">
      <c r="A34" t="s">
        <v>2280</v>
      </c>
      <c r="B34" t="s">
        <v>103</v>
      </c>
      <c r="C34" t="s">
        <v>724</v>
      </c>
      <c r="D34" t="str">
        <f>VLOOKUP(J34,Location[],2,FALSE)</f>
        <v>Plano</v>
      </c>
      <c r="E34" t="str">
        <f>VLOOKUP(J34,Location[],3,FALSE)</f>
        <v> Texas</v>
      </c>
      <c r="F34" t="str">
        <f>VLOOKUP(K34,Dept[],2,FALSE)</f>
        <v>Finance</v>
      </c>
      <c r="G34" s="11">
        <f t="shared" si="0"/>
        <v>43709</v>
      </c>
      <c r="H34" t="str">
        <f>VLOOKUP(N34,Status[],2,FALSE)</f>
        <v>Full-Time</v>
      </c>
      <c r="J34" s="7">
        <v>1069</v>
      </c>
      <c r="K34">
        <v>15</v>
      </c>
      <c r="L34">
        <v>2019</v>
      </c>
      <c r="M34">
        <v>9</v>
      </c>
      <c r="N34">
        <v>1</v>
      </c>
    </row>
    <row r="35" spans="1:14" x14ac:dyDescent="0.25">
      <c r="A35" t="s">
        <v>2281</v>
      </c>
      <c r="B35" t="s">
        <v>996</v>
      </c>
      <c r="C35" t="s">
        <v>724</v>
      </c>
      <c r="D35" t="str">
        <f>VLOOKUP(J35,Location[],2,FALSE)</f>
        <v>Chicago</v>
      </c>
      <c r="E35" t="str">
        <f>VLOOKUP(J35,Location[],3,FALSE)</f>
        <v> Illinois</v>
      </c>
      <c r="F35" t="str">
        <f>VLOOKUP(K35,Dept[],2,FALSE)</f>
        <v>Sales</v>
      </c>
      <c r="G35" s="11">
        <f t="shared" si="0"/>
        <v>42767</v>
      </c>
      <c r="H35" t="str">
        <f>VLOOKUP(N35,Status[],2,FALSE)</f>
        <v>Full-Time</v>
      </c>
      <c r="J35" s="7">
        <v>1003</v>
      </c>
      <c r="K35">
        <v>22</v>
      </c>
      <c r="L35">
        <v>2017</v>
      </c>
      <c r="M35">
        <v>2</v>
      </c>
      <c r="N35">
        <v>1</v>
      </c>
    </row>
    <row r="36" spans="1:14" x14ac:dyDescent="0.25">
      <c r="A36" t="s">
        <v>2282</v>
      </c>
      <c r="B36" t="s">
        <v>1289</v>
      </c>
      <c r="C36" t="s">
        <v>1290</v>
      </c>
      <c r="D36" t="str">
        <f>VLOOKUP(J36,Location[],2,FALSE)</f>
        <v>Austin</v>
      </c>
      <c r="E36" t="str">
        <f>VLOOKUP(J36,Location[],3,FALSE)</f>
        <v> Texas</v>
      </c>
      <c r="F36" t="str">
        <f>VLOOKUP(K36,Dept[],2,FALSE)</f>
        <v>Administration</v>
      </c>
      <c r="G36" s="11">
        <f t="shared" si="0"/>
        <v>40848</v>
      </c>
      <c r="H36" t="str">
        <f>VLOOKUP(N36,Status[],2,FALSE)</f>
        <v>Full-Time</v>
      </c>
      <c r="J36" s="7">
        <v>1011</v>
      </c>
      <c r="K36">
        <v>12</v>
      </c>
      <c r="L36">
        <v>2011</v>
      </c>
      <c r="M36">
        <v>11</v>
      </c>
      <c r="N36">
        <v>1</v>
      </c>
    </row>
    <row r="37" spans="1:14" x14ac:dyDescent="0.25">
      <c r="A37" t="s">
        <v>2283</v>
      </c>
      <c r="B37" t="s">
        <v>734</v>
      </c>
      <c r="C37" t="s">
        <v>1298</v>
      </c>
      <c r="D37" t="str">
        <f>VLOOKUP(J37,Location[],2,FALSE)</f>
        <v>Austin</v>
      </c>
      <c r="E37" t="str">
        <f>VLOOKUP(J37,Location[],3,FALSE)</f>
        <v> Texas</v>
      </c>
      <c r="F37" t="str">
        <f>VLOOKUP(K37,Dept[],2,FALSE)</f>
        <v>Administration</v>
      </c>
      <c r="G37" s="11">
        <f t="shared" si="0"/>
        <v>41699</v>
      </c>
      <c r="H37" t="str">
        <f>VLOOKUP(N37,Status[],2,FALSE)</f>
        <v>Full-Time</v>
      </c>
      <c r="J37" s="7">
        <v>1011</v>
      </c>
      <c r="K37">
        <v>12</v>
      </c>
      <c r="L37">
        <v>2014</v>
      </c>
      <c r="M37">
        <v>3</v>
      </c>
      <c r="N37">
        <v>1</v>
      </c>
    </row>
    <row r="38" spans="1:14" x14ac:dyDescent="0.25">
      <c r="A38" t="s">
        <v>2284</v>
      </c>
      <c r="B38" t="s">
        <v>981</v>
      </c>
      <c r="C38" t="s">
        <v>982</v>
      </c>
      <c r="D38" t="str">
        <f>VLOOKUP(J38,Location[],2,FALSE)</f>
        <v>Lincoln</v>
      </c>
      <c r="E38" t="str">
        <f>VLOOKUP(J38,Location[],3,FALSE)</f>
        <v> Nebraska</v>
      </c>
      <c r="F38" t="str">
        <f>VLOOKUP(K38,Dept[],2,FALSE)</f>
        <v>Assessment</v>
      </c>
      <c r="G38" s="11">
        <f t="shared" si="0"/>
        <v>44958</v>
      </c>
      <c r="H38" t="str">
        <f>VLOOKUP(N38,Status[],2,FALSE)</f>
        <v>Full-Time</v>
      </c>
      <c r="J38" s="7">
        <v>1071</v>
      </c>
      <c r="K38">
        <v>13</v>
      </c>
      <c r="L38">
        <v>2023</v>
      </c>
      <c r="M38">
        <v>2</v>
      </c>
      <c r="N38">
        <v>1</v>
      </c>
    </row>
    <row r="39" spans="1:14" x14ac:dyDescent="0.25">
      <c r="A39" t="s">
        <v>2285</v>
      </c>
      <c r="B39" t="s">
        <v>1186</v>
      </c>
      <c r="C39" t="s">
        <v>982</v>
      </c>
      <c r="D39" t="str">
        <f>VLOOKUP(J39,Location[],2,FALSE)</f>
        <v>Jersey City</v>
      </c>
      <c r="E39" t="str">
        <f>VLOOKUP(J39,Location[],3,FALSE)</f>
        <v> New Jersey</v>
      </c>
      <c r="F39" t="str">
        <f>VLOOKUP(K39,Dept[],2,FALSE)</f>
        <v>Sales</v>
      </c>
      <c r="G39" s="11">
        <f t="shared" si="0"/>
        <v>44682</v>
      </c>
      <c r="H39" t="str">
        <f>VLOOKUP(N39,Status[],2,FALSE)</f>
        <v>Full-Time</v>
      </c>
      <c r="J39" s="7">
        <v>1075</v>
      </c>
      <c r="K39">
        <v>22</v>
      </c>
      <c r="L39">
        <v>2022</v>
      </c>
      <c r="M39">
        <v>5</v>
      </c>
      <c r="N39">
        <v>1</v>
      </c>
    </row>
    <row r="40" spans="1:14" x14ac:dyDescent="0.25">
      <c r="A40" t="s">
        <v>2286</v>
      </c>
      <c r="B40" t="s">
        <v>19</v>
      </c>
      <c r="C40" t="s">
        <v>333</v>
      </c>
      <c r="D40" t="str">
        <f>VLOOKUP(J40,Location[],2,FALSE)</f>
        <v>Omaha</v>
      </c>
      <c r="E40" t="str">
        <f>VLOOKUP(J40,Location[],3,FALSE)</f>
        <v> Nebraska</v>
      </c>
      <c r="F40" t="str">
        <f>VLOOKUP(K40,Dept[],2,FALSE)</f>
        <v>Legal</v>
      </c>
      <c r="G40" s="11">
        <f t="shared" si="0"/>
        <v>40817</v>
      </c>
      <c r="H40" t="str">
        <f>VLOOKUP(N40,Status[],2,FALSE)</f>
        <v>Full-Time</v>
      </c>
      <c r="J40" s="7">
        <v>1040</v>
      </c>
      <c r="K40">
        <v>18</v>
      </c>
      <c r="L40">
        <v>2011</v>
      </c>
      <c r="M40">
        <v>10</v>
      </c>
      <c r="N40">
        <v>1</v>
      </c>
    </row>
    <row r="41" spans="1:14" x14ac:dyDescent="0.25">
      <c r="A41" t="s">
        <v>2287</v>
      </c>
      <c r="B41" t="s">
        <v>379</v>
      </c>
      <c r="C41" t="s">
        <v>1147</v>
      </c>
      <c r="D41" t="str">
        <f>VLOOKUP(J41,Location[],2,FALSE)</f>
        <v>San Diego</v>
      </c>
      <c r="E41" t="str">
        <f>VLOOKUP(J41,Location[],3,FALSE)</f>
        <v> California</v>
      </c>
      <c r="F41" t="str">
        <f>VLOOKUP(K41,Dept[],2,FALSE)</f>
        <v>Customer Support</v>
      </c>
      <c r="G41" s="11">
        <f t="shared" si="0"/>
        <v>44652</v>
      </c>
      <c r="H41" t="str">
        <f>VLOOKUP(N41,Status[],2,FALSE)</f>
        <v>Full-Time</v>
      </c>
      <c r="J41" s="7">
        <v>1008</v>
      </c>
      <c r="K41">
        <v>14</v>
      </c>
      <c r="L41">
        <v>2022</v>
      </c>
      <c r="M41">
        <v>4</v>
      </c>
      <c r="N41">
        <v>1</v>
      </c>
    </row>
    <row r="42" spans="1:14" x14ac:dyDescent="0.25">
      <c r="A42" t="s">
        <v>2288</v>
      </c>
      <c r="B42" t="s">
        <v>181</v>
      </c>
      <c r="C42" t="s">
        <v>251</v>
      </c>
      <c r="D42" t="str">
        <f>VLOOKUP(J42,Location[],2,FALSE)</f>
        <v>Chula Vista</v>
      </c>
      <c r="E42" t="str">
        <f>VLOOKUP(J42,Location[],3,FALSE)</f>
        <v> California</v>
      </c>
      <c r="F42" t="str">
        <f>VLOOKUP(K42,Dept[],2,FALSE)</f>
        <v>Finance</v>
      </c>
      <c r="G42" s="11">
        <f t="shared" si="0"/>
        <v>44440</v>
      </c>
      <c r="H42" t="str">
        <f>VLOOKUP(N42,Status[],2,FALSE)</f>
        <v>Full-Time</v>
      </c>
      <c r="J42" s="7">
        <v>1076</v>
      </c>
      <c r="K42">
        <v>15</v>
      </c>
      <c r="L42">
        <v>2021</v>
      </c>
      <c r="M42">
        <v>9</v>
      </c>
      <c r="N42">
        <v>1</v>
      </c>
    </row>
    <row r="43" spans="1:14" x14ac:dyDescent="0.25">
      <c r="A43" t="s">
        <v>2289</v>
      </c>
      <c r="B43" t="s">
        <v>539</v>
      </c>
      <c r="C43" t="s">
        <v>251</v>
      </c>
      <c r="D43" t="str">
        <f>VLOOKUP(J43,Location[],2,FALSE)</f>
        <v>Los Angeles</v>
      </c>
      <c r="E43" t="str">
        <f>VLOOKUP(J43,Location[],3,FALSE)</f>
        <v> California</v>
      </c>
      <c r="F43" t="str">
        <f>VLOOKUP(K43,Dept[],2,FALSE)</f>
        <v>Sales</v>
      </c>
      <c r="G43" s="11">
        <f t="shared" si="0"/>
        <v>41852</v>
      </c>
      <c r="H43" t="str">
        <f>VLOOKUP(N43,Status[],2,FALSE)</f>
        <v>Full-Time</v>
      </c>
      <c r="J43" s="7">
        <v>1002</v>
      </c>
      <c r="K43">
        <v>22</v>
      </c>
      <c r="L43">
        <v>2014</v>
      </c>
      <c r="M43">
        <v>8</v>
      </c>
      <c r="N43">
        <v>1</v>
      </c>
    </row>
    <row r="44" spans="1:14" x14ac:dyDescent="0.25">
      <c r="A44" t="s">
        <v>2290</v>
      </c>
      <c r="B44" t="s">
        <v>1035</v>
      </c>
      <c r="C44" t="s">
        <v>251</v>
      </c>
      <c r="D44" t="str">
        <f>VLOOKUP(J44,Location[],2,FALSE)</f>
        <v>Houston</v>
      </c>
      <c r="E44" t="str">
        <f>VLOOKUP(J44,Location[],3,FALSE)</f>
        <v> Texas</v>
      </c>
      <c r="F44" t="str">
        <f>VLOOKUP(K44,Dept[],2,FALSE)</f>
        <v>Human Resources</v>
      </c>
      <c r="G44" s="11">
        <f t="shared" si="0"/>
        <v>43435</v>
      </c>
      <c r="H44" t="str">
        <f>VLOOKUP(N44,Status[],2,FALSE)</f>
        <v>Full-Time</v>
      </c>
      <c r="J44" s="7">
        <v>1004</v>
      </c>
      <c r="K44">
        <v>16</v>
      </c>
      <c r="L44">
        <v>2018</v>
      </c>
      <c r="M44">
        <v>12</v>
      </c>
      <c r="N44">
        <v>1</v>
      </c>
    </row>
    <row r="45" spans="1:14" x14ac:dyDescent="0.25">
      <c r="A45" t="s">
        <v>2291</v>
      </c>
      <c r="B45" t="s">
        <v>296</v>
      </c>
      <c r="C45" t="s">
        <v>251</v>
      </c>
      <c r="D45" t="str">
        <f>VLOOKUP(J45,Location[],2,FALSE)</f>
        <v>Henderson</v>
      </c>
      <c r="E45" t="str">
        <f>VLOOKUP(J45,Location[],3,FALSE)</f>
        <v> Nevada</v>
      </c>
      <c r="F45" t="str">
        <f>VLOOKUP(K45,Dept[],2,FALSE)</f>
        <v>Customer Support</v>
      </c>
      <c r="G45" s="11">
        <f t="shared" si="0"/>
        <v>41579</v>
      </c>
      <c r="H45" t="str">
        <f>VLOOKUP(N45,Status[],2,FALSE)</f>
        <v>Full-Time</v>
      </c>
      <c r="J45" s="7">
        <v>1064</v>
      </c>
      <c r="K45">
        <v>14</v>
      </c>
      <c r="L45">
        <v>2013</v>
      </c>
      <c r="M45">
        <v>11</v>
      </c>
      <c r="N45">
        <v>1</v>
      </c>
    </row>
    <row r="46" spans="1:14" x14ac:dyDescent="0.25">
      <c r="A46" t="s">
        <v>2292</v>
      </c>
      <c r="B46" t="s">
        <v>2073</v>
      </c>
      <c r="C46" t="s">
        <v>251</v>
      </c>
      <c r="D46" t="str">
        <f>VLOOKUP(J46,Location[],2,FALSE)</f>
        <v>Houston</v>
      </c>
      <c r="E46" t="str">
        <f>VLOOKUP(J46,Location[],3,FALSE)</f>
        <v> Texas</v>
      </c>
      <c r="F46" t="str">
        <f>VLOOKUP(K46,Dept[],2,FALSE)</f>
        <v>Customer Support</v>
      </c>
      <c r="G46" s="11">
        <f t="shared" si="0"/>
        <v>43831</v>
      </c>
      <c r="H46" t="str">
        <f>VLOOKUP(N46,Status[],2,FALSE)</f>
        <v>Part-Time</v>
      </c>
      <c r="J46" s="7">
        <v>1004</v>
      </c>
      <c r="K46">
        <v>14</v>
      </c>
      <c r="L46">
        <v>2020</v>
      </c>
      <c r="M46">
        <v>1</v>
      </c>
      <c r="N46">
        <v>0</v>
      </c>
    </row>
    <row r="47" spans="1:14" x14ac:dyDescent="0.25">
      <c r="A47" t="s">
        <v>2293</v>
      </c>
      <c r="B47" t="s">
        <v>284</v>
      </c>
      <c r="C47" t="s">
        <v>251</v>
      </c>
      <c r="D47" t="str">
        <f>VLOOKUP(J47,Location[],2,FALSE)</f>
        <v>Atlanta</v>
      </c>
      <c r="E47" t="str">
        <f>VLOOKUP(J47,Location[],3,FALSE)</f>
        <v> Georgia</v>
      </c>
      <c r="F47" t="str">
        <f>VLOOKUP(K47,Dept[],2,FALSE)</f>
        <v>Administration</v>
      </c>
      <c r="G47" s="11">
        <f t="shared" si="0"/>
        <v>41518</v>
      </c>
      <c r="H47" t="str">
        <f>VLOOKUP(N47,Status[],2,FALSE)</f>
        <v>Full-Time</v>
      </c>
      <c r="J47" s="7">
        <v>1038</v>
      </c>
      <c r="K47">
        <v>12</v>
      </c>
      <c r="L47">
        <v>2013</v>
      </c>
      <c r="M47">
        <v>9</v>
      </c>
      <c r="N47">
        <v>1</v>
      </c>
    </row>
    <row r="48" spans="1:14" x14ac:dyDescent="0.25">
      <c r="A48" t="s">
        <v>2294</v>
      </c>
      <c r="B48" t="s">
        <v>507</v>
      </c>
      <c r="C48" t="s">
        <v>251</v>
      </c>
      <c r="D48" t="str">
        <f>VLOOKUP(J48,Location[],2,FALSE)</f>
        <v>Minneapolis</v>
      </c>
      <c r="E48" t="str">
        <f>VLOOKUP(J48,Location[],3,FALSE)</f>
        <v> Minnesota</v>
      </c>
      <c r="F48" t="str">
        <f>VLOOKUP(K48,Dept[],2,FALSE)</f>
        <v>Marketing</v>
      </c>
      <c r="G48" s="11">
        <f t="shared" si="0"/>
        <v>42064</v>
      </c>
      <c r="H48" t="str">
        <f>VLOOKUP(N48,Status[],2,FALSE)</f>
        <v>Full-Time</v>
      </c>
      <c r="J48" s="7">
        <v>1046</v>
      </c>
      <c r="K48">
        <v>19</v>
      </c>
      <c r="L48">
        <v>2015</v>
      </c>
      <c r="M48">
        <v>3</v>
      </c>
      <c r="N48">
        <v>1</v>
      </c>
    </row>
    <row r="49" spans="1:14" x14ac:dyDescent="0.25">
      <c r="A49" t="s">
        <v>2295</v>
      </c>
      <c r="B49" t="s">
        <v>455</v>
      </c>
      <c r="C49" t="s">
        <v>251</v>
      </c>
      <c r="D49" t="str">
        <f>VLOOKUP(J49,Location[],2,FALSE)</f>
        <v>Honolulu</v>
      </c>
      <c r="E49" t="str">
        <f>VLOOKUP(J49,Location[],3,FALSE)</f>
        <v> Hawaii</v>
      </c>
      <c r="F49" t="str">
        <f>VLOOKUP(K49,Dept[],2,FALSE)</f>
        <v>Administration</v>
      </c>
      <c r="G49" s="11">
        <f t="shared" si="0"/>
        <v>45139</v>
      </c>
      <c r="H49" t="str">
        <f>VLOOKUP(N49,Status[],2,FALSE)</f>
        <v>Full-Time</v>
      </c>
      <c r="J49" s="7">
        <v>1056</v>
      </c>
      <c r="K49">
        <v>12</v>
      </c>
      <c r="L49">
        <v>2023</v>
      </c>
      <c r="M49">
        <v>8</v>
      </c>
      <c r="N49">
        <v>1</v>
      </c>
    </row>
    <row r="50" spans="1:14" x14ac:dyDescent="0.25">
      <c r="A50" t="s">
        <v>2296</v>
      </c>
      <c r="B50" t="s">
        <v>250</v>
      </c>
      <c r="C50" t="s">
        <v>251</v>
      </c>
      <c r="D50" t="str">
        <f>VLOOKUP(J50,Location[],2,FALSE)</f>
        <v>Los Angeles</v>
      </c>
      <c r="E50" t="str">
        <f>VLOOKUP(J50,Location[],3,FALSE)</f>
        <v> California</v>
      </c>
      <c r="F50" t="str">
        <f>VLOOKUP(K50,Dept[],2,FALSE)</f>
        <v>Media</v>
      </c>
      <c r="G50" s="11">
        <f t="shared" si="0"/>
        <v>43586</v>
      </c>
      <c r="H50" t="str">
        <f>VLOOKUP(N50,Status[],2,FALSE)</f>
        <v>Part-Time</v>
      </c>
      <c r="J50" s="7">
        <v>1002</v>
      </c>
      <c r="K50">
        <v>20</v>
      </c>
      <c r="L50">
        <v>2019</v>
      </c>
      <c r="M50">
        <v>5</v>
      </c>
      <c r="N50">
        <v>0</v>
      </c>
    </row>
    <row r="51" spans="1:14" x14ac:dyDescent="0.25">
      <c r="A51" t="s">
        <v>2297</v>
      </c>
      <c r="B51" t="s">
        <v>411</v>
      </c>
      <c r="C51" t="s">
        <v>251</v>
      </c>
      <c r="D51" t="str">
        <f>VLOOKUP(J51,Location[],2,FALSE)</f>
        <v>Philadelphia</v>
      </c>
      <c r="E51" t="str">
        <f>VLOOKUP(J51,Location[],3,FALSE)</f>
        <v> Pennsylvania</v>
      </c>
      <c r="F51" t="str">
        <f>VLOOKUP(K51,Dept[],2,FALSE)</f>
        <v>Assessment</v>
      </c>
      <c r="G51" s="11">
        <f t="shared" si="0"/>
        <v>45139</v>
      </c>
      <c r="H51" t="str">
        <f>VLOOKUP(N51,Status[],2,FALSE)</f>
        <v>Part-Time</v>
      </c>
      <c r="J51" s="7">
        <v>1006</v>
      </c>
      <c r="K51">
        <v>13</v>
      </c>
      <c r="L51">
        <v>2023</v>
      </c>
      <c r="M51">
        <v>8</v>
      </c>
      <c r="N51">
        <v>0</v>
      </c>
    </row>
    <row r="52" spans="1:14" x14ac:dyDescent="0.25">
      <c r="A52" t="s">
        <v>2298</v>
      </c>
      <c r="B52" t="s">
        <v>83</v>
      </c>
      <c r="C52" t="s">
        <v>251</v>
      </c>
      <c r="D52" t="str">
        <f>VLOOKUP(J52,Location[],2,FALSE)</f>
        <v>San Francisco</v>
      </c>
      <c r="E52" t="str">
        <f>VLOOKUP(J52,Location[],3,FALSE)</f>
        <v> California</v>
      </c>
      <c r="F52" t="str">
        <f>VLOOKUP(K52,Dept[],2,FALSE)</f>
        <v>Administration</v>
      </c>
      <c r="G52" s="11">
        <f t="shared" si="0"/>
        <v>43952</v>
      </c>
      <c r="H52" t="str">
        <f>VLOOKUP(N52,Status[],2,FALSE)</f>
        <v>Part-Time</v>
      </c>
      <c r="J52" s="7">
        <v>1013</v>
      </c>
      <c r="K52">
        <v>12</v>
      </c>
      <c r="L52">
        <v>2020</v>
      </c>
      <c r="M52">
        <v>5</v>
      </c>
      <c r="N52">
        <v>0</v>
      </c>
    </row>
    <row r="53" spans="1:14" x14ac:dyDescent="0.25">
      <c r="A53" t="s">
        <v>2299</v>
      </c>
      <c r="B53" t="s">
        <v>1410</v>
      </c>
      <c r="C53" t="s">
        <v>1411</v>
      </c>
      <c r="D53" t="str">
        <f>VLOOKUP(J53,Location[],2,FALSE)</f>
        <v>New York City</v>
      </c>
      <c r="E53" t="str">
        <f>VLOOKUP(J53,Location[],3,FALSE)</f>
        <v> New York</v>
      </c>
      <c r="F53" t="str">
        <f>VLOOKUP(K53,Dept[],2,FALSE)</f>
        <v>R&amp;D</v>
      </c>
      <c r="G53" s="11">
        <f t="shared" si="0"/>
        <v>41579</v>
      </c>
      <c r="H53" t="str">
        <f>VLOOKUP(N53,Status[],2,FALSE)</f>
        <v>Part-Time</v>
      </c>
      <c r="J53" s="7">
        <v>1001</v>
      </c>
      <c r="K53">
        <v>21</v>
      </c>
      <c r="L53">
        <v>2013</v>
      </c>
      <c r="M53">
        <v>11</v>
      </c>
      <c r="N53">
        <v>0</v>
      </c>
    </row>
    <row r="54" spans="1:14" x14ac:dyDescent="0.25">
      <c r="A54" t="s">
        <v>2300</v>
      </c>
      <c r="B54" t="s">
        <v>826</v>
      </c>
      <c r="C54" t="s">
        <v>827</v>
      </c>
      <c r="D54" t="str">
        <f>VLOOKUP(J54,Location[],2,FALSE)</f>
        <v>New York City</v>
      </c>
      <c r="E54" t="str">
        <f>VLOOKUP(J54,Location[],3,FALSE)</f>
        <v> New York</v>
      </c>
      <c r="F54" t="str">
        <f>VLOOKUP(K54,Dept[],2,FALSE)</f>
        <v>Customer Support</v>
      </c>
      <c r="G54" s="11">
        <f t="shared" si="0"/>
        <v>43344</v>
      </c>
      <c r="H54" t="str">
        <f>VLOOKUP(N54,Status[],2,FALSE)</f>
        <v>Full-Time</v>
      </c>
      <c r="J54" s="7">
        <v>1001</v>
      </c>
      <c r="K54">
        <v>14</v>
      </c>
      <c r="L54">
        <v>2018</v>
      </c>
      <c r="M54">
        <v>9</v>
      </c>
      <c r="N54">
        <v>1</v>
      </c>
    </row>
    <row r="55" spans="1:14" x14ac:dyDescent="0.25">
      <c r="A55" t="s">
        <v>2301</v>
      </c>
      <c r="B55" t="s">
        <v>1145</v>
      </c>
      <c r="C55" t="s">
        <v>1583</v>
      </c>
      <c r="D55" t="str">
        <f>VLOOKUP(J55,Location[],2,FALSE)</f>
        <v>Austin</v>
      </c>
      <c r="E55" t="str">
        <f>VLOOKUP(J55,Location[],3,FALSE)</f>
        <v> Texas</v>
      </c>
      <c r="F55" t="str">
        <f>VLOOKUP(K55,Dept[],2,FALSE)</f>
        <v>Accounting</v>
      </c>
      <c r="G55" s="11">
        <f t="shared" si="0"/>
        <v>40575</v>
      </c>
      <c r="H55" t="str">
        <f>VLOOKUP(N55,Status[],2,FALSE)</f>
        <v>Full-Time</v>
      </c>
      <c r="J55" s="7">
        <v>1011</v>
      </c>
      <c r="K55">
        <v>11</v>
      </c>
      <c r="L55">
        <v>2011</v>
      </c>
      <c r="M55">
        <v>2</v>
      </c>
      <c r="N55">
        <v>1</v>
      </c>
    </row>
    <row r="56" spans="1:14" x14ac:dyDescent="0.25">
      <c r="A56" t="s">
        <v>2302</v>
      </c>
      <c r="B56" t="s">
        <v>248</v>
      </c>
      <c r="C56" t="s">
        <v>1351</v>
      </c>
      <c r="D56" t="str">
        <f>VLOOKUP(J56,Location[],2,FALSE)</f>
        <v>Lincoln</v>
      </c>
      <c r="E56" t="str">
        <f>VLOOKUP(J56,Location[],3,FALSE)</f>
        <v> Nebraska</v>
      </c>
      <c r="F56" t="str">
        <f>VLOOKUP(K56,Dept[],2,FALSE)</f>
        <v>Marketing</v>
      </c>
      <c r="G56" s="11">
        <f t="shared" si="0"/>
        <v>41640</v>
      </c>
      <c r="H56" t="str">
        <f>VLOOKUP(N56,Status[],2,FALSE)</f>
        <v>Full-Time</v>
      </c>
      <c r="J56" s="7">
        <v>1071</v>
      </c>
      <c r="K56">
        <v>19</v>
      </c>
      <c r="L56">
        <v>2014</v>
      </c>
      <c r="M56">
        <v>1</v>
      </c>
      <c r="N56">
        <v>1</v>
      </c>
    </row>
    <row r="57" spans="1:14" x14ac:dyDescent="0.25">
      <c r="A57" t="s">
        <v>2303</v>
      </c>
      <c r="B57" t="s">
        <v>7</v>
      </c>
      <c r="C57" t="s">
        <v>399</v>
      </c>
      <c r="D57" t="str">
        <f>VLOOKUP(J57,Location[],2,FALSE)</f>
        <v>St. Louis</v>
      </c>
      <c r="E57" t="str">
        <f>VLOOKUP(J57,Location[],3,FALSE)</f>
        <v> Missouri</v>
      </c>
      <c r="F57" t="str">
        <f>VLOOKUP(K57,Dept[],2,FALSE)</f>
        <v>Administration</v>
      </c>
      <c r="G57" s="11">
        <f t="shared" si="0"/>
        <v>40603</v>
      </c>
      <c r="H57" t="str">
        <f>VLOOKUP(N57,Status[],2,FALSE)</f>
        <v>Full-Time</v>
      </c>
      <c r="J57" s="7">
        <v>1062</v>
      </c>
      <c r="K57">
        <v>12</v>
      </c>
      <c r="L57">
        <v>2011</v>
      </c>
      <c r="M57">
        <v>3</v>
      </c>
      <c r="N57">
        <v>1</v>
      </c>
    </row>
    <row r="58" spans="1:14" x14ac:dyDescent="0.25">
      <c r="A58" t="s">
        <v>2304</v>
      </c>
      <c r="B58" t="s">
        <v>398</v>
      </c>
      <c r="C58" t="s">
        <v>399</v>
      </c>
      <c r="D58" t="str">
        <f>VLOOKUP(J58,Location[],2,FALSE)</f>
        <v>Minneapolis</v>
      </c>
      <c r="E58" t="str">
        <f>VLOOKUP(J58,Location[],3,FALSE)</f>
        <v> Minnesota</v>
      </c>
      <c r="F58" t="str">
        <f>VLOOKUP(K58,Dept[],2,FALSE)</f>
        <v>Legal</v>
      </c>
      <c r="G58" s="11">
        <f t="shared" si="0"/>
        <v>44105</v>
      </c>
      <c r="H58" t="str">
        <f>VLOOKUP(N58,Status[],2,FALSE)</f>
        <v>Full-Time</v>
      </c>
      <c r="J58" s="7">
        <v>1046</v>
      </c>
      <c r="K58">
        <v>18</v>
      </c>
      <c r="L58">
        <v>2020</v>
      </c>
      <c r="M58">
        <v>10</v>
      </c>
      <c r="N58">
        <v>1</v>
      </c>
    </row>
    <row r="59" spans="1:14" x14ac:dyDescent="0.25">
      <c r="A59" t="s">
        <v>2305</v>
      </c>
      <c r="B59" t="s">
        <v>574</v>
      </c>
      <c r="C59" t="s">
        <v>778</v>
      </c>
      <c r="D59" t="str">
        <f>VLOOKUP(J59,Location[],2,FALSE)</f>
        <v>Newark</v>
      </c>
      <c r="E59" t="str">
        <f>VLOOKUP(J59,Location[],3,FALSE)</f>
        <v> New Jersey</v>
      </c>
      <c r="F59" t="str">
        <f>VLOOKUP(K59,Dept[],2,FALSE)</f>
        <v>Customer Support</v>
      </c>
      <c r="G59" s="11">
        <f t="shared" si="0"/>
        <v>41791</v>
      </c>
      <c r="H59" t="str">
        <f>VLOOKUP(N59,Status[],2,FALSE)</f>
        <v>Full-Time</v>
      </c>
      <c r="J59" s="7">
        <v>1070</v>
      </c>
      <c r="K59">
        <v>14</v>
      </c>
      <c r="L59">
        <v>2014</v>
      </c>
      <c r="M59">
        <v>6</v>
      </c>
      <c r="N59">
        <v>1</v>
      </c>
    </row>
    <row r="60" spans="1:14" x14ac:dyDescent="0.25">
      <c r="A60" t="s">
        <v>2306</v>
      </c>
      <c r="B60" t="s">
        <v>373</v>
      </c>
      <c r="C60" t="s">
        <v>374</v>
      </c>
      <c r="D60" t="str">
        <f>VLOOKUP(J60,Location[],2,FALSE)</f>
        <v>Dallas</v>
      </c>
      <c r="E60" t="str">
        <f>VLOOKUP(J60,Location[],3,FALSE)</f>
        <v> Texas</v>
      </c>
      <c r="F60" t="str">
        <f>VLOOKUP(K60,Dept[],2,FALSE)</f>
        <v>Marketing</v>
      </c>
      <c r="G60" s="11">
        <f t="shared" si="0"/>
        <v>44531</v>
      </c>
      <c r="H60" t="str">
        <f>VLOOKUP(N60,Status[],2,FALSE)</f>
        <v>Full-Time</v>
      </c>
      <c r="J60" s="7">
        <v>1009</v>
      </c>
      <c r="K60">
        <v>19</v>
      </c>
      <c r="L60">
        <v>2021</v>
      </c>
      <c r="M60">
        <v>12</v>
      </c>
      <c r="N60">
        <v>1</v>
      </c>
    </row>
    <row r="61" spans="1:14" x14ac:dyDescent="0.25">
      <c r="A61" t="s">
        <v>2307</v>
      </c>
      <c r="B61" t="s">
        <v>1567</v>
      </c>
      <c r="C61" t="s">
        <v>2072</v>
      </c>
      <c r="D61" t="str">
        <f>VLOOKUP(J61,Location[],2,FALSE)</f>
        <v>Jacksonville</v>
      </c>
      <c r="E61" t="str">
        <f>VLOOKUP(J61,Location[],3,FALSE)</f>
        <v> Florida</v>
      </c>
      <c r="F61" t="str">
        <f>VLOOKUP(K61,Dept[],2,FALSE)</f>
        <v>Administration</v>
      </c>
      <c r="G61" s="11">
        <f t="shared" si="0"/>
        <v>44440</v>
      </c>
      <c r="H61" t="str">
        <f>VLOOKUP(N61,Status[],2,FALSE)</f>
        <v>Full-Time</v>
      </c>
      <c r="J61" s="7">
        <v>1012</v>
      </c>
      <c r="K61">
        <v>12</v>
      </c>
      <c r="L61">
        <v>2021</v>
      </c>
      <c r="M61">
        <v>9</v>
      </c>
      <c r="N61">
        <v>1</v>
      </c>
    </row>
    <row r="62" spans="1:14" x14ac:dyDescent="0.25">
      <c r="A62" t="s">
        <v>2308</v>
      </c>
      <c r="B62" t="s">
        <v>1086</v>
      </c>
      <c r="C62" t="s">
        <v>1087</v>
      </c>
      <c r="D62" t="str">
        <f>VLOOKUP(J62,Location[],2,FALSE)</f>
        <v>Houston</v>
      </c>
      <c r="E62" t="str">
        <f>VLOOKUP(J62,Location[],3,FALSE)</f>
        <v> Texas</v>
      </c>
      <c r="F62" t="str">
        <f>VLOOKUP(K62,Dept[],2,FALSE)</f>
        <v>Legal</v>
      </c>
      <c r="G62" s="11">
        <f t="shared" si="0"/>
        <v>41334</v>
      </c>
      <c r="H62" t="str">
        <f>VLOOKUP(N62,Status[],2,FALSE)</f>
        <v>Full-Time</v>
      </c>
      <c r="J62" s="7">
        <v>1004</v>
      </c>
      <c r="K62">
        <v>18</v>
      </c>
      <c r="L62">
        <v>2013</v>
      </c>
      <c r="M62">
        <v>3</v>
      </c>
      <c r="N62">
        <v>1</v>
      </c>
    </row>
    <row r="63" spans="1:14" x14ac:dyDescent="0.25">
      <c r="A63" t="s">
        <v>2309</v>
      </c>
      <c r="B63" t="s">
        <v>239</v>
      </c>
      <c r="C63" t="s">
        <v>820</v>
      </c>
      <c r="D63" t="str">
        <f>VLOOKUP(J63,Location[],2,FALSE)</f>
        <v>Arlington</v>
      </c>
      <c r="E63" t="str">
        <f>VLOOKUP(J63,Location[],3,FALSE)</f>
        <v> Texas</v>
      </c>
      <c r="F63" t="str">
        <f>VLOOKUP(K63,Dept[],2,FALSE)</f>
        <v>Assessment</v>
      </c>
      <c r="G63" s="11">
        <f t="shared" si="0"/>
        <v>42767</v>
      </c>
      <c r="H63" t="str">
        <f>VLOOKUP(N63,Status[],2,FALSE)</f>
        <v>Full-Time</v>
      </c>
      <c r="J63" s="7">
        <v>1048</v>
      </c>
      <c r="K63">
        <v>13</v>
      </c>
      <c r="L63">
        <v>2017</v>
      </c>
      <c r="M63">
        <v>2</v>
      </c>
      <c r="N63">
        <v>1</v>
      </c>
    </row>
    <row r="64" spans="1:14" x14ac:dyDescent="0.25">
      <c r="A64" t="s">
        <v>2310</v>
      </c>
      <c r="B64" t="s">
        <v>541</v>
      </c>
      <c r="C64" t="s">
        <v>820</v>
      </c>
      <c r="D64" t="str">
        <f>VLOOKUP(J64,Location[],2,FALSE)</f>
        <v>Memphis</v>
      </c>
      <c r="E64" t="str">
        <f>VLOOKUP(J64,Location[],3,FALSE)</f>
        <v> Tennessee</v>
      </c>
      <c r="F64" t="str">
        <f>VLOOKUP(K64,Dept[],2,FALSE)</f>
        <v>Media</v>
      </c>
      <c r="G64" s="11">
        <f t="shared" si="0"/>
        <v>44593</v>
      </c>
      <c r="H64" t="str">
        <f>VLOOKUP(N64,Status[],2,FALSE)</f>
        <v>Full-Time</v>
      </c>
      <c r="J64" s="7">
        <v>1025</v>
      </c>
      <c r="K64">
        <v>20</v>
      </c>
      <c r="L64">
        <v>2022</v>
      </c>
      <c r="M64">
        <v>2</v>
      </c>
      <c r="N64">
        <v>1</v>
      </c>
    </row>
    <row r="65" spans="1:14" x14ac:dyDescent="0.25">
      <c r="A65" t="s">
        <v>2311</v>
      </c>
      <c r="B65" t="s">
        <v>494</v>
      </c>
      <c r="C65" t="s">
        <v>2027</v>
      </c>
      <c r="D65" t="str">
        <f>VLOOKUP(J65,Location[],2,FALSE)</f>
        <v>New York City</v>
      </c>
      <c r="E65" t="str">
        <f>VLOOKUP(J65,Location[],3,FALSE)</f>
        <v> New York</v>
      </c>
      <c r="F65" t="str">
        <f>VLOOKUP(K65,Dept[],2,FALSE)</f>
        <v>Sales</v>
      </c>
      <c r="G65" s="11">
        <f t="shared" si="0"/>
        <v>42370</v>
      </c>
      <c r="H65" t="str">
        <f>VLOOKUP(N65,Status[],2,FALSE)</f>
        <v>Full-Time</v>
      </c>
      <c r="J65" s="7">
        <v>1001</v>
      </c>
      <c r="K65">
        <v>22</v>
      </c>
      <c r="L65">
        <v>2016</v>
      </c>
      <c r="M65">
        <v>1</v>
      </c>
      <c r="N65">
        <v>1</v>
      </c>
    </row>
    <row r="66" spans="1:14" x14ac:dyDescent="0.25">
      <c r="A66" t="s">
        <v>2312</v>
      </c>
      <c r="B66" t="s">
        <v>551</v>
      </c>
      <c r="C66" t="s">
        <v>1133</v>
      </c>
      <c r="D66" t="str">
        <f>VLOOKUP(J66,Location[],2,FALSE)</f>
        <v>San Diego</v>
      </c>
      <c r="E66" t="str">
        <f>VLOOKUP(J66,Location[],3,FALSE)</f>
        <v> California</v>
      </c>
      <c r="F66" t="str">
        <f>VLOOKUP(K66,Dept[],2,FALSE)</f>
        <v>Assessment</v>
      </c>
      <c r="G66" s="11">
        <f t="shared" si="0"/>
        <v>40848</v>
      </c>
      <c r="H66" t="str">
        <f>VLOOKUP(N66,Status[],2,FALSE)</f>
        <v>Full-Time</v>
      </c>
      <c r="J66" s="7">
        <v>1008</v>
      </c>
      <c r="K66">
        <v>13</v>
      </c>
      <c r="L66">
        <v>2011</v>
      </c>
      <c r="M66">
        <v>11</v>
      </c>
      <c r="N66">
        <v>1</v>
      </c>
    </row>
    <row r="67" spans="1:14" x14ac:dyDescent="0.25">
      <c r="A67" t="s">
        <v>2313</v>
      </c>
      <c r="B67" t="s">
        <v>71</v>
      </c>
      <c r="C67" t="s">
        <v>2061</v>
      </c>
      <c r="D67" t="str">
        <f>VLOOKUP(J67,Location[],2,FALSE)</f>
        <v>San Francisco</v>
      </c>
      <c r="E67" t="str">
        <f>VLOOKUP(J67,Location[],3,FALSE)</f>
        <v> California</v>
      </c>
      <c r="F67" t="str">
        <f>VLOOKUP(K67,Dept[],2,FALSE)</f>
        <v>Assessment</v>
      </c>
      <c r="G67" s="11">
        <f t="shared" si="0"/>
        <v>43952</v>
      </c>
      <c r="H67" t="str">
        <f>VLOOKUP(N67,Status[],2,FALSE)</f>
        <v>Full-Time</v>
      </c>
      <c r="J67" s="7">
        <v>1013</v>
      </c>
      <c r="K67">
        <v>13</v>
      </c>
      <c r="L67">
        <v>2020</v>
      </c>
      <c r="M67">
        <v>5</v>
      </c>
      <c r="N67">
        <v>1</v>
      </c>
    </row>
    <row r="68" spans="1:14" x14ac:dyDescent="0.25">
      <c r="A68" t="s">
        <v>2314</v>
      </c>
      <c r="B68" t="s">
        <v>1032</v>
      </c>
      <c r="C68" t="s">
        <v>1033</v>
      </c>
      <c r="D68" t="str">
        <f>VLOOKUP(J68,Location[],2,FALSE)</f>
        <v>San Antonio</v>
      </c>
      <c r="E68" t="str">
        <f>VLOOKUP(J68,Location[],3,FALSE)</f>
        <v> Texas</v>
      </c>
      <c r="F68" t="str">
        <f>VLOOKUP(K68,Dept[],2,FALSE)</f>
        <v>Sales</v>
      </c>
      <c r="G68" s="11">
        <f t="shared" si="0"/>
        <v>42948</v>
      </c>
      <c r="H68" t="str">
        <f>VLOOKUP(N68,Status[],2,FALSE)</f>
        <v>Full-Time</v>
      </c>
      <c r="J68" s="7">
        <v>1007</v>
      </c>
      <c r="K68">
        <v>22</v>
      </c>
      <c r="L68">
        <v>2017</v>
      </c>
      <c r="M68">
        <v>8</v>
      </c>
      <c r="N68">
        <v>1</v>
      </c>
    </row>
    <row r="69" spans="1:14" x14ac:dyDescent="0.25">
      <c r="A69" t="s">
        <v>2315</v>
      </c>
      <c r="B69" t="s">
        <v>246</v>
      </c>
      <c r="C69" t="s">
        <v>1033</v>
      </c>
      <c r="D69" t="str">
        <f>VLOOKUP(J69,Location[],2,FALSE)</f>
        <v>Albuquerque</v>
      </c>
      <c r="E69" t="str">
        <f>VLOOKUP(J69,Location[],3,FALSE)</f>
        <v> New Mexico</v>
      </c>
      <c r="F69" t="str">
        <f>VLOOKUP(K69,Dept[],2,FALSE)</f>
        <v>Accounting</v>
      </c>
      <c r="G69" s="11">
        <f t="shared" ref="G69:G132" si="1">DATE(L69,M69,1)</f>
        <v>42370</v>
      </c>
      <c r="H69" t="str">
        <f>VLOOKUP(N69,Status[],2,FALSE)</f>
        <v>Full-Time</v>
      </c>
      <c r="J69" s="7">
        <v>1032</v>
      </c>
      <c r="K69">
        <v>11</v>
      </c>
      <c r="L69">
        <v>2016</v>
      </c>
      <c r="M69">
        <v>1</v>
      </c>
      <c r="N69">
        <v>1</v>
      </c>
    </row>
    <row r="70" spans="1:14" x14ac:dyDescent="0.25">
      <c r="A70" t="s">
        <v>2316</v>
      </c>
      <c r="B70" t="s">
        <v>47</v>
      </c>
      <c r="C70" t="s">
        <v>1642</v>
      </c>
      <c r="D70" t="str">
        <f>VLOOKUP(J70,Location[],2,FALSE)</f>
        <v>El Paso</v>
      </c>
      <c r="E70" t="str">
        <f>VLOOKUP(J70,Location[],3,FALSE)</f>
        <v> Texas</v>
      </c>
      <c r="F70" t="str">
        <f>VLOOKUP(K70,Dept[],2,FALSE)</f>
        <v>Assessment</v>
      </c>
      <c r="G70" s="11">
        <f t="shared" si="1"/>
        <v>44621</v>
      </c>
      <c r="H70" t="str">
        <f>VLOOKUP(N70,Status[],2,FALSE)</f>
        <v>Full-Time</v>
      </c>
      <c r="J70" s="7">
        <v>1022</v>
      </c>
      <c r="K70">
        <v>13</v>
      </c>
      <c r="L70">
        <v>2022</v>
      </c>
      <c r="M70">
        <v>3</v>
      </c>
      <c r="N70">
        <v>1</v>
      </c>
    </row>
    <row r="71" spans="1:14" x14ac:dyDescent="0.25">
      <c r="A71" t="s">
        <v>2317</v>
      </c>
      <c r="B71" t="s">
        <v>59</v>
      </c>
      <c r="C71" t="s">
        <v>294</v>
      </c>
      <c r="D71" t="str">
        <f>VLOOKUP(J71,Location[],2,FALSE)</f>
        <v>St. Petersburg</v>
      </c>
      <c r="E71" t="str">
        <f>VLOOKUP(J71,Location[],3,FALSE)</f>
        <v> Florida</v>
      </c>
      <c r="F71" t="str">
        <f>VLOOKUP(K71,Dept[],2,FALSE)</f>
        <v>Administration</v>
      </c>
      <c r="G71" s="11">
        <f t="shared" si="1"/>
        <v>44287</v>
      </c>
      <c r="H71" t="str">
        <f>VLOOKUP(N71,Status[],2,FALSE)</f>
        <v>Full-Time</v>
      </c>
      <c r="J71" s="7">
        <v>1079</v>
      </c>
      <c r="K71">
        <v>12</v>
      </c>
      <c r="L71">
        <v>2021</v>
      </c>
      <c r="M71">
        <v>4</v>
      </c>
      <c r="N71">
        <v>1</v>
      </c>
    </row>
    <row r="72" spans="1:14" x14ac:dyDescent="0.25">
      <c r="A72" t="s">
        <v>2318</v>
      </c>
      <c r="B72" t="s">
        <v>367</v>
      </c>
      <c r="C72" t="s">
        <v>294</v>
      </c>
      <c r="D72" t="str">
        <f>VLOOKUP(J72,Location[],2,FALSE)</f>
        <v>Greensboro</v>
      </c>
      <c r="E72" t="str">
        <f>VLOOKUP(J72,Location[],3,FALSE)</f>
        <v> North Carolina</v>
      </c>
      <c r="F72" t="str">
        <f>VLOOKUP(K72,Dept[],2,FALSE)</f>
        <v>Marketing</v>
      </c>
      <c r="G72" s="11">
        <f t="shared" si="1"/>
        <v>40969</v>
      </c>
      <c r="H72" t="str">
        <f>VLOOKUP(N72,Status[],2,FALSE)</f>
        <v>Full-Time</v>
      </c>
      <c r="J72" s="7">
        <v>1068</v>
      </c>
      <c r="K72">
        <v>19</v>
      </c>
      <c r="L72">
        <v>2012</v>
      </c>
      <c r="M72">
        <v>3</v>
      </c>
      <c r="N72">
        <v>1</v>
      </c>
    </row>
    <row r="73" spans="1:14" x14ac:dyDescent="0.25">
      <c r="A73" t="s">
        <v>2319</v>
      </c>
      <c r="B73" t="s">
        <v>1975</v>
      </c>
      <c r="C73" t="s">
        <v>294</v>
      </c>
      <c r="D73" t="str">
        <f>VLOOKUP(J73,Location[],2,FALSE)</f>
        <v>Phoenix</v>
      </c>
      <c r="E73" t="str">
        <f>VLOOKUP(J73,Location[],3,FALSE)</f>
        <v> Arizona</v>
      </c>
      <c r="F73" t="str">
        <f>VLOOKUP(K73,Dept[],2,FALSE)</f>
        <v>Legal</v>
      </c>
      <c r="G73" s="11">
        <f t="shared" si="1"/>
        <v>41395</v>
      </c>
      <c r="H73" t="str">
        <f>VLOOKUP(N73,Status[],2,FALSE)</f>
        <v>Full-Time</v>
      </c>
      <c r="J73" s="7">
        <v>1005</v>
      </c>
      <c r="K73">
        <v>18</v>
      </c>
      <c r="L73">
        <v>2013</v>
      </c>
      <c r="M73">
        <v>5</v>
      </c>
      <c r="N73">
        <v>1</v>
      </c>
    </row>
    <row r="74" spans="1:14" x14ac:dyDescent="0.25">
      <c r="A74" t="s">
        <v>2320</v>
      </c>
      <c r="B74" t="s">
        <v>378</v>
      </c>
      <c r="C74" t="s">
        <v>294</v>
      </c>
      <c r="D74" t="str">
        <f>VLOOKUP(J74,Location[],2,FALSE)</f>
        <v>San Francisco</v>
      </c>
      <c r="E74" t="str">
        <f>VLOOKUP(J74,Location[],3,FALSE)</f>
        <v> California</v>
      </c>
      <c r="F74" t="str">
        <f>VLOOKUP(K74,Dept[],2,FALSE)</f>
        <v>Assessment</v>
      </c>
      <c r="G74" s="11">
        <f t="shared" si="1"/>
        <v>40969</v>
      </c>
      <c r="H74" t="str">
        <f>VLOOKUP(N74,Status[],2,FALSE)</f>
        <v>Full-Time</v>
      </c>
      <c r="J74" s="7">
        <v>1013</v>
      </c>
      <c r="K74">
        <v>13</v>
      </c>
      <c r="L74">
        <v>2012</v>
      </c>
      <c r="M74">
        <v>3</v>
      </c>
      <c r="N74">
        <v>1</v>
      </c>
    </row>
    <row r="75" spans="1:14" x14ac:dyDescent="0.25">
      <c r="A75" t="s">
        <v>2321</v>
      </c>
      <c r="B75" t="s">
        <v>47</v>
      </c>
      <c r="C75" t="s">
        <v>294</v>
      </c>
      <c r="D75" t="str">
        <f>VLOOKUP(J75,Location[],2,FALSE)</f>
        <v>Fort Wayne</v>
      </c>
      <c r="E75" t="str">
        <f>VLOOKUP(J75,Location[],3,FALSE)</f>
        <v> Indiana</v>
      </c>
      <c r="F75" t="str">
        <f>VLOOKUP(K75,Dept[],2,FALSE)</f>
        <v>Customer Support</v>
      </c>
      <c r="G75" s="11">
        <f t="shared" si="1"/>
        <v>43070</v>
      </c>
      <c r="H75" t="str">
        <f>VLOOKUP(N75,Status[],2,FALSE)</f>
        <v>Full-Time</v>
      </c>
      <c r="J75" s="7">
        <v>1078</v>
      </c>
      <c r="K75">
        <v>14</v>
      </c>
      <c r="L75">
        <v>2017</v>
      </c>
      <c r="M75">
        <v>12</v>
      </c>
      <c r="N75">
        <v>1</v>
      </c>
    </row>
    <row r="76" spans="1:14" x14ac:dyDescent="0.25">
      <c r="A76" t="s">
        <v>2322</v>
      </c>
      <c r="B76" t="s">
        <v>617</v>
      </c>
      <c r="C76" t="s">
        <v>294</v>
      </c>
      <c r="D76" t="str">
        <f>VLOOKUP(J76,Location[],2,FALSE)</f>
        <v>Chicago</v>
      </c>
      <c r="E76" t="str">
        <f>VLOOKUP(J76,Location[],3,FALSE)</f>
        <v> Illinois</v>
      </c>
      <c r="F76" t="str">
        <f>VLOOKUP(K76,Dept[],2,FALSE)</f>
        <v>R&amp;D</v>
      </c>
      <c r="G76" s="11">
        <f t="shared" si="1"/>
        <v>45047</v>
      </c>
      <c r="H76" t="str">
        <f>VLOOKUP(N76,Status[],2,FALSE)</f>
        <v>Full-Time</v>
      </c>
      <c r="J76" s="7">
        <v>1003</v>
      </c>
      <c r="K76">
        <v>21</v>
      </c>
      <c r="L76">
        <v>2023</v>
      </c>
      <c r="M76">
        <v>5</v>
      </c>
      <c r="N76">
        <v>1</v>
      </c>
    </row>
    <row r="77" spans="1:14" x14ac:dyDescent="0.25">
      <c r="A77" t="s">
        <v>2323</v>
      </c>
      <c r="B77" t="s">
        <v>1460</v>
      </c>
      <c r="C77" t="s">
        <v>2014</v>
      </c>
      <c r="D77" t="str">
        <f>VLOOKUP(J77,Location[],2,FALSE)</f>
        <v>Tampa</v>
      </c>
      <c r="E77" t="str">
        <f>VLOOKUP(J77,Location[],3,FALSE)</f>
        <v> Florida</v>
      </c>
      <c r="F77" t="str">
        <f>VLOOKUP(K77,Dept[],2,FALSE)</f>
        <v>Marketing</v>
      </c>
      <c r="G77" s="11">
        <f t="shared" si="1"/>
        <v>42125</v>
      </c>
      <c r="H77" t="str">
        <f>VLOOKUP(N77,Status[],2,FALSE)</f>
        <v>Full-Time</v>
      </c>
      <c r="J77" s="7">
        <v>1052</v>
      </c>
      <c r="K77">
        <v>19</v>
      </c>
      <c r="L77">
        <v>2015</v>
      </c>
      <c r="M77">
        <v>5</v>
      </c>
      <c r="N77">
        <v>1</v>
      </c>
    </row>
    <row r="78" spans="1:14" x14ac:dyDescent="0.25">
      <c r="A78" t="s">
        <v>2324</v>
      </c>
      <c r="B78" t="s">
        <v>274</v>
      </c>
      <c r="C78" t="s">
        <v>275</v>
      </c>
      <c r="D78" t="str">
        <f>VLOOKUP(J78,Location[],2,FALSE)</f>
        <v>Toledo</v>
      </c>
      <c r="E78" t="str">
        <f>VLOOKUP(J78,Location[],3,FALSE)</f>
        <v> Ohio</v>
      </c>
      <c r="F78" t="str">
        <f>VLOOKUP(K78,Dept[],2,FALSE)</f>
        <v>Finance</v>
      </c>
      <c r="G78" s="11">
        <f t="shared" si="1"/>
        <v>43891</v>
      </c>
      <c r="H78" t="str">
        <f>VLOOKUP(N78,Status[],2,FALSE)</f>
        <v>Full-Time</v>
      </c>
      <c r="J78" s="7">
        <v>1074</v>
      </c>
      <c r="K78">
        <v>15</v>
      </c>
      <c r="L78">
        <v>2020</v>
      </c>
      <c r="M78">
        <v>3</v>
      </c>
      <c r="N78">
        <v>1</v>
      </c>
    </row>
    <row r="79" spans="1:14" x14ac:dyDescent="0.25">
      <c r="A79" t="s">
        <v>2325</v>
      </c>
      <c r="B79" t="s">
        <v>181</v>
      </c>
      <c r="C79" t="s">
        <v>187</v>
      </c>
      <c r="D79" t="str">
        <f>VLOOKUP(J79,Location[],2,FALSE)</f>
        <v>San Antonio</v>
      </c>
      <c r="E79" t="str">
        <f>VLOOKUP(J79,Location[],3,FALSE)</f>
        <v> Texas</v>
      </c>
      <c r="F79" t="str">
        <f>VLOOKUP(K79,Dept[],2,FALSE)</f>
        <v>Media</v>
      </c>
      <c r="G79" s="11">
        <f t="shared" si="1"/>
        <v>41487</v>
      </c>
      <c r="H79" t="str">
        <f>VLOOKUP(N79,Status[],2,FALSE)</f>
        <v>Part-Time</v>
      </c>
      <c r="J79" s="7">
        <v>1007</v>
      </c>
      <c r="K79">
        <v>20</v>
      </c>
      <c r="L79">
        <v>2013</v>
      </c>
      <c r="M79">
        <v>8</v>
      </c>
      <c r="N79">
        <v>0</v>
      </c>
    </row>
    <row r="80" spans="1:14" x14ac:dyDescent="0.25">
      <c r="A80" t="s">
        <v>2326</v>
      </c>
      <c r="B80" t="s">
        <v>186</v>
      </c>
      <c r="C80" t="s">
        <v>187</v>
      </c>
      <c r="D80" t="str">
        <f>VLOOKUP(J80,Location[],2,FALSE)</f>
        <v>Scottsdale</v>
      </c>
      <c r="E80" t="str">
        <f>VLOOKUP(J80,Location[],3,FALSE)</f>
        <v> Arizona</v>
      </c>
      <c r="F80" t="str">
        <f>VLOOKUP(K80,Dept[],2,FALSE)</f>
        <v>Customer Support</v>
      </c>
      <c r="G80" s="11">
        <f t="shared" si="1"/>
        <v>43770</v>
      </c>
      <c r="H80" t="str">
        <f>VLOOKUP(N80,Status[],2,FALSE)</f>
        <v>Full-Time</v>
      </c>
      <c r="J80" s="7">
        <v>1085</v>
      </c>
      <c r="K80">
        <v>14</v>
      </c>
      <c r="L80">
        <v>2019</v>
      </c>
      <c r="M80">
        <v>11</v>
      </c>
      <c r="N80">
        <v>1</v>
      </c>
    </row>
    <row r="81" spans="1:14" x14ac:dyDescent="0.25">
      <c r="A81" t="s">
        <v>2327</v>
      </c>
      <c r="B81" t="s">
        <v>418</v>
      </c>
      <c r="C81" t="s">
        <v>1927</v>
      </c>
      <c r="D81" t="str">
        <f>VLOOKUP(J81,Location[],2,FALSE)</f>
        <v>Chicago</v>
      </c>
      <c r="E81" t="str">
        <f>VLOOKUP(J81,Location[],3,FALSE)</f>
        <v> Illinois</v>
      </c>
      <c r="F81" t="str">
        <f>VLOOKUP(K81,Dept[],2,FALSE)</f>
        <v>Administration</v>
      </c>
      <c r="G81" s="11">
        <f t="shared" si="1"/>
        <v>40603</v>
      </c>
      <c r="H81" t="str">
        <f>VLOOKUP(N81,Status[],2,FALSE)</f>
        <v>Part-Time</v>
      </c>
      <c r="J81" s="7">
        <v>1003</v>
      </c>
      <c r="K81">
        <v>12</v>
      </c>
      <c r="L81">
        <v>2011</v>
      </c>
      <c r="M81">
        <v>3</v>
      </c>
      <c r="N81">
        <v>0</v>
      </c>
    </row>
    <row r="82" spans="1:14" x14ac:dyDescent="0.25">
      <c r="A82" t="s">
        <v>2328</v>
      </c>
      <c r="B82" t="s">
        <v>57</v>
      </c>
      <c r="C82" t="s">
        <v>1239</v>
      </c>
      <c r="D82" t="str">
        <f>VLOOKUP(J82,Location[],2,FALSE)</f>
        <v>Columbus</v>
      </c>
      <c r="E82" t="str">
        <f>VLOOKUP(J82,Location[],3,FALSE)</f>
        <v> Ohio</v>
      </c>
      <c r="F82" t="str">
        <f>VLOOKUP(K82,Dept[],2,FALSE)</f>
        <v>Administration</v>
      </c>
      <c r="G82" s="11">
        <f t="shared" si="1"/>
        <v>41334</v>
      </c>
      <c r="H82" t="str">
        <f>VLOOKUP(N82,Status[],2,FALSE)</f>
        <v>Full-Time</v>
      </c>
      <c r="J82" s="7">
        <v>1014</v>
      </c>
      <c r="K82">
        <v>12</v>
      </c>
      <c r="L82">
        <v>2013</v>
      </c>
      <c r="M82">
        <v>3</v>
      </c>
      <c r="N82">
        <v>1</v>
      </c>
    </row>
    <row r="83" spans="1:14" x14ac:dyDescent="0.25">
      <c r="A83" t="s">
        <v>2329</v>
      </c>
      <c r="B83" t="s">
        <v>165</v>
      </c>
      <c r="C83" t="s">
        <v>1664</v>
      </c>
      <c r="D83" t="str">
        <f>VLOOKUP(J83,Location[],2,FALSE)</f>
        <v>San Antonio</v>
      </c>
      <c r="E83" t="str">
        <f>VLOOKUP(J83,Location[],3,FALSE)</f>
        <v> Texas</v>
      </c>
      <c r="F83" t="str">
        <f>VLOOKUP(K83,Dept[],2,FALSE)</f>
        <v>Legal</v>
      </c>
      <c r="G83" s="11">
        <f t="shared" si="1"/>
        <v>44013</v>
      </c>
      <c r="H83" t="str">
        <f>VLOOKUP(N83,Status[],2,FALSE)</f>
        <v>Full-Time</v>
      </c>
      <c r="J83" s="7">
        <v>1007</v>
      </c>
      <c r="K83">
        <v>18</v>
      </c>
      <c r="L83">
        <v>2020</v>
      </c>
      <c r="M83">
        <v>7</v>
      </c>
      <c r="N83">
        <v>1</v>
      </c>
    </row>
    <row r="84" spans="1:14" x14ac:dyDescent="0.25">
      <c r="A84" t="s">
        <v>2330</v>
      </c>
      <c r="B84" t="s">
        <v>181</v>
      </c>
      <c r="C84" t="s">
        <v>402</v>
      </c>
      <c r="D84" t="str">
        <f>VLOOKUP(J84,Location[],2,FALSE)</f>
        <v>Aurora</v>
      </c>
      <c r="E84" t="str">
        <f>VLOOKUP(J84,Location[],3,FALSE)</f>
        <v> Colorado</v>
      </c>
      <c r="F84" t="str">
        <f>VLOOKUP(K84,Dept[],2,FALSE)</f>
        <v>Customer Support</v>
      </c>
      <c r="G84" s="11">
        <f t="shared" si="1"/>
        <v>41306</v>
      </c>
      <c r="H84" t="str">
        <f>VLOOKUP(N84,Status[],2,FALSE)</f>
        <v>Full-Time</v>
      </c>
      <c r="J84" s="7">
        <v>1054</v>
      </c>
      <c r="K84">
        <v>14</v>
      </c>
      <c r="L84">
        <v>2013</v>
      </c>
      <c r="M84">
        <v>2</v>
      </c>
      <c r="N84">
        <v>1</v>
      </c>
    </row>
    <row r="85" spans="1:14" x14ac:dyDescent="0.25">
      <c r="A85" t="s">
        <v>2331</v>
      </c>
      <c r="B85" t="s">
        <v>527</v>
      </c>
      <c r="C85" t="s">
        <v>402</v>
      </c>
      <c r="D85" t="str">
        <f>VLOOKUP(J85,Location[],2,FALSE)</f>
        <v>Aurora</v>
      </c>
      <c r="E85" t="str">
        <f>VLOOKUP(J85,Location[],3,FALSE)</f>
        <v> Colorado</v>
      </c>
      <c r="F85" t="str">
        <f>VLOOKUP(K85,Dept[],2,FALSE)</f>
        <v>Marketing</v>
      </c>
      <c r="G85" s="11">
        <f t="shared" si="1"/>
        <v>42095</v>
      </c>
      <c r="H85" t="str">
        <f>VLOOKUP(N85,Status[],2,FALSE)</f>
        <v>Full-Time</v>
      </c>
      <c r="J85" s="7">
        <v>1054</v>
      </c>
      <c r="K85">
        <v>19</v>
      </c>
      <c r="L85">
        <v>2015</v>
      </c>
      <c r="M85">
        <v>4</v>
      </c>
      <c r="N85">
        <v>1</v>
      </c>
    </row>
    <row r="86" spans="1:14" x14ac:dyDescent="0.25">
      <c r="A86" t="s">
        <v>2332</v>
      </c>
      <c r="B86" t="s">
        <v>1014</v>
      </c>
      <c r="C86" t="s">
        <v>402</v>
      </c>
      <c r="D86" t="str">
        <f>VLOOKUP(J86,Location[],2,FALSE)</f>
        <v>New York City</v>
      </c>
      <c r="E86" t="str">
        <f>VLOOKUP(J86,Location[],3,FALSE)</f>
        <v> New York</v>
      </c>
      <c r="F86" t="str">
        <f>VLOOKUP(K86,Dept[],2,FALSE)</f>
        <v>R&amp;D</v>
      </c>
      <c r="G86" s="11">
        <f t="shared" si="1"/>
        <v>43617</v>
      </c>
      <c r="H86" t="str">
        <f>VLOOKUP(N86,Status[],2,FALSE)</f>
        <v>Full-Time</v>
      </c>
      <c r="J86" s="7">
        <v>1001</v>
      </c>
      <c r="K86">
        <v>21</v>
      </c>
      <c r="L86">
        <v>2019</v>
      </c>
      <c r="M86">
        <v>6</v>
      </c>
      <c r="N86">
        <v>1</v>
      </c>
    </row>
    <row r="87" spans="1:14" x14ac:dyDescent="0.25">
      <c r="A87" t="s">
        <v>2333</v>
      </c>
      <c r="B87" t="s">
        <v>1323</v>
      </c>
      <c r="C87" t="s">
        <v>402</v>
      </c>
      <c r="D87" t="str">
        <f>VLOOKUP(J87,Location[],2,FALSE)</f>
        <v>Philadelphia</v>
      </c>
      <c r="E87" t="str">
        <f>VLOOKUP(J87,Location[],3,FALSE)</f>
        <v> Pennsylvania</v>
      </c>
      <c r="F87" t="str">
        <f>VLOOKUP(K87,Dept[],2,FALSE)</f>
        <v>Administration</v>
      </c>
      <c r="G87" s="11">
        <f t="shared" si="1"/>
        <v>42125</v>
      </c>
      <c r="H87" t="str">
        <f>VLOOKUP(N87,Status[],2,FALSE)</f>
        <v>Full-Time</v>
      </c>
      <c r="J87" s="7">
        <v>1006</v>
      </c>
      <c r="K87">
        <v>12</v>
      </c>
      <c r="L87">
        <v>2015</v>
      </c>
      <c r="M87">
        <v>5</v>
      </c>
      <c r="N87">
        <v>1</v>
      </c>
    </row>
    <row r="88" spans="1:14" x14ac:dyDescent="0.25">
      <c r="A88" t="s">
        <v>2334</v>
      </c>
      <c r="B88" t="s">
        <v>144</v>
      </c>
      <c r="C88" t="s">
        <v>402</v>
      </c>
      <c r="D88" t="str">
        <f>VLOOKUP(J88,Location[],2,FALSE)</f>
        <v>Houston</v>
      </c>
      <c r="E88" t="str">
        <f>VLOOKUP(J88,Location[],3,FALSE)</f>
        <v> Texas</v>
      </c>
      <c r="F88" t="str">
        <f>VLOOKUP(K88,Dept[],2,FALSE)</f>
        <v>Customer Support</v>
      </c>
      <c r="G88" s="11">
        <f t="shared" si="1"/>
        <v>40787</v>
      </c>
      <c r="H88" t="str">
        <f>VLOOKUP(N88,Status[],2,FALSE)</f>
        <v>Part-Time</v>
      </c>
      <c r="J88" s="7">
        <v>1004</v>
      </c>
      <c r="K88">
        <v>14</v>
      </c>
      <c r="L88">
        <v>2011</v>
      </c>
      <c r="M88">
        <v>9</v>
      </c>
      <c r="N88">
        <v>0</v>
      </c>
    </row>
    <row r="89" spans="1:14" x14ac:dyDescent="0.25">
      <c r="A89" t="s">
        <v>2335</v>
      </c>
      <c r="B89" t="s">
        <v>5</v>
      </c>
      <c r="C89" t="s">
        <v>402</v>
      </c>
      <c r="D89" t="str">
        <f>VLOOKUP(J89,Location[],2,FALSE)</f>
        <v>El Paso</v>
      </c>
      <c r="E89" t="str">
        <f>VLOOKUP(J89,Location[],3,FALSE)</f>
        <v> Texas</v>
      </c>
      <c r="F89" t="str">
        <f>VLOOKUP(K89,Dept[],2,FALSE)</f>
        <v>Accounting</v>
      </c>
      <c r="G89" s="11">
        <f t="shared" si="1"/>
        <v>41395</v>
      </c>
      <c r="H89" t="str">
        <f>VLOOKUP(N89,Status[],2,FALSE)</f>
        <v>Full-Time</v>
      </c>
      <c r="J89" s="7">
        <v>1022</v>
      </c>
      <c r="K89">
        <v>11</v>
      </c>
      <c r="L89">
        <v>2013</v>
      </c>
      <c r="M89">
        <v>5</v>
      </c>
      <c r="N89">
        <v>1</v>
      </c>
    </row>
    <row r="90" spans="1:14" x14ac:dyDescent="0.25">
      <c r="A90" t="s">
        <v>2336</v>
      </c>
      <c r="B90" t="s">
        <v>642</v>
      </c>
      <c r="C90" t="s">
        <v>643</v>
      </c>
      <c r="D90" t="str">
        <f>VLOOKUP(J90,Location[],2,FALSE)</f>
        <v>Fort Worth</v>
      </c>
      <c r="E90" t="str">
        <f>VLOOKUP(J90,Location[],3,FALSE)</f>
        <v> Texas</v>
      </c>
      <c r="F90" t="str">
        <f>VLOOKUP(K90,Dept[],2,FALSE)</f>
        <v>Marketing</v>
      </c>
      <c r="G90" s="11">
        <f t="shared" si="1"/>
        <v>41334</v>
      </c>
      <c r="H90" t="str">
        <f>VLOOKUP(N90,Status[],2,FALSE)</f>
        <v>Full-Time</v>
      </c>
      <c r="J90" s="7">
        <v>1015</v>
      </c>
      <c r="K90">
        <v>19</v>
      </c>
      <c r="L90">
        <v>2013</v>
      </c>
      <c r="M90">
        <v>3</v>
      </c>
      <c r="N90">
        <v>1</v>
      </c>
    </row>
    <row r="91" spans="1:14" x14ac:dyDescent="0.25">
      <c r="A91" t="s">
        <v>2337</v>
      </c>
      <c r="B91" t="s">
        <v>1265</v>
      </c>
      <c r="C91" t="s">
        <v>643</v>
      </c>
      <c r="D91" t="str">
        <f>VLOOKUP(J91,Location[],2,FALSE)</f>
        <v>Wichita</v>
      </c>
      <c r="E91" t="str">
        <f>VLOOKUP(J91,Location[],3,FALSE)</f>
        <v> Kansas</v>
      </c>
      <c r="F91" t="str">
        <f>VLOOKUP(K91,Dept[],2,FALSE)</f>
        <v>Legal</v>
      </c>
      <c r="G91" s="11">
        <f t="shared" si="1"/>
        <v>41000</v>
      </c>
      <c r="H91" t="str">
        <f>VLOOKUP(N91,Status[],2,FALSE)</f>
        <v>Full-Time</v>
      </c>
      <c r="J91" s="7">
        <v>1050</v>
      </c>
      <c r="K91">
        <v>18</v>
      </c>
      <c r="L91">
        <v>2012</v>
      </c>
      <c r="M91">
        <v>4</v>
      </c>
      <c r="N91">
        <v>1</v>
      </c>
    </row>
    <row r="92" spans="1:14" x14ac:dyDescent="0.25">
      <c r="A92" t="s">
        <v>2338</v>
      </c>
      <c r="B92" t="s">
        <v>1265</v>
      </c>
      <c r="C92" t="s">
        <v>643</v>
      </c>
      <c r="D92" t="str">
        <f>VLOOKUP(J92,Location[],2,FALSE)</f>
        <v>Orlando</v>
      </c>
      <c r="E92" t="str">
        <f>VLOOKUP(J92,Location[],3,FALSE)</f>
        <v> Florida</v>
      </c>
      <c r="F92" t="str">
        <f>VLOOKUP(K92,Dept[],2,FALSE)</f>
        <v>Assessment</v>
      </c>
      <c r="G92" s="11">
        <f t="shared" si="1"/>
        <v>44562</v>
      </c>
      <c r="H92" t="str">
        <f>VLOOKUP(N92,Status[],2,FALSE)</f>
        <v>Full-Time</v>
      </c>
      <c r="J92" s="7">
        <v>1072</v>
      </c>
      <c r="K92">
        <v>13</v>
      </c>
      <c r="L92">
        <v>2022</v>
      </c>
      <c r="M92">
        <v>1</v>
      </c>
      <c r="N92">
        <v>1</v>
      </c>
    </row>
    <row r="93" spans="1:14" x14ac:dyDescent="0.25">
      <c r="A93" t="s">
        <v>2339</v>
      </c>
      <c r="B93" t="s">
        <v>242</v>
      </c>
      <c r="C93" t="s">
        <v>643</v>
      </c>
      <c r="D93" t="str">
        <f>VLOOKUP(J93,Location[],2,FALSE)</f>
        <v>Aurora</v>
      </c>
      <c r="E93" t="str">
        <f>VLOOKUP(J93,Location[],3,FALSE)</f>
        <v> Colorado</v>
      </c>
      <c r="F93" t="str">
        <f>VLOOKUP(K93,Dept[],2,FALSE)</f>
        <v>Finance</v>
      </c>
      <c r="G93" s="11">
        <f t="shared" si="1"/>
        <v>41699</v>
      </c>
      <c r="H93" t="str">
        <f>VLOOKUP(N93,Status[],2,FALSE)</f>
        <v>Full-Time</v>
      </c>
      <c r="J93" s="7">
        <v>1054</v>
      </c>
      <c r="K93">
        <v>15</v>
      </c>
      <c r="L93">
        <v>2014</v>
      </c>
      <c r="M93">
        <v>3</v>
      </c>
      <c r="N93">
        <v>1</v>
      </c>
    </row>
    <row r="94" spans="1:14" x14ac:dyDescent="0.25">
      <c r="A94" t="s">
        <v>2340</v>
      </c>
      <c r="B94" t="s">
        <v>916</v>
      </c>
      <c r="C94" t="s">
        <v>643</v>
      </c>
      <c r="D94" t="str">
        <f>VLOOKUP(J94,Location[],2,FALSE)</f>
        <v>Omaha</v>
      </c>
      <c r="E94" t="str">
        <f>VLOOKUP(J94,Location[],3,FALSE)</f>
        <v> Nebraska</v>
      </c>
      <c r="F94" t="str">
        <f>VLOOKUP(K94,Dept[],2,FALSE)</f>
        <v>Administration</v>
      </c>
      <c r="G94" s="11">
        <f t="shared" si="1"/>
        <v>43617</v>
      </c>
      <c r="H94" t="str">
        <f>VLOOKUP(N94,Status[],2,FALSE)</f>
        <v>Full-Time</v>
      </c>
      <c r="J94" s="7">
        <v>1040</v>
      </c>
      <c r="K94">
        <v>12</v>
      </c>
      <c r="L94">
        <v>2019</v>
      </c>
      <c r="M94">
        <v>6</v>
      </c>
      <c r="N94">
        <v>1</v>
      </c>
    </row>
    <row r="95" spans="1:14" x14ac:dyDescent="0.25">
      <c r="A95" t="s">
        <v>2341</v>
      </c>
      <c r="B95" t="s">
        <v>888</v>
      </c>
      <c r="C95" t="s">
        <v>643</v>
      </c>
      <c r="D95" t="str">
        <f>VLOOKUP(J95,Location[],2,FALSE)</f>
        <v>Philadelphia</v>
      </c>
      <c r="E95" t="str">
        <f>VLOOKUP(J95,Location[],3,FALSE)</f>
        <v> Pennsylvania</v>
      </c>
      <c r="F95" t="str">
        <f>VLOOKUP(K95,Dept[],2,FALSE)</f>
        <v>Sales</v>
      </c>
      <c r="G95" s="11">
        <f t="shared" si="1"/>
        <v>42767</v>
      </c>
      <c r="H95" t="str">
        <f>VLOOKUP(N95,Status[],2,FALSE)</f>
        <v>Full-Time</v>
      </c>
      <c r="J95" s="7">
        <v>1006</v>
      </c>
      <c r="K95">
        <v>22</v>
      </c>
      <c r="L95">
        <v>2017</v>
      </c>
      <c r="M95">
        <v>2</v>
      </c>
      <c r="N95">
        <v>1</v>
      </c>
    </row>
    <row r="96" spans="1:14" x14ac:dyDescent="0.25">
      <c r="A96" t="s">
        <v>2342</v>
      </c>
      <c r="B96" t="s">
        <v>918</v>
      </c>
      <c r="C96" t="s">
        <v>643</v>
      </c>
      <c r="D96" t="str">
        <f>VLOOKUP(J96,Location[],2,FALSE)</f>
        <v>Oklahoma City</v>
      </c>
      <c r="E96" t="str">
        <f>VLOOKUP(J96,Location[],3,FALSE)</f>
        <v> Oklahoma</v>
      </c>
      <c r="F96" t="str">
        <f>VLOOKUP(K96,Dept[],2,FALSE)</f>
        <v>Sales</v>
      </c>
      <c r="G96" s="11">
        <f t="shared" si="1"/>
        <v>41760</v>
      </c>
      <c r="H96" t="str">
        <f>VLOOKUP(N96,Status[],2,FALSE)</f>
        <v>Part-Time</v>
      </c>
      <c r="J96" s="7">
        <v>1027</v>
      </c>
      <c r="K96">
        <v>22</v>
      </c>
      <c r="L96">
        <v>2014</v>
      </c>
      <c r="M96">
        <v>5</v>
      </c>
      <c r="N96">
        <v>0</v>
      </c>
    </row>
    <row r="97" spans="1:14" x14ac:dyDescent="0.25">
      <c r="A97" t="s">
        <v>2343</v>
      </c>
      <c r="B97" t="s">
        <v>1139</v>
      </c>
      <c r="C97" t="s">
        <v>643</v>
      </c>
      <c r="D97" t="str">
        <f>VLOOKUP(J97,Location[],2,FALSE)</f>
        <v>Detroit</v>
      </c>
      <c r="E97" t="str">
        <f>VLOOKUP(J97,Location[],3,FALSE)</f>
        <v> Michigan</v>
      </c>
      <c r="F97" t="str">
        <f>VLOOKUP(K97,Dept[],2,FALSE)</f>
        <v>Finance</v>
      </c>
      <c r="G97" s="11">
        <f t="shared" si="1"/>
        <v>42309</v>
      </c>
      <c r="H97" t="str">
        <f>VLOOKUP(N97,Status[],2,FALSE)</f>
        <v>Full-Time</v>
      </c>
      <c r="J97" s="7">
        <v>1023</v>
      </c>
      <c r="K97">
        <v>15</v>
      </c>
      <c r="L97">
        <v>2015</v>
      </c>
      <c r="M97">
        <v>11</v>
      </c>
      <c r="N97">
        <v>1</v>
      </c>
    </row>
    <row r="98" spans="1:14" x14ac:dyDescent="0.25">
      <c r="A98" t="s">
        <v>2344</v>
      </c>
      <c r="B98" t="s">
        <v>337</v>
      </c>
      <c r="C98" t="s">
        <v>643</v>
      </c>
      <c r="D98" t="str">
        <f>VLOOKUP(J98,Location[],2,FALSE)</f>
        <v>New York City</v>
      </c>
      <c r="E98" t="str">
        <f>VLOOKUP(J98,Location[],3,FALSE)</f>
        <v> New York</v>
      </c>
      <c r="F98" t="str">
        <f>VLOOKUP(K98,Dept[],2,FALSE)</f>
        <v>Customer Support</v>
      </c>
      <c r="G98" s="11">
        <f t="shared" si="1"/>
        <v>42917</v>
      </c>
      <c r="H98" t="str">
        <f>VLOOKUP(N98,Status[],2,FALSE)</f>
        <v>Part-Time</v>
      </c>
      <c r="J98" s="7">
        <v>1001</v>
      </c>
      <c r="K98">
        <v>14</v>
      </c>
      <c r="L98">
        <v>2017</v>
      </c>
      <c r="M98">
        <v>7</v>
      </c>
      <c r="N98">
        <v>0</v>
      </c>
    </row>
    <row r="99" spans="1:14" x14ac:dyDescent="0.25">
      <c r="A99" t="s">
        <v>2345</v>
      </c>
      <c r="B99" t="s">
        <v>163</v>
      </c>
      <c r="C99" t="s">
        <v>1200</v>
      </c>
      <c r="D99" t="str">
        <f>VLOOKUP(J99,Location[],2,FALSE)</f>
        <v>Boston</v>
      </c>
      <c r="E99" t="str">
        <f>VLOOKUP(J99,Location[],3,FALSE)</f>
        <v> Massachusetts</v>
      </c>
      <c r="F99" t="str">
        <f>VLOOKUP(K99,Dept[],2,FALSE)</f>
        <v>Legal</v>
      </c>
      <c r="G99" s="11">
        <f t="shared" si="1"/>
        <v>43556</v>
      </c>
      <c r="H99" t="str">
        <f>VLOOKUP(N99,Status[],2,FALSE)</f>
        <v>Full-Time</v>
      </c>
      <c r="J99" s="7">
        <v>1021</v>
      </c>
      <c r="K99">
        <v>18</v>
      </c>
      <c r="L99">
        <v>2019</v>
      </c>
      <c r="M99">
        <v>4</v>
      </c>
      <c r="N99">
        <v>1</v>
      </c>
    </row>
    <row r="100" spans="1:14" x14ac:dyDescent="0.25">
      <c r="A100" t="s">
        <v>2346</v>
      </c>
      <c r="B100" t="s">
        <v>991</v>
      </c>
      <c r="C100" t="s">
        <v>992</v>
      </c>
      <c r="D100" t="str">
        <f>VLOOKUP(J100,Location[],2,FALSE)</f>
        <v>Bakersfield</v>
      </c>
      <c r="E100" t="str">
        <f>VLOOKUP(J100,Location[],3,FALSE)</f>
        <v> California</v>
      </c>
      <c r="F100" t="str">
        <f>VLOOKUP(K100,Dept[],2,FALSE)</f>
        <v>Marketing</v>
      </c>
      <c r="G100" s="11">
        <f t="shared" si="1"/>
        <v>41000</v>
      </c>
      <c r="H100" t="str">
        <f>VLOOKUP(N100,Status[],2,FALSE)</f>
        <v>Full-Time</v>
      </c>
      <c r="J100" s="7">
        <v>1053</v>
      </c>
      <c r="K100">
        <v>19</v>
      </c>
      <c r="L100">
        <v>2012</v>
      </c>
      <c r="M100">
        <v>4</v>
      </c>
      <c r="N100">
        <v>1</v>
      </c>
    </row>
    <row r="101" spans="1:14" x14ac:dyDescent="0.25">
      <c r="A101" t="s">
        <v>2347</v>
      </c>
      <c r="B101" t="s">
        <v>811</v>
      </c>
      <c r="C101" t="s">
        <v>992</v>
      </c>
      <c r="D101" t="str">
        <f>VLOOKUP(J101,Location[],2,FALSE)</f>
        <v>Atlanta</v>
      </c>
      <c r="E101" t="str">
        <f>VLOOKUP(J101,Location[],3,FALSE)</f>
        <v> Georgia</v>
      </c>
      <c r="F101" t="str">
        <f>VLOOKUP(K101,Dept[],2,FALSE)</f>
        <v>Customer Support</v>
      </c>
      <c r="G101" s="11">
        <f t="shared" si="1"/>
        <v>42036</v>
      </c>
      <c r="H101" t="str">
        <f>VLOOKUP(N101,Status[],2,FALSE)</f>
        <v>Part-Time</v>
      </c>
      <c r="J101" s="7">
        <v>1038</v>
      </c>
      <c r="K101">
        <v>14</v>
      </c>
      <c r="L101">
        <v>2015</v>
      </c>
      <c r="M101">
        <v>2</v>
      </c>
      <c r="N101">
        <v>0</v>
      </c>
    </row>
    <row r="102" spans="1:14" x14ac:dyDescent="0.25">
      <c r="A102" t="s">
        <v>2348</v>
      </c>
      <c r="B102" t="s">
        <v>180</v>
      </c>
      <c r="C102" t="s">
        <v>992</v>
      </c>
      <c r="D102" t="str">
        <f>VLOOKUP(J102,Location[],2,FALSE)</f>
        <v>San Antonio</v>
      </c>
      <c r="E102" t="str">
        <f>VLOOKUP(J102,Location[],3,FALSE)</f>
        <v> Texas</v>
      </c>
      <c r="F102" t="str">
        <f>VLOOKUP(K102,Dept[],2,FALSE)</f>
        <v>Human Resources</v>
      </c>
      <c r="G102" s="11">
        <f t="shared" si="1"/>
        <v>42217</v>
      </c>
      <c r="H102" t="str">
        <f>VLOOKUP(N102,Status[],2,FALSE)</f>
        <v>Full-Time</v>
      </c>
      <c r="J102" s="7">
        <v>1007</v>
      </c>
      <c r="K102">
        <v>16</v>
      </c>
      <c r="L102">
        <v>2015</v>
      </c>
      <c r="M102">
        <v>8</v>
      </c>
      <c r="N102">
        <v>1</v>
      </c>
    </row>
    <row r="103" spans="1:14" x14ac:dyDescent="0.25">
      <c r="A103" t="s">
        <v>2349</v>
      </c>
      <c r="B103" t="s">
        <v>125</v>
      </c>
      <c r="C103" t="s">
        <v>1921</v>
      </c>
      <c r="D103" t="str">
        <f>VLOOKUP(J103,Location[],2,FALSE)</f>
        <v>Wichita</v>
      </c>
      <c r="E103" t="str">
        <f>VLOOKUP(J103,Location[],3,FALSE)</f>
        <v> Kansas</v>
      </c>
      <c r="F103" t="str">
        <f>VLOOKUP(K103,Dept[],2,FALSE)</f>
        <v>Marketing</v>
      </c>
      <c r="G103" s="11">
        <f t="shared" si="1"/>
        <v>41699</v>
      </c>
      <c r="H103" t="str">
        <f>VLOOKUP(N103,Status[],2,FALSE)</f>
        <v>Full-Time</v>
      </c>
      <c r="J103" s="7">
        <v>1050</v>
      </c>
      <c r="K103">
        <v>19</v>
      </c>
      <c r="L103">
        <v>2014</v>
      </c>
      <c r="M103">
        <v>3</v>
      </c>
      <c r="N103">
        <v>1</v>
      </c>
    </row>
    <row r="104" spans="1:14" x14ac:dyDescent="0.25">
      <c r="A104" t="s">
        <v>2350</v>
      </c>
      <c r="B104" t="s">
        <v>1265</v>
      </c>
      <c r="C104" t="s">
        <v>1319</v>
      </c>
      <c r="D104" t="str">
        <f>VLOOKUP(J104,Location[],2,FALSE)</f>
        <v>Bakersfield</v>
      </c>
      <c r="E104" t="str">
        <f>VLOOKUP(J104,Location[],3,FALSE)</f>
        <v> California</v>
      </c>
      <c r="F104" t="str">
        <f>VLOOKUP(K104,Dept[],2,FALSE)</f>
        <v>Finance</v>
      </c>
      <c r="G104" s="11">
        <f t="shared" si="1"/>
        <v>41306</v>
      </c>
      <c r="H104" t="str">
        <f>VLOOKUP(N104,Status[],2,FALSE)</f>
        <v>Full-Time</v>
      </c>
      <c r="J104" s="7">
        <v>1053</v>
      </c>
      <c r="K104">
        <v>15</v>
      </c>
      <c r="L104">
        <v>2013</v>
      </c>
      <c r="M104">
        <v>2</v>
      </c>
      <c r="N104">
        <v>1</v>
      </c>
    </row>
    <row r="105" spans="1:14" x14ac:dyDescent="0.25">
      <c r="A105" t="s">
        <v>2351</v>
      </c>
      <c r="B105" t="s">
        <v>57</v>
      </c>
      <c r="C105" t="s">
        <v>537</v>
      </c>
      <c r="D105" t="str">
        <f>VLOOKUP(J105,Location[],2,FALSE)</f>
        <v>Washington, D.C.</v>
      </c>
      <c r="E105" t="str">
        <f>VLOOKUP(J105,Location[],3,FALSE)</f>
        <v> District of Columbia</v>
      </c>
      <c r="F105" t="str">
        <f>VLOOKUP(K105,Dept[],2,FALSE)</f>
        <v>Customer Support</v>
      </c>
      <c r="G105" s="11">
        <f t="shared" si="1"/>
        <v>42826</v>
      </c>
      <c r="H105" t="str">
        <f>VLOOKUP(N105,Status[],2,FALSE)</f>
        <v>Full-Time</v>
      </c>
      <c r="J105" s="7">
        <v>1020</v>
      </c>
      <c r="K105">
        <v>14</v>
      </c>
      <c r="L105">
        <v>2017</v>
      </c>
      <c r="M105">
        <v>4</v>
      </c>
      <c r="N105">
        <v>1</v>
      </c>
    </row>
    <row r="106" spans="1:14" x14ac:dyDescent="0.25">
      <c r="A106" t="s">
        <v>2352</v>
      </c>
      <c r="B106" t="s">
        <v>599</v>
      </c>
      <c r="C106" t="s">
        <v>600</v>
      </c>
      <c r="D106" t="str">
        <f>VLOOKUP(J106,Location[],2,FALSE)</f>
        <v>Los Angeles</v>
      </c>
      <c r="E106" t="str">
        <f>VLOOKUP(J106,Location[],3,FALSE)</f>
        <v> California</v>
      </c>
      <c r="F106" t="str">
        <f>VLOOKUP(K106,Dept[],2,FALSE)</f>
        <v>Media</v>
      </c>
      <c r="G106" s="11">
        <f t="shared" si="1"/>
        <v>40848</v>
      </c>
      <c r="H106" t="str">
        <f>VLOOKUP(N106,Status[],2,FALSE)</f>
        <v>Full-Time</v>
      </c>
      <c r="J106" s="7">
        <v>1002</v>
      </c>
      <c r="K106">
        <v>20</v>
      </c>
      <c r="L106">
        <v>2011</v>
      </c>
      <c r="M106">
        <v>11</v>
      </c>
      <c r="N106">
        <v>1</v>
      </c>
    </row>
    <row r="107" spans="1:14" x14ac:dyDescent="0.25">
      <c r="A107" t="s">
        <v>2353</v>
      </c>
      <c r="B107" t="s">
        <v>19</v>
      </c>
      <c r="C107" t="s">
        <v>1696</v>
      </c>
      <c r="D107" t="str">
        <f>VLOOKUP(J107,Location[],2,FALSE)</f>
        <v>New York City</v>
      </c>
      <c r="E107" t="str">
        <f>VLOOKUP(J107,Location[],3,FALSE)</f>
        <v> New York</v>
      </c>
      <c r="F107" t="str">
        <f>VLOOKUP(K107,Dept[],2,FALSE)</f>
        <v>Legal</v>
      </c>
      <c r="G107" s="11">
        <f t="shared" si="1"/>
        <v>43101</v>
      </c>
      <c r="H107" t="str">
        <f>VLOOKUP(N107,Status[],2,FALSE)</f>
        <v>Part-Time</v>
      </c>
      <c r="J107" s="7">
        <v>1001</v>
      </c>
      <c r="K107">
        <v>18</v>
      </c>
      <c r="L107">
        <v>2018</v>
      </c>
      <c r="M107">
        <v>1</v>
      </c>
      <c r="N107">
        <v>0</v>
      </c>
    </row>
    <row r="108" spans="1:14" x14ac:dyDescent="0.25">
      <c r="A108" t="s">
        <v>2354</v>
      </c>
      <c r="B108" t="s">
        <v>1056</v>
      </c>
      <c r="C108" t="s">
        <v>1696</v>
      </c>
      <c r="D108" t="str">
        <f>VLOOKUP(J108,Location[],2,FALSE)</f>
        <v>Los Angeles</v>
      </c>
      <c r="E108" t="str">
        <f>VLOOKUP(J108,Location[],3,FALSE)</f>
        <v> California</v>
      </c>
      <c r="F108" t="str">
        <f>VLOOKUP(K108,Dept[],2,FALSE)</f>
        <v>R&amp;D</v>
      </c>
      <c r="G108" s="11">
        <f t="shared" si="1"/>
        <v>42125</v>
      </c>
      <c r="H108" t="str">
        <f>VLOOKUP(N108,Status[],2,FALSE)</f>
        <v>Full-Time</v>
      </c>
      <c r="J108" s="7">
        <v>1002</v>
      </c>
      <c r="K108">
        <v>21</v>
      </c>
      <c r="L108">
        <v>2015</v>
      </c>
      <c r="M108">
        <v>5</v>
      </c>
      <c r="N108">
        <v>1</v>
      </c>
    </row>
    <row r="109" spans="1:14" x14ac:dyDescent="0.25">
      <c r="A109" t="s">
        <v>2355</v>
      </c>
      <c r="B109" t="s">
        <v>962</v>
      </c>
      <c r="C109" t="s">
        <v>1288</v>
      </c>
      <c r="D109" t="str">
        <f>VLOOKUP(J109,Location[],2,FALSE)</f>
        <v>Atlanta</v>
      </c>
      <c r="E109" t="str">
        <f>VLOOKUP(J109,Location[],3,FALSE)</f>
        <v> Georgia</v>
      </c>
      <c r="F109" t="str">
        <f>VLOOKUP(K109,Dept[],2,FALSE)</f>
        <v>Legal</v>
      </c>
      <c r="G109" s="11">
        <f t="shared" si="1"/>
        <v>41640</v>
      </c>
      <c r="H109" t="str">
        <f>VLOOKUP(N109,Status[],2,FALSE)</f>
        <v>Part-Time</v>
      </c>
      <c r="J109" s="7">
        <v>1038</v>
      </c>
      <c r="K109">
        <v>18</v>
      </c>
      <c r="L109">
        <v>2014</v>
      </c>
      <c r="M109">
        <v>1</v>
      </c>
      <c r="N109">
        <v>0</v>
      </c>
    </row>
    <row r="110" spans="1:14" x14ac:dyDescent="0.25">
      <c r="A110" t="s">
        <v>2356</v>
      </c>
      <c r="B110" t="s">
        <v>339</v>
      </c>
      <c r="C110" t="s">
        <v>1288</v>
      </c>
      <c r="D110" t="str">
        <f>VLOOKUP(J110,Location[],2,FALSE)</f>
        <v>Washington, D.C.</v>
      </c>
      <c r="E110" t="str">
        <f>VLOOKUP(J110,Location[],3,FALSE)</f>
        <v> District of Columbia</v>
      </c>
      <c r="F110" t="str">
        <f>VLOOKUP(K110,Dept[],2,FALSE)</f>
        <v>Shipping</v>
      </c>
      <c r="G110" s="11">
        <f t="shared" si="1"/>
        <v>41091</v>
      </c>
      <c r="H110" t="str">
        <f>VLOOKUP(N110,Status[],2,FALSE)</f>
        <v>Full-Time</v>
      </c>
      <c r="J110" s="7">
        <v>1020</v>
      </c>
      <c r="K110">
        <v>23</v>
      </c>
      <c r="L110">
        <v>2012</v>
      </c>
      <c r="M110">
        <v>7</v>
      </c>
      <c r="N110">
        <v>1</v>
      </c>
    </row>
    <row r="111" spans="1:14" x14ac:dyDescent="0.25">
      <c r="A111" t="s">
        <v>2357</v>
      </c>
      <c r="B111" t="s">
        <v>17</v>
      </c>
      <c r="C111" t="s">
        <v>18</v>
      </c>
      <c r="D111" t="str">
        <f>VLOOKUP(J111,Location[],2,FALSE)</f>
        <v>Dallas</v>
      </c>
      <c r="E111" t="str">
        <f>VLOOKUP(J111,Location[],3,FALSE)</f>
        <v> Texas</v>
      </c>
      <c r="F111" t="str">
        <f>VLOOKUP(K111,Dept[],2,FALSE)</f>
        <v>R&amp;D</v>
      </c>
      <c r="G111" s="11">
        <f t="shared" si="1"/>
        <v>44136</v>
      </c>
      <c r="H111" t="str">
        <f>VLOOKUP(N111,Status[],2,FALSE)</f>
        <v>Full-Time</v>
      </c>
      <c r="J111" s="7">
        <v>1009</v>
      </c>
      <c r="K111">
        <v>21</v>
      </c>
      <c r="L111">
        <v>2020</v>
      </c>
      <c r="M111">
        <v>11</v>
      </c>
      <c r="N111">
        <v>1</v>
      </c>
    </row>
    <row r="112" spans="1:14" x14ac:dyDescent="0.25">
      <c r="A112" t="s">
        <v>2358</v>
      </c>
      <c r="B112" t="s">
        <v>235</v>
      </c>
      <c r="C112" t="s">
        <v>567</v>
      </c>
      <c r="D112" t="str">
        <f>VLOOKUP(J112,Location[],2,FALSE)</f>
        <v>Philadelphia</v>
      </c>
      <c r="E112" t="str">
        <f>VLOOKUP(J112,Location[],3,FALSE)</f>
        <v> Pennsylvania</v>
      </c>
      <c r="F112" t="str">
        <f>VLOOKUP(K112,Dept[],2,FALSE)</f>
        <v>Administration</v>
      </c>
      <c r="G112" s="11">
        <f t="shared" si="1"/>
        <v>45139</v>
      </c>
      <c r="H112" t="str">
        <f>VLOOKUP(N112,Status[],2,FALSE)</f>
        <v>Full-Time</v>
      </c>
      <c r="J112" s="7">
        <v>1006</v>
      </c>
      <c r="K112">
        <v>12</v>
      </c>
      <c r="L112">
        <v>2023</v>
      </c>
      <c r="M112">
        <v>8</v>
      </c>
      <c r="N112">
        <v>1</v>
      </c>
    </row>
    <row r="113" spans="1:14" x14ac:dyDescent="0.25">
      <c r="A113" t="s">
        <v>2359</v>
      </c>
      <c r="B113" t="s">
        <v>552</v>
      </c>
      <c r="C113" t="s">
        <v>1027</v>
      </c>
      <c r="D113" t="str">
        <f>VLOOKUP(J113,Location[],2,FALSE)</f>
        <v>San Francisco</v>
      </c>
      <c r="E113" t="str">
        <f>VLOOKUP(J113,Location[],3,FALSE)</f>
        <v> California</v>
      </c>
      <c r="F113" t="str">
        <f>VLOOKUP(K113,Dept[],2,FALSE)</f>
        <v>Customer Support</v>
      </c>
      <c r="G113" s="11">
        <f t="shared" si="1"/>
        <v>45017</v>
      </c>
      <c r="H113" t="str">
        <f>VLOOKUP(N113,Status[],2,FALSE)</f>
        <v>Part-Time</v>
      </c>
      <c r="J113" s="7">
        <v>1013</v>
      </c>
      <c r="K113">
        <v>14</v>
      </c>
      <c r="L113">
        <v>2023</v>
      </c>
      <c r="M113">
        <v>4</v>
      </c>
      <c r="N113">
        <v>0</v>
      </c>
    </row>
    <row r="114" spans="1:14" x14ac:dyDescent="0.25">
      <c r="A114" t="s">
        <v>2360</v>
      </c>
      <c r="B114" t="s">
        <v>457</v>
      </c>
      <c r="C114" t="s">
        <v>799</v>
      </c>
      <c r="D114" t="str">
        <f>VLOOKUP(J114,Location[],2,FALSE)</f>
        <v>Glendale</v>
      </c>
      <c r="E114" t="str">
        <f>VLOOKUP(J114,Location[],3,FALSE)</f>
        <v> Arizona</v>
      </c>
      <c r="F114" t="str">
        <f>VLOOKUP(K114,Dept[],2,FALSE)</f>
        <v>Sales</v>
      </c>
      <c r="G114" s="11">
        <f t="shared" si="1"/>
        <v>40940</v>
      </c>
      <c r="H114" t="str">
        <f>VLOOKUP(N114,Status[],2,FALSE)</f>
        <v>Full-Time</v>
      </c>
      <c r="J114" s="7">
        <v>1087</v>
      </c>
      <c r="K114">
        <v>22</v>
      </c>
      <c r="L114">
        <v>2012</v>
      </c>
      <c r="M114">
        <v>2</v>
      </c>
      <c r="N114">
        <v>1</v>
      </c>
    </row>
    <row r="115" spans="1:14" x14ac:dyDescent="0.25">
      <c r="A115" t="s">
        <v>2361</v>
      </c>
      <c r="B115" t="s">
        <v>1040</v>
      </c>
      <c r="C115" t="s">
        <v>462</v>
      </c>
      <c r="D115" t="str">
        <f>VLOOKUP(J115,Location[],2,FALSE)</f>
        <v>Phoenix</v>
      </c>
      <c r="E115" t="str">
        <f>VLOOKUP(J115,Location[],3,FALSE)</f>
        <v> Arizona</v>
      </c>
      <c r="F115" t="str">
        <f>VLOOKUP(K115,Dept[],2,FALSE)</f>
        <v>Marketing</v>
      </c>
      <c r="G115" s="11">
        <f t="shared" si="1"/>
        <v>41365</v>
      </c>
      <c r="H115" t="str">
        <f>VLOOKUP(N115,Status[],2,FALSE)</f>
        <v>Part-Time</v>
      </c>
      <c r="J115" s="7">
        <v>1005</v>
      </c>
      <c r="K115">
        <v>19</v>
      </c>
      <c r="L115">
        <v>2013</v>
      </c>
      <c r="M115">
        <v>4</v>
      </c>
      <c r="N115">
        <v>0</v>
      </c>
    </row>
    <row r="116" spans="1:14" x14ac:dyDescent="0.25">
      <c r="A116" t="s">
        <v>2362</v>
      </c>
      <c r="B116" t="s">
        <v>108</v>
      </c>
      <c r="C116" t="s">
        <v>462</v>
      </c>
      <c r="D116" t="str">
        <f>VLOOKUP(J116,Location[],2,FALSE)</f>
        <v>Newark</v>
      </c>
      <c r="E116" t="str">
        <f>VLOOKUP(J116,Location[],3,FALSE)</f>
        <v> New Jersey</v>
      </c>
      <c r="F116" t="str">
        <f>VLOOKUP(K116,Dept[],2,FALSE)</f>
        <v>Administration</v>
      </c>
      <c r="G116" s="11">
        <f t="shared" si="1"/>
        <v>44166</v>
      </c>
      <c r="H116" t="str">
        <f>VLOOKUP(N116,Status[],2,FALSE)</f>
        <v>Full-Time</v>
      </c>
      <c r="J116" s="7">
        <v>1070</v>
      </c>
      <c r="K116">
        <v>12</v>
      </c>
      <c r="L116">
        <v>2020</v>
      </c>
      <c r="M116">
        <v>12</v>
      </c>
      <c r="N116">
        <v>1</v>
      </c>
    </row>
    <row r="117" spans="1:14" x14ac:dyDescent="0.25">
      <c r="A117" t="s">
        <v>2363</v>
      </c>
      <c r="B117" t="s">
        <v>31</v>
      </c>
      <c r="C117" t="s">
        <v>462</v>
      </c>
      <c r="D117" t="str">
        <f>VLOOKUP(J117,Location[],2,FALSE)</f>
        <v>Oklahoma City</v>
      </c>
      <c r="E117" t="str">
        <f>VLOOKUP(J117,Location[],3,FALSE)</f>
        <v> Oklahoma</v>
      </c>
      <c r="F117" t="str">
        <f>VLOOKUP(K117,Dept[],2,FALSE)</f>
        <v>Accounting</v>
      </c>
      <c r="G117" s="11">
        <f t="shared" si="1"/>
        <v>42430</v>
      </c>
      <c r="H117" t="str">
        <f>VLOOKUP(N117,Status[],2,FALSE)</f>
        <v>Part-Time</v>
      </c>
      <c r="J117" s="7">
        <v>1027</v>
      </c>
      <c r="K117">
        <v>11</v>
      </c>
      <c r="L117">
        <v>2016</v>
      </c>
      <c r="M117">
        <v>3</v>
      </c>
      <c r="N117">
        <v>0</v>
      </c>
    </row>
    <row r="118" spans="1:14" x14ac:dyDescent="0.25">
      <c r="A118" t="s">
        <v>2364</v>
      </c>
      <c r="B118" t="s">
        <v>339</v>
      </c>
      <c r="C118" t="s">
        <v>486</v>
      </c>
      <c r="D118" t="str">
        <f>VLOOKUP(J118,Location[],2,FALSE)</f>
        <v>Los Angeles</v>
      </c>
      <c r="E118" t="str">
        <f>VLOOKUP(J118,Location[],3,FALSE)</f>
        <v> California</v>
      </c>
      <c r="F118" t="str">
        <f>VLOOKUP(K118,Dept[],2,FALSE)</f>
        <v>Customer Support</v>
      </c>
      <c r="G118" s="11">
        <f t="shared" si="1"/>
        <v>45170</v>
      </c>
      <c r="H118" t="str">
        <f>VLOOKUP(N118,Status[],2,FALSE)</f>
        <v>Full-Time</v>
      </c>
      <c r="J118" s="7">
        <v>1002</v>
      </c>
      <c r="K118">
        <v>14</v>
      </c>
      <c r="L118">
        <v>2023</v>
      </c>
      <c r="M118">
        <v>9</v>
      </c>
      <c r="N118">
        <v>1</v>
      </c>
    </row>
    <row r="119" spans="1:14" x14ac:dyDescent="0.25">
      <c r="A119" t="s">
        <v>2365</v>
      </c>
      <c r="B119" t="s">
        <v>110</v>
      </c>
      <c r="C119" t="s">
        <v>486</v>
      </c>
      <c r="D119" t="str">
        <f>VLOOKUP(J119,Location[],2,FALSE)</f>
        <v>Bakersfield</v>
      </c>
      <c r="E119" t="str">
        <f>VLOOKUP(J119,Location[],3,FALSE)</f>
        <v> California</v>
      </c>
      <c r="F119" t="str">
        <f>VLOOKUP(K119,Dept[],2,FALSE)</f>
        <v>Shipping</v>
      </c>
      <c r="G119" s="11">
        <f t="shared" si="1"/>
        <v>40878</v>
      </c>
      <c r="H119" t="str">
        <f>VLOOKUP(N119,Status[],2,FALSE)</f>
        <v>Full-Time</v>
      </c>
      <c r="J119" s="7">
        <v>1053</v>
      </c>
      <c r="K119">
        <v>23</v>
      </c>
      <c r="L119">
        <v>2011</v>
      </c>
      <c r="M119">
        <v>12</v>
      </c>
      <c r="N119">
        <v>1</v>
      </c>
    </row>
    <row r="120" spans="1:14" x14ac:dyDescent="0.25">
      <c r="A120" t="s">
        <v>2366</v>
      </c>
      <c r="B120" t="s">
        <v>307</v>
      </c>
      <c r="C120" t="s">
        <v>486</v>
      </c>
      <c r="D120" t="str">
        <f>VLOOKUP(J120,Location[],2,FALSE)</f>
        <v>New York City</v>
      </c>
      <c r="E120" t="str">
        <f>VLOOKUP(J120,Location[],3,FALSE)</f>
        <v> New York</v>
      </c>
      <c r="F120" t="str">
        <f>VLOOKUP(K120,Dept[],2,FALSE)</f>
        <v>Administration</v>
      </c>
      <c r="G120" s="11">
        <f t="shared" si="1"/>
        <v>43739</v>
      </c>
      <c r="H120" t="str">
        <f>VLOOKUP(N120,Status[],2,FALSE)</f>
        <v>Full-Time</v>
      </c>
      <c r="J120" s="7">
        <v>1001</v>
      </c>
      <c r="K120">
        <v>12</v>
      </c>
      <c r="L120">
        <v>2019</v>
      </c>
      <c r="M120">
        <v>10</v>
      </c>
      <c r="N120">
        <v>1</v>
      </c>
    </row>
    <row r="121" spans="1:14" x14ac:dyDescent="0.25">
      <c r="A121" t="s">
        <v>2367</v>
      </c>
      <c r="B121" t="s">
        <v>165</v>
      </c>
      <c r="C121" t="s">
        <v>486</v>
      </c>
      <c r="D121" t="str">
        <f>VLOOKUP(J121,Location[],2,FALSE)</f>
        <v>Chicago</v>
      </c>
      <c r="E121" t="str">
        <f>VLOOKUP(J121,Location[],3,FALSE)</f>
        <v> Illinois</v>
      </c>
      <c r="F121" t="str">
        <f>VLOOKUP(K121,Dept[],2,FALSE)</f>
        <v>Customer Support</v>
      </c>
      <c r="G121" s="11">
        <f t="shared" si="1"/>
        <v>41974</v>
      </c>
      <c r="H121" t="str">
        <f>VLOOKUP(N121,Status[],2,FALSE)</f>
        <v>Part-Time</v>
      </c>
      <c r="J121" s="7">
        <v>1003</v>
      </c>
      <c r="K121">
        <v>14</v>
      </c>
      <c r="L121">
        <v>2014</v>
      </c>
      <c r="M121">
        <v>12</v>
      </c>
      <c r="N121">
        <v>0</v>
      </c>
    </row>
    <row r="122" spans="1:14" x14ac:dyDescent="0.25">
      <c r="A122" t="s">
        <v>2368</v>
      </c>
      <c r="B122" t="s">
        <v>103</v>
      </c>
      <c r="C122" t="s">
        <v>486</v>
      </c>
      <c r="D122" t="str">
        <f>VLOOKUP(J122,Location[],2,FALSE)</f>
        <v>New York City</v>
      </c>
      <c r="E122" t="str">
        <f>VLOOKUP(J122,Location[],3,FALSE)</f>
        <v> New York</v>
      </c>
      <c r="F122" t="str">
        <f>VLOOKUP(K122,Dept[],2,FALSE)</f>
        <v>Administration</v>
      </c>
      <c r="G122" s="11">
        <f t="shared" si="1"/>
        <v>43221</v>
      </c>
      <c r="H122" t="str">
        <f>VLOOKUP(N122,Status[],2,FALSE)</f>
        <v>Full-Time</v>
      </c>
      <c r="J122" s="7">
        <v>1001</v>
      </c>
      <c r="K122">
        <v>12</v>
      </c>
      <c r="L122">
        <v>2018</v>
      </c>
      <c r="M122">
        <v>5</v>
      </c>
      <c r="N122">
        <v>1</v>
      </c>
    </row>
    <row r="123" spans="1:14" x14ac:dyDescent="0.25">
      <c r="A123" t="s">
        <v>2369</v>
      </c>
      <c r="B123" t="s">
        <v>1825</v>
      </c>
      <c r="C123" t="s">
        <v>1826</v>
      </c>
      <c r="D123" t="str">
        <f>VLOOKUP(J123,Location[],2,FALSE)</f>
        <v>Chicago</v>
      </c>
      <c r="E123" t="str">
        <f>VLOOKUP(J123,Location[],3,FALSE)</f>
        <v> Illinois</v>
      </c>
      <c r="F123" t="str">
        <f>VLOOKUP(K123,Dept[],2,FALSE)</f>
        <v>R&amp;D</v>
      </c>
      <c r="G123" s="11">
        <f t="shared" si="1"/>
        <v>43160</v>
      </c>
      <c r="H123" t="str">
        <f>VLOOKUP(N123,Status[],2,FALSE)</f>
        <v>Full-Time</v>
      </c>
      <c r="J123" s="7">
        <v>1003</v>
      </c>
      <c r="K123">
        <v>21</v>
      </c>
      <c r="L123">
        <v>2018</v>
      </c>
      <c r="M123">
        <v>3</v>
      </c>
      <c r="N123">
        <v>1</v>
      </c>
    </row>
    <row r="124" spans="1:14" x14ac:dyDescent="0.25">
      <c r="A124" t="s">
        <v>2370</v>
      </c>
      <c r="B124" t="s">
        <v>841</v>
      </c>
      <c r="C124" t="s">
        <v>2046</v>
      </c>
      <c r="D124" t="str">
        <f>VLOOKUP(J124,Location[],2,FALSE)</f>
        <v>Lubbock</v>
      </c>
      <c r="E124" t="str">
        <f>VLOOKUP(J124,Location[],3,FALSE)</f>
        <v> Texas</v>
      </c>
      <c r="F124" t="str">
        <f>VLOOKUP(K124,Dept[],2,FALSE)</f>
        <v>Administration</v>
      </c>
      <c r="G124" s="11">
        <f t="shared" si="1"/>
        <v>44805</v>
      </c>
      <c r="H124" t="str">
        <f>VLOOKUP(N124,Status[],2,FALSE)</f>
        <v>Full-Time</v>
      </c>
      <c r="J124" s="7">
        <v>1083</v>
      </c>
      <c r="K124">
        <v>12</v>
      </c>
      <c r="L124">
        <v>2022</v>
      </c>
      <c r="M124">
        <v>9</v>
      </c>
      <c r="N124">
        <v>1</v>
      </c>
    </row>
    <row r="125" spans="1:14" x14ac:dyDescent="0.25">
      <c r="A125" t="s">
        <v>2371</v>
      </c>
      <c r="B125" t="s">
        <v>551</v>
      </c>
      <c r="C125" t="s">
        <v>1150</v>
      </c>
      <c r="D125" t="str">
        <f>VLOOKUP(J125,Location[],2,FALSE)</f>
        <v>Mesa</v>
      </c>
      <c r="E125" t="str">
        <f>VLOOKUP(J125,Location[],3,FALSE)</f>
        <v> Arizona</v>
      </c>
      <c r="F125" t="str">
        <f>VLOOKUP(K125,Dept[],2,FALSE)</f>
        <v>Administration</v>
      </c>
      <c r="G125" s="11">
        <f t="shared" si="1"/>
        <v>41518</v>
      </c>
      <c r="H125" t="str">
        <f>VLOOKUP(N125,Status[],2,FALSE)</f>
        <v>Full-Time</v>
      </c>
      <c r="J125" s="7">
        <v>1036</v>
      </c>
      <c r="K125">
        <v>12</v>
      </c>
      <c r="L125">
        <v>2013</v>
      </c>
      <c r="M125">
        <v>9</v>
      </c>
      <c r="N125">
        <v>1</v>
      </c>
    </row>
    <row r="126" spans="1:14" x14ac:dyDescent="0.25">
      <c r="A126" t="s">
        <v>2372</v>
      </c>
      <c r="B126" t="s">
        <v>406</v>
      </c>
      <c r="C126" t="s">
        <v>1809</v>
      </c>
      <c r="D126" t="str">
        <f>VLOOKUP(J126,Location[],2,FALSE)</f>
        <v>Raleigh</v>
      </c>
      <c r="E126" t="str">
        <f>VLOOKUP(J126,Location[],3,FALSE)</f>
        <v> North Carolina</v>
      </c>
      <c r="F126" t="str">
        <f>VLOOKUP(K126,Dept[],2,FALSE)</f>
        <v>Marketing</v>
      </c>
      <c r="G126" s="11">
        <f t="shared" si="1"/>
        <v>45108</v>
      </c>
      <c r="H126" t="str">
        <f>VLOOKUP(N126,Status[],2,FALSE)</f>
        <v>Full-Time</v>
      </c>
      <c r="J126" s="7">
        <v>1041</v>
      </c>
      <c r="K126">
        <v>19</v>
      </c>
      <c r="L126">
        <v>2023</v>
      </c>
      <c r="M126">
        <v>7</v>
      </c>
      <c r="N126">
        <v>1</v>
      </c>
    </row>
    <row r="127" spans="1:14" x14ac:dyDescent="0.25">
      <c r="A127" t="s">
        <v>2373</v>
      </c>
      <c r="B127" t="s">
        <v>480</v>
      </c>
      <c r="C127" t="s">
        <v>481</v>
      </c>
      <c r="D127" t="str">
        <f>VLOOKUP(J127,Location[],2,FALSE)</f>
        <v>Las Vegas</v>
      </c>
      <c r="E127" t="str">
        <f>VLOOKUP(J127,Location[],3,FALSE)</f>
        <v> Nevada</v>
      </c>
      <c r="F127" t="str">
        <f>VLOOKUP(K127,Dept[],2,FALSE)</f>
        <v>Sales</v>
      </c>
      <c r="G127" s="11">
        <f t="shared" si="1"/>
        <v>41091</v>
      </c>
      <c r="H127" t="str">
        <f>VLOOKUP(N127,Status[],2,FALSE)</f>
        <v>Part-Time</v>
      </c>
      <c r="J127" s="7">
        <v>1028</v>
      </c>
      <c r="K127">
        <v>22</v>
      </c>
      <c r="L127">
        <v>2012</v>
      </c>
      <c r="M127">
        <v>7</v>
      </c>
      <c r="N127">
        <v>0</v>
      </c>
    </row>
    <row r="128" spans="1:14" x14ac:dyDescent="0.25">
      <c r="A128" t="s">
        <v>2374</v>
      </c>
      <c r="B128" t="s">
        <v>341</v>
      </c>
      <c r="C128" t="s">
        <v>342</v>
      </c>
      <c r="D128" t="str">
        <f>VLOOKUP(J128,Location[],2,FALSE)</f>
        <v>Laredo</v>
      </c>
      <c r="E128" t="str">
        <f>VLOOKUP(J128,Location[],3,FALSE)</f>
        <v> Texas</v>
      </c>
      <c r="F128" t="str">
        <f>VLOOKUP(K128,Dept[],2,FALSE)</f>
        <v>Legal</v>
      </c>
      <c r="G128" s="11">
        <f t="shared" si="1"/>
        <v>43739</v>
      </c>
      <c r="H128" t="str">
        <f>VLOOKUP(N128,Status[],2,FALSE)</f>
        <v>Part-Time</v>
      </c>
      <c r="J128" s="7">
        <v>1080</v>
      </c>
      <c r="K128">
        <v>18</v>
      </c>
      <c r="L128">
        <v>2019</v>
      </c>
      <c r="M128">
        <v>10</v>
      </c>
      <c r="N128">
        <v>0</v>
      </c>
    </row>
    <row r="129" spans="1:14" x14ac:dyDescent="0.25">
      <c r="A129" t="s">
        <v>2375</v>
      </c>
      <c r="B129" t="s">
        <v>253</v>
      </c>
      <c r="C129" t="s">
        <v>577</v>
      </c>
      <c r="D129" t="str">
        <f>VLOOKUP(J129,Location[],2,FALSE)</f>
        <v>Chula Vista</v>
      </c>
      <c r="E129" t="str">
        <f>VLOOKUP(J129,Location[],3,FALSE)</f>
        <v> California</v>
      </c>
      <c r="F129" t="str">
        <f>VLOOKUP(K129,Dept[],2,FALSE)</f>
        <v>IT</v>
      </c>
      <c r="G129" s="11">
        <f t="shared" si="1"/>
        <v>44409</v>
      </c>
      <c r="H129" t="str">
        <f>VLOOKUP(N129,Status[],2,FALSE)</f>
        <v>Full-Time</v>
      </c>
      <c r="J129" s="7">
        <v>1076</v>
      </c>
      <c r="K129">
        <v>17</v>
      </c>
      <c r="L129">
        <v>2021</v>
      </c>
      <c r="M129">
        <v>8</v>
      </c>
      <c r="N129">
        <v>1</v>
      </c>
    </row>
    <row r="130" spans="1:14" x14ac:dyDescent="0.25">
      <c r="A130" t="s">
        <v>2376</v>
      </c>
      <c r="B130" t="s">
        <v>83</v>
      </c>
      <c r="C130" t="s">
        <v>2007</v>
      </c>
      <c r="D130" t="str">
        <f>VLOOKUP(J130,Location[],2,FALSE)</f>
        <v>Minneapolis</v>
      </c>
      <c r="E130" t="str">
        <f>VLOOKUP(J130,Location[],3,FALSE)</f>
        <v> Minnesota</v>
      </c>
      <c r="F130" t="str">
        <f>VLOOKUP(K130,Dept[],2,FALSE)</f>
        <v>Assessment</v>
      </c>
      <c r="G130" s="11">
        <f t="shared" si="1"/>
        <v>42370</v>
      </c>
      <c r="H130" t="str">
        <f>VLOOKUP(N130,Status[],2,FALSE)</f>
        <v>Full-Time</v>
      </c>
      <c r="J130" s="7">
        <v>1046</v>
      </c>
      <c r="K130">
        <v>13</v>
      </c>
      <c r="L130">
        <v>2016</v>
      </c>
      <c r="M130">
        <v>1</v>
      </c>
      <c r="N130">
        <v>1</v>
      </c>
    </row>
    <row r="131" spans="1:14" x14ac:dyDescent="0.25">
      <c r="A131" t="s">
        <v>2377</v>
      </c>
      <c r="B131" t="s">
        <v>27</v>
      </c>
      <c r="C131" t="s">
        <v>1818</v>
      </c>
      <c r="D131" t="str">
        <f>VLOOKUP(J131,Location[],2,FALSE)</f>
        <v>Raleigh</v>
      </c>
      <c r="E131" t="str">
        <f>VLOOKUP(J131,Location[],3,FALSE)</f>
        <v> North Carolina</v>
      </c>
      <c r="F131" t="str">
        <f>VLOOKUP(K131,Dept[],2,FALSE)</f>
        <v>Finance</v>
      </c>
      <c r="G131" s="11">
        <f t="shared" si="1"/>
        <v>43374</v>
      </c>
      <c r="H131" t="str">
        <f>VLOOKUP(N131,Status[],2,FALSE)</f>
        <v>Full-Time</v>
      </c>
      <c r="J131" s="7">
        <v>1041</v>
      </c>
      <c r="K131">
        <v>15</v>
      </c>
      <c r="L131">
        <v>2018</v>
      </c>
      <c r="M131">
        <v>10</v>
      </c>
      <c r="N131">
        <v>1</v>
      </c>
    </row>
    <row r="132" spans="1:14" x14ac:dyDescent="0.25">
      <c r="A132" t="s">
        <v>2378</v>
      </c>
      <c r="B132" t="s">
        <v>161</v>
      </c>
      <c r="C132" t="s">
        <v>162</v>
      </c>
      <c r="D132" t="str">
        <f>VLOOKUP(J132,Location[],2,FALSE)</f>
        <v>Phoenix</v>
      </c>
      <c r="E132" t="str">
        <f>VLOOKUP(J132,Location[],3,FALSE)</f>
        <v> Arizona</v>
      </c>
      <c r="F132" t="str">
        <f>VLOOKUP(K132,Dept[],2,FALSE)</f>
        <v>Accounting</v>
      </c>
      <c r="G132" s="11">
        <f t="shared" si="1"/>
        <v>41883</v>
      </c>
      <c r="H132" t="str">
        <f>VLOOKUP(N132,Status[],2,FALSE)</f>
        <v>Full-Time</v>
      </c>
      <c r="J132" s="7">
        <v>1005</v>
      </c>
      <c r="K132">
        <v>11</v>
      </c>
      <c r="L132">
        <v>2014</v>
      </c>
      <c r="M132">
        <v>9</v>
      </c>
      <c r="N132">
        <v>1</v>
      </c>
    </row>
    <row r="133" spans="1:14" x14ac:dyDescent="0.25">
      <c r="A133" t="s">
        <v>2379</v>
      </c>
      <c r="B133" t="s">
        <v>47</v>
      </c>
      <c r="C133" t="s">
        <v>1424</v>
      </c>
      <c r="D133" t="str">
        <f>VLOOKUP(J133,Location[],2,FALSE)</f>
        <v>Milwaukee</v>
      </c>
      <c r="E133" t="str">
        <f>VLOOKUP(J133,Location[],3,FALSE)</f>
        <v> Wisconsin</v>
      </c>
      <c r="F133" t="str">
        <f>VLOOKUP(K133,Dept[],2,FALSE)</f>
        <v>Accounting</v>
      </c>
      <c r="G133" s="11">
        <f t="shared" ref="G133:G196" si="2">DATE(L133,M133,1)</f>
        <v>43952</v>
      </c>
      <c r="H133" t="str">
        <f>VLOOKUP(N133,Status[],2,FALSE)</f>
        <v>Full-Time</v>
      </c>
      <c r="J133" s="7">
        <v>1031</v>
      </c>
      <c r="K133">
        <v>11</v>
      </c>
      <c r="L133">
        <v>2020</v>
      </c>
      <c r="M133">
        <v>5</v>
      </c>
      <c r="N133">
        <v>1</v>
      </c>
    </row>
    <row r="134" spans="1:14" x14ac:dyDescent="0.25">
      <c r="A134" t="s">
        <v>2380</v>
      </c>
      <c r="B134" t="s">
        <v>511</v>
      </c>
      <c r="C134" t="s">
        <v>512</v>
      </c>
      <c r="D134" t="str">
        <f>VLOOKUP(J134,Location[],2,FALSE)</f>
        <v>Los Angeles</v>
      </c>
      <c r="E134" t="str">
        <f>VLOOKUP(J134,Location[],3,FALSE)</f>
        <v> California</v>
      </c>
      <c r="F134" t="str">
        <f>VLOOKUP(K134,Dept[],2,FALSE)</f>
        <v>Human Resources</v>
      </c>
      <c r="G134" s="11">
        <f t="shared" si="2"/>
        <v>40940</v>
      </c>
      <c r="H134" t="str">
        <f>VLOOKUP(N134,Status[],2,FALSE)</f>
        <v>Full-Time</v>
      </c>
      <c r="J134" s="7">
        <v>1002</v>
      </c>
      <c r="K134">
        <v>16</v>
      </c>
      <c r="L134">
        <v>2012</v>
      </c>
      <c r="M134">
        <v>2</v>
      </c>
      <c r="N134">
        <v>1</v>
      </c>
    </row>
    <row r="135" spans="1:14" x14ac:dyDescent="0.25">
      <c r="A135" t="s">
        <v>2381</v>
      </c>
      <c r="B135" t="s">
        <v>47</v>
      </c>
      <c r="C135" t="s">
        <v>704</v>
      </c>
      <c r="D135" t="str">
        <f>VLOOKUP(J135,Location[],2,FALSE)</f>
        <v>Honolulu</v>
      </c>
      <c r="E135" t="str">
        <f>VLOOKUP(J135,Location[],3,FALSE)</f>
        <v> Hawaii</v>
      </c>
      <c r="F135" t="str">
        <f>VLOOKUP(K135,Dept[],2,FALSE)</f>
        <v>Customer Support</v>
      </c>
      <c r="G135" s="11">
        <f t="shared" si="2"/>
        <v>45139</v>
      </c>
      <c r="H135" t="str">
        <f>VLOOKUP(N135,Status[],2,FALSE)</f>
        <v>Full-Time</v>
      </c>
      <c r="J135" s="7">
        <v>1056</v>
      </c>
      <c r="K135">
        <v>14</v>
      </c>
      <c r="L135">
        <v>2023</v>
      </c>
      <c r="M135">
        <v>8</v>
      </c>
      <c r="N135">
        <v>1</v>
      </c>
    </row>
    <row r="136" spans="1:14" x14ac:dyDescent="0.25">
      <c r="A136" t="s">
        <v>2382</v>
      </c>
      <c r="B136" t="s">
        <v>448</v>
      </c>
      <c r="C136" t="s">
        <v>2026</v>
      </c>
      <c r="D136" t="str">
        <f>VLOOKUP(J136,Location[],2,FALSE)</f>
        <v>Los Angeles</v>
      </c>
      <c r="E136" t="str">
        <f>VLOOKUP(J136,Location[],3,FALSE)</f>
        <v> California</v>
      </c>
      <c r="F136" t="str">
        <f>VLOOKUP(K136,Dept[],2,FALSE)</f>
        <v>Accounting</v>
      </c>
      <c r="G136" s="11">
        <f t="shared" si="2"/>
        <v>43831</v>
      </c>
      <c r="H136" t="str">
        <f>VLOOKUP(N136,Status[],2,FALSE)</f>
        <v>Full-Time</v>
      </c>
      <c r="J136" s="7">
        <v>1002</v>
      </c>
      <c r="K136">
        <v>11</v>
      </c>
      <c r="L136">
        <v>2020</v>
      </c>
      <c r="M136">
        <v>1</v>
      </c>
      <c r="N136">
        <v>1</v>
      </c>
    </row>
    <row r="137" spans="1:14" x14ac:dyDescent="0.25">
      <c r="A137" t="s">
        <v>2383</v>
      </c>
      <c r="B137" t="s">
        <v>166</v>
      </c>
      <c r="C137" t="s">
        <v>1945</v>
      </c>
      <c r="D137" t="str">
        <f>VLOOKUP(J137,Location[],2,FALSE)</f>
        <v>Riverside</v>
      </c>
      <c r="E137" t="str">
        <f>VLOOKUP(J137,Location[],3,FALSE)</f>
        <v> California</v>
      </c>
      <c r="F137" t="str">
        <f>VLOOKUP(K137,Dept[],2,FALSE)</f>
        <v>Shipping</v>
      </c>
      <c r="G137" s="11">
        <f t="shared" si="2"/>
        <v>41030</v>
      </c>
      <c r="H137" t="str">
        <f>VLOOKUP(N137,Status[],2,FALSE)</f>
        <v>Full-Time</v>
      </c>
      <c r="J137" s="7">
        <v>1058</v>
      </c>
      <c r="K137">
        <v>23</v>
      </c>
      <c r="L137">
        <v>2012</v>
      </c>
      <c r="M137">
        <v>5</v>
      </c>
      <c r="N137">
        <v>1</v>
      </c>
    </row>
    <row r="138" spans="1:14" x14ac:dyDescent="0.25">
      <c r="A138" t="s">
        <v>2384</v>
      </c>
      <c r="B138" t="s">
        <v>1295</v>
      </c>
      <c r="C138" t="s">
        <v>1296</v>
      </c>
      <c r="D138" t="str">
        <f>VLOOKUP(J138,Location[],2,FALSE)</f>
        <v>Philadelphia</v>
      </c>
      <c r="E138" t="str">
        <f>VLOOKUP(J138,Location[],3,FALSE)</f>
        <v> Pennsylvania</v>
      </c>
      <c r="F138" t="str">
        <f>VLOOKUP(K138,Dept[],2,FALSE)</f>
        <v>Administration</v>
      </c>
      <c r="G138" s="11">
        <f t="shared" si="2"/>
        <v>40909</v>
      </c>
      <c r="H138" t="str">
        <f>VLOOKUP(N138,Status[],2,FALSE)</f>
        <v>Full-Time</v>
      </c>
      <c r="J138" s="7">
        <v>1006</v>
      </c>
      <c r="K138">
        <v>12</v>
      </c>
      <c r="L138">
        <v>2012</v>
      </c>
      <c r="M138">
        <v>1</v>
      </c>
      <c r="N138">
        <v>1</v>
      </c>
    </row>
    <row r="139" spans="1:14" x14ac:dyDescent="0.25">
      <c r="A139" t="s">
        <v>2385</v>
      </c>
      <c r="B139" t="s">
        <v>1729</v>
      </c>
      <c r="C139" t="s">
        <v>1730</v>
      </c>
      <c r="D139" t="str">
        <f>VLOOKUP(J139,Location[],2,FALSE)</f>
        <v>Memphis</v>
      </c>
      <c r="E139" t="str">
        <f>VLOOKUP(J139,Location[],3,FALSE)</f>
        <v> Tennessee</v>
      </c>
      <c r="F139" t="str">
        <f>VLOOKUP(K139,Dept[],2,FALSE)</f>
        <v>R&amp;D</v>
      </c>
      <c r="G139" s="11">
        <f t="shared" si="2"/>
        <v>42614</v>
      </c>
      <c r="H139" t="str">
        <f>VLOOKUP(N139,Status[],2,FALSE)</f>
        <v>Full-Time</v>
      </c>
      <c r="J139" s="7">
        <v>1025</v>
      </c>
      <c r="K139">
        <v>21</v>
      </c>
      <c r="L139">
        <v>2016</v>
      </c>
      <c r="M139">
        <v>9</v>
      </c>
      <c r="N139">
        <v>1</v>
      </c>
    </row>
    <row r="140" spans="1:14" x14ac:dyDescent="0.25">
      <c r="A140" t="s">
        <v>2386</v>
      </c>
      <c r="B140" t="s">
        <v>1850</v>
      </c>
      <c r="C140" t="s">
        <v>1851</v>
      </c>
      <c r="D140" t="str">
        <f>VLOOKUP(J140,Location[],2,FALSE)</f>
        <v>Scottsdale</v>
      </c>
      <c r="E140" t="str">
        <f>VLOOKUP(J140,Location[],3,FALSE)</f>
        <v> Arizona</v>
      </c>
      <c r="F140" t="str">
        <f>VLOOKUP(K140,Dept[],2,FALSE)</f>
        <v>Customer Support</v>
      </c>
      <c r="G140" s="11">
        <f t="shared" si="2"/>
        <v>45200</v>
      </c>
      <c r="H140" t="str">
        <f>VLOOKUP(N140,Status[],2,FALSE)</f>
        <v>Full-Time</v>
      </c>
      <c r="J140" s="7">
        <v>1085</v>
      </c>
      <c r="K140">
        <v>14</v>
      </c>
      <c r="L140">
        <v>2023</v>
      </c>
      <c r="M140">
        <v>10</v>
      </c>
      <c r="N140">
        <v>1</v>
      </c>
    </row>
    <row r="141" spans="1:14" x14ac:dyDescent="0.25">
      <c r="A141" t="s">
        <v>2387</v>
      </c>
      <c r="B141" t="s">
        <v>766</v>
      </c>
      <c r="C141" t="s">
        <v>1337</v>
      </c>
      <c r="D141" t="str">
        <f>VLOOKUP(J141,Location[],2,FALSE)</f>
        <v>Houston</v>
      </c>
      <c r="E141" t="str">
        <f>VLOOKUP(J141,Location[],3,FALSE)</f>
        <v> Texas</v>
      </c>
      <c r="F141" t="str">
        <f>VLOOKUP(K141,Dept[],2,FALSE)</f>
        <v>Customer Support</v>
      </c>
      <c r="G141" s="11">
        <f t="shared" si="2"/>
        <v>41760</v>
      </c>
      <c r="H141" t="str">
        <f>VLOOKUP(N141,Status[],2,FALSE)</f>
        <v>Full-Time</v>
      </c>
      <c r="J141" s="7">
        <v>1004</v>
      </c>
      <c r="K141">
        <v>14</v>
      </c>
      <c r="L141">
        <v>2014</v>
      </c>
      <c r="M141">
        <v>5</v>
      </c>
      <c r="N141">
        <v>1</v>
      </c>
    </row>
    <row r="142" spans="1:14" x14ac:dyDescent="0.25">
      <c r="A142" t="s">
        <v>2388</v>
      </c>
      <c r="B142" t="s">
        <v>253</v>
      </c>
      <c r="C142" t="s">
        <v>1337</v>
      </c>
      <c r="D142" t="str">
        <f>VLOOKUP(J142,Location[],2,FALSE)</f>
        <v>Washington, D.C.</v>
      </c>
      <c r="E142" t="str">
        <f>VLOOKUP(J142,Location[],3,FALSE)</f>
        <v> District of Columbia</v>
      </c>
      <c r="F142" t="str">
        <f>VLOOKUP(K142,Dept[],2,FALSE)</f>
        <v>Administration</v>
      </c>
      <c r="G142" s="11">
        <f t="shared" si="2"/>
        <v>42826</v>
      </c>
      <c r="H142" t="str">
        <f>VLOOKUP(N142,Status[],2,FALSE)</f>
        <v>Full-Time</v>
      </c>
      <c r="J142" s="7">
        <v>1020</v>
      </c>
      <c r="K142">
        <v>12</v>
      </c>
      <c r="L142">
        <v>2017</v>
      </c>
      <c r="M142">
        <v>4</v>
      </c>
      <c r="N142">
        <v>1</v>
      </c>
    </row>
    <row r="143" spans="1:14" x14ac:dyDescent="0.25">
      <c r="A143" t="s">
        <v>2389</v>
      </c>
      <c r="B143" t="s">
        <v>2091</v>
      </c>
      <c r="C143" t="s">
        <v>240</v>
      </c>
      <c r="D143" t="str">
        <f>VLOOKUP(J143,Location[],2,FALSE)</f>
        <v>Denver</v>
      </c>
      <c r="E143" t="str">
        <f>VLOOKUP(J143,Location[],3,FALSE)</f>
        <v> Colorado</v>
      </c>
      <c r="F143" t="str">
        <f>VLOOKUP(K143,Dept[],2,FALSE)</f>
        <v>Customer Support</v>
      </c>
      <c r="G143" s="11">
        <f t="shared" si="2"/>
        <v>42644</v>
      </c>
      <c r="H143" t="str">
        <f>VLOOKUP(N143,Status[],2,FALSE)</f>
        <v>Full-Time</v>
      </c>
      <c r="J143" s="7">
        <v>1019</v>
      </c>
      <c r="K143">
        <v>14</v>
      </c>
      <c r="L143">
        <v>2016</v>
      </c>
      <c r="M143">
        <v>10</v>
      </c>
      <c r="N143">
        <v>1</v>
      </c>
    </row>
    <row r="144" spans="1:14" x14ac:dyDescent="0.25">
      <c r="A144" t="s">
        <v>2390</v>
      </c>
      <c r="B144" t="s">
        <v>239</v>
      </c>
      <c r="C144" t="s">
        <v>240</v>
      </c>
      <c r="D144" t="str">
        <f>VLOOKUP(J144,Location[],2,FALSE)</f>
        <v>Oakland</v>
      </c>
      <c r="E144" t="str">
        <f>VLOOKUP(J144,Location[],3,FALSE)</f>
        <v> California</v>
      </c>
      <c r="F144" t="str">
        <f>VLOOKUP(K144,Dept[],2,FALSE)</f>
        <v>Legal</v>
      </c>
      <c r="G144" s="11">
        <f t="shared" si="2"/>
        <v>41699</v>
      </c>
      <c r="H144" t="str">
        <f>VLOOKUP(N144,Status[],2,FALSE)</f>
        <v>Part-Time</v>
      </c>
      <c r="J144" s="7">
        <v>1045</v>
      </c>
      <c r="K144">
        <v>18</v>
      </c>
      <c r="L144">
        <v>2014</v>
      </c>
      <c r="M144">
        <v>3</v>
      </c>
      <c r="N144">
        <v>0</v>
      </c>
    </row>
    <row r="145" spans="1:14" x14ac:dyDescent="0.25">
      <c r="A145" t="s">
        <v>2391</v>
      </c>
      <c r="B145" t="s">
        <v>47</v>
      </c>
      <c r="C145" t="s">
        <v>240</v>
      </c>
      <c r="D145" t="str">
        <f>VLOOKUP(J145,Location[],2,FALSE)</f>
        <v>Chicago</v>
      </c>
      <c r="E145" t="str">
        <f>VLOOKUP(J145,Location[],3,FALSE)</f>
        <v> Illinois</v>
      </c>
      <c r="F145" t="str">
        <f>VLOOKUP(K145,Dept[],2,FALSE)</f>
        <v>Customer Support</v>
      </c>
      <c r="G145" s="11">
        <f t="shared" si="2"/>
        <v>45047</v>
      </c>
      <c r="H145" t="str">
        <f>VLOOKUP(N145,Status[],2,FALSE)</f>
        <v>Full-Time</v>
      </c>
      <c r="J145" s="7">
        <v>1003</v>
      </c>
      <c r="K145">
        <v>14</v>
      </c>
      <c r="L145">
        <v>2023</v>
      </c>
      <c r="M145">
        <v>5</v>
      </c>
      <c r="N145">
        <v>1</v>
      </c>
    </row>
    <row r="146" spans="1:14" x14ac:dyDescent="0.25">
      <c r="A146" t="s">
        <v>2392</v>
      </c>
      <c r="B146" t="s">
        <v>649</v>
      </c>
      <c r="C146" t="s">
        <v>650</v>
      </c>
      <c r="D146" t="str">
        <f>VLOOKUP(J146,Location[],2,FALSE)</f>
        <v>Seattle</v>
      </c>
      <c r="E146" t="str">
        <f>VLOOKUP(J146,Location[],3,FALSE)</f>
        <v> Washington</v>
      </c>
      <c r="F146" t="str">
        <f>VLOOKUP(K146,Dept[],2,FALSE)</f>
        <v>Shipping</v>
      </c>
      <c r="G146" s="11">
        <f t="shared" si="2"/>
        <v>45017</v>
      </c>
      <c r="H146" t="str">
        <f>VLOOKUP(N146,Status[],2,FALSE)</f>
        <v>Full-Time</v>
      </c>
      <c r="J146" s="7">
        <v>1018</v>
      </c>
      <c r="K146">
        <v>23</v>
      </c>
      <c r="L146">
        <v>2023</v>
      </c>
      <c r="M146">
        <v>4</v>
      </c>
      <c r="N146">
        <v>1</v>
      </c>
    </row>
    <row r="147" spans="1:14" x14ac:dyDescent="0.25">
      <c r="A147" t="s">
        <v>2393</v>
      </c>
      <c r="B147" t="s">
        <v>81</v>
      </c>
      <c r="C147" t="s">
        <v>82</v>
      </c>
      <c r="D147" t="str">
        <f>VLOOKUP(J147,Location[],2,FALSE)</f>
        <v>Portland</v>
      </c>
      <c r="E147" t="str">
        <f>VLOOKUP(J147,Location[],3,FALSE)</f>
        <v> Oregon</v>
      </c>
      <c r="F147" t="str">
        <f>VLOOKUP(K147,Dept[],2,FALSE)</f>
        <v>Administration</v>
      </c>
      <c r="G147" s="11">
        <f t="shared" si="2"/>
        <v>41609</v>
      </c>
      <c r="H147" t="str">
        <f>VLOOKUP(N147,Status[],2,FALSE)</f>
        <v>Full-Time</v>
      </c>
      <c r="J147" s="7">
        <v>1026</v>
      </c>
      <c r="K147">
        <v>12</v>
      </c>
      <c r="L147">
        <v>2013</v>
      </c>
      <c r="M147">
        <v>12</v>
      </c>
      <c r="N147">
        <v>1</v>
      </c>
    </row>
    <row r="148" spans="1:14" x14ac:dyDescent="0.25">
      <c r="A148" t="s">
        <v>2394</v>
      </c>
      <c r="B148" t="s">
        <v>915</v>
      </c>
      <c r="C148" t="s">
        <v>1406</v>
      </c>
      <c r="D148" t="str">
        <f>VLOOKUP(J148,Location[],2,FALSE)</f>
        <v>Austin</v>
      </c>
      <c r="E148" t="str">
        <f>VLOOKUP(J148,Location[],3,FALSE)</f>
        <v> Texas</v>
      </c>
      <c r="F148" t="str">
        <f>VLOOKUP(K148,Dept[],2,FALSE)</f>
        <v>Finance</v>
      </c>
      <c r="G148" s="11">
        <f t="shared" si="2"/>
        <v>43466</v>
      </c>
      <c r="H148" t="str">
        <f>VLOOKUP(N148,Status[],2,FALSE)</f>
        <v>Full-Time</v>
      </c>
      <c r="J148" s="7">
        <v>1011</v>
      </c>
      <c r="K148">
        <v>15</v>
      </c>
      <c r="L148">
        <v>2019</v>
      </c>
      <c r="M148">
        <v>1</v>
      </c>
      <c r="N148">
        <v>1</v>
      </c>
    </row>
    <row r="149" spans="1:14" x14ac:dyDescent="0.25">
      <c r="A149" t="s">
        <v>2395</v>
      </c>
      <c r="B149" t="s">
        <v>593</v>
      </c>
      <c r="C149" t="s">
        <v>1406</v>
      </c>
      <c r="D149" t="str">
        <f>VLOOKUP(J149,Location[],2,FALSE)</f>
        <v>New York City</v>
      </c>
      <c r="E149" t="str">
        <f>VLOOKUP(J149,Location[],3,FALSE)</f>
        <v> New York</v>
      </c>
      <c r="F149" t="str">
        <f>VLOOKUP(K149,Dept[],2,FALSE)</f>
        <v>Accounting</v>
      </c>
      <c r="G149" s="11">
        <f t="shared" si="2"/>
        <v>41426</v>
      </c>
      <c r="H149" t="str">
        <f>VLOOKUP(N149,Status[],2,FALSE)</f>
        <v>Full-Time</v>
      </c>
      <c r="J149" s="7">
        <v>1001</v>
      </c>
      <c r="K149">
        <v>11</v>
      </c>
      <c r="L149">
        <v>2013</v>
      </c>
      <c r="M149">
        <v>6</v>
      </c>
      <c r="N149">
        <v>1</v>
      </c>
    </row>
    <row r="150" spans="1:14" x14ac:dyDescent="0.25">
      <c r="A150" t="s">
        <v>2396</v>
      </c>
      <c r="B150" t="s">
        <v>644</v>
      </c>
      <c r="C150" t="s">
        <v>1406</v>
      </c>
      <c r="D150" t="str">
        <f>VLOOKUP(J150,Location[],2,FALSE)</f>
        <v>Fort Worth</v>
      </c>
      <c r="E150" t="str">
        <f>VLOOKUP(J150,Location[],3,FALSE)</f>
        <v> Texas</v>
      </c>
      <c r="F150" t="str">
        <f>VLOOKUP(K150,Dept[],2,FALSE)</f>
        <v>Customer Support</v>
      </c>
      <c r="G150" s="11">
        <f t="shared" si="2"/>
        <v>44743</v>
      </c>
      <c r="H150" t="str">
        <f>VLOOKUP(N150,Status[],2,FALSE)</f>
        <v>Full-Time</v>
      </c>
      <c r="J150" s="7">
        <v>1015</v>
      </c>
      <c r="K150">
        <v>14</v>
      </c>
      <c r="L150">
        <v>2022</v>
      </c>
      <c r="M150">
        <v>7</v>
      </c>
      <c r="N150">
        <v>1</v>
      </c>
    </row>
    <row r="151" spans="1:14" x14ac:dyDescent="0.25">
      <c r="A151" t="s">
        <v>2397</v>
      </c>
      <c r="B151" t="s">
        <v>1096</v>
      </c>
      <c r="C151" t="s">
        <v>1097</v>
      </c>
      <c r="D151" t="str">
        <f>VLOOKUP(J151,Location[],2,FALSE)</f>
        <v>Louisville</v>
      </c>
      <c r="E151" t="str">
        <f>VLOOKUP(J151,Location[],3,FALSE)</f>
        <v> Kentucky</v>
      </c>
      <c r="F151" t="str">
        <f>VLOOKUP(K151,Dept[],2,FALSE)</f>
        <v>Finance</v>
      </c>
      <c r="G151" s="11">
        <f t="shared" si="2"/>
        <v>44743</v>
      </c>
      <c r="H151" t="str">
        <f>VLOOKUP(N151,Status[],2,FALSE)</f>
        <v>Full-Time</v>
      </c>
      <c r="J151" s="7">
        <v>1029</v>
      </c>
      <c r="K151">
        <v>15</v>
      </c>
      <c r="L151">
        <v>2022</v>
      </c>
      <c r="M151">
        <v>7</v>
      </c>
      <c r="N151">
        <v>1</v>
      </c>
    </row>
    <row r="152" spans="1:14" x14ac:dyDescent="0.25">
      <c r="A152" t="s">
        <v>2398</v>
      </c>
      <c r="B152" t="s">
        <v>108</v>
      </c>
      <c r="C152" t="s">
        <v>1242</v>
      </c>
      <c r="D152" t="str">
        <f>VLOOKUP(J152,Location[],2,FALSE)</f>
        <v>New York City</v>
      </c>
      <c r="E152" t="str">
        <f>VLOOKUP(J152,Location[],3,FALSE)</f>
        <v> New York</v>
      </c>
      <c r="F152" t="str">
        <f>VLOOKUP(K152,Dept[],2,FALSE)</f>
        <v>Finance</v>
      </c>
      <c r="G152" s="11">
        <f t="shared" si="2"/>
        <v>43586</v>
      </c>
      <c r="H152" t="str">
        <f>VLOOKUP(N152,Status[],2,FALSE)</f>
        <v>Part-Time</v>
      </c>
      <c r="J152" s="7">
        <v>1001</v>
      </c>
      <c r="K152">
        <v>15</v>
      </c>
      <c r="L152">
        <v>2019</v>
      </c>
      <c r="M152">
        <v>5</v>
      </c>
      <c r="N152">
        <v>0</v>
      </c>
    </row>
    <row r="153" spans="1:14" x14ac:dyDescent="0.25">
      <c r="A153" t="s">
        <v>2399</v>
      </c>
      <c r="B153" t="s">
        <v>75</v>
      </c>
      <c r="C153" t="s">
        <v>616</v>
      </c>
      <c r="D153" t="str">
        <f>VLOOKUP(J153,Location[],2,FALSE)</f>
        <v>Albuquerque</v>
      </c>
      <c r="E153" t="str">
        <f>VLOOKUP(J153,Location[],3,FALSE)</f>
        <v> New Mexico</v>
      </c>
      <c r="F153" t="str">
        <f>VLOOKUP(K153,Dept[],2,FALSE)</f>
        <v>R&amp;D</v>
      </c>
      <c r="G153" s="11">
        <f t="shared" si="2"/>
        <v>43525</v>
      </c>
      <c r="H153" t="str">
        <f>VLOOKUP(N153,Status[],2,FALSE)</f>
        <v>Full-Time</v>
      </c>
      <c r="J153" s="7">
        <v>1032</v>
      </c>
      <c r="K153">
        <v>21</v>
      </c>
      <c r="L153">
        <v>2019</v>
      </c>
      <c r="M153">
        <v>3</v>
      </c>
      <c r="N153">
        <v>1</v>
      </c>
    </row>
    <row r="154" spans="1:14" x14ac:dyDescent="0.25">
      <c r="A154" t="s">
        <v>2400</v>
      </c>
      <c r="B154" t="s">
        <v>406</v>
      </c>
      <c r="C154" t="s">
        <v>520</v>
      </c>
      <c r="D154" t="str">
        <f>VLOOKUP(J154,Location[],2,FALSE)</f>
        <v>New York City</v>
      </c>
      <c r="E154" t="str">
        <f>VLOOKUP(J154,Location[],3,FALSE)</f>
        <v> New York</v>
      </c>
      <c r="F154" t="str">
        <f>VLOOKUP(K154,Dept[],2,FALSE)</f>
        <v>Administration</v>
      </c>
      <c r="G154" s="11">
        <f t="shared" si="2"/>
        <v>43770</v>
      </c>
      <c r="H154" t="str">
        <f>VLOOKUP(N154,Status[],2,FALSE)</f>
        <v>Full-Time</v>
      </c>
      <c r="J154" s="7">
        <v>1001</v>
      </c>
      <c r="K154">
        <v>12</v>
      </c>
      <c r="L154">
        <v>2019</v>
      </c>
      <c r="M154">
        <v>11</v>
      </c>
      <c r="N154">
        <v>1</v>
      </c>
    </row>
    <row r="155" spans="1:14" x14ac:dyDescent="0.25">
      <c r="A155" t="s">
        <v>2401</v>
      </c>
      <c r="B155" t="s">
        <v>7</v>
      </c>
      <c r="C155" t="s">
        <v>8</v>
      </c>
      <c r="D155" t="str">
        <f>VLOOKUP(J155,Location[],2,FALSE)</f>
        <v>San Francisco</v>
      </c>
      <c r="E155" t="str">
        <f>VLOOKUP(J155,Location[],3,FALSE)</f>
        <v> California</v>
      </c>
      <c r="F155" t="str">
        <f>VLOOKUP(K155,Dept[],2,FALSE)</f>
        <v>Administration</v>
      </c>
      <c r="G155" s="11">
        <f t="shared" si="2"/>
        <v>40909</v>
      </c>
      <c r="H155" t="str">
        <f>VLOOKUP(N155,Status[],2,FALSE)</f>
        <v>Full-Time</v>
      </c>
      <c r="J155" s="7">
        <v>1013</v>
      </c>
      <c r="K155">
        <v>12</v>
      </c>
      <c r="L155">
        <v>2012</v>
      </c>
      <c r="M155">
        <v>1</v>
      </c>
      <c r="N155">
        <v>1</v>
      </c>
    </row>
    <row r="156" spans="1:14" x14ac:dyDescent="0.25">
      <c r="A156" t="s">
        <v>2402</v>
      </c>
      <c r="B156" t="s">
        <v>453</v>
      </c>
      <c r="C156" t="s">
        <v>8</v>
      </c>
      <c r="D156" t="str">
        <f>VLOOKUP(J156,Location[],2,FALSE)</f>
        <v>Chicago</v>
      </c>
      <c r="E156" t="str">
        <f>VLOOKUP(J156,Location[],3,FALSE)</f>
        <v> Illinois</v>
      </c>
      <c r="F156" t="str">
        <f>VLOOKUP(K156,Dept[],2,FALSE)</f>
        <v>Sales</v>
      </c>
      <c r="G156" s="11">
        <f t="shared" si="2"/>
        <v>41974</v>
      </c>
      <c r="H156" t="str">
        <f>VLOOKUP(N156,Status[],2,FALSE)</f>
        <v>Full-Time</v>
      </c>
      <c r="J156" s="7">
        <v>1003</v>
      </c>
      <c r="K156">
        <v>22</v>
      </c>
      <c r="L156">
        <v>2014</v>
      </c>
      <c r="M156">
        <v>12</v>
      </c>
      <c r="N156">
        <v>1</v>
      </c>
    </row>
    <row r="157" spans="1:14" x14ac:dyDescent="0.25">
      <c r="A157" t="s">
        <v>2403</v>
      </c>
      <c r="B157" t="s">
        <v>239</v>
      </c>
      <c r="C157" t="s">
        <v>8</v>
      </c>
      <c r="D157" t="str">
        <f>VLOOKUP(J157,Location[],2,FALSE)</f>
        <v>Houston</v>
      </c>
      <c r="E157" t="str">
        <f>VLOOKUP(J157,Location[],3,FALSE)</f>
        <v> Texas</v>
      </c>
      <c r="F157" t="str">
        <f>VLOOKUP(K157,Dept[],2,FALSE)</f>
        <v>Finance</v>
      </c>
      <c r="G157" s="11">
        <f t="shared" si="2"/>
        <v>41061</v>
      </c>
      <c r="H157" t="str">
        <f>VLOOKUP(N157,Status[],2,FALSE)</f>
        <v>Full-Time</v>
      </c>
      <c r="J157" s="7">
        <v>1004</v>
      </c>
      <c r="K157">
        <v>15</v>
      </c>
      <c r="L157">
        <v>2012</v>
      </c>
      <c r="M157">
        <v>6</v>
      </c>
      <c r="N157">
        <v>1</v>
      </c>
    </row>
    <row r="158" spans="1:14" x14ac:dyDescent="0.25">
      <c r="A158" t="s">
        <v>2404</v>
      </c>
      <c r="B158" t="s">
        <v>1544</v>
      </c>
      <c r="C158" t="s">
        <v>1545</v>
      </c>
      <c r="D158" t="str">
        <f>VLOOKUP(J158,Location[],2,FALSE)</f>
        <v>Buffalo</v>
      </c>
      <c r="E158" t="str">
        <f>VLOOKUP(J158,Location[],3,FALSE)</f>
        <v> New York</v>
      </c>
      <c r="F158" t="str">
        <f>VLOOKUP(K158,Dept[],2,FALSE)</f>
        <v>Sales</v>
      </c>
      <c r="G158" s="11">
        <f t="shared" si="2"/>
        <v>44774</v>
      </c>
      <c r="H158" t="str">
        <f>VLOOKUP(N158,Status[],2,FALSE)</f>
        <v>Full-Time</v>
      </c>
      <c r="J158" s="7">
        <v>1081</v>
      </c>
      <c r="K158">
        <v>22</v>
      </c>
      <c r="L158">
        <v>2022</v>
      </c>
      <c r="M158">
        <v>8</v>
      </c>
      <c r="N158">
        <v>1</v>
      </c>
    </row>
    <row r="159" spans="1:14" x14ac:dyDescent="0.25">
      <c r="A159" t="s">
        <v>2405</v>
      </c>
      <c r="B159" t="s">
        <v>553</v>
      </c>
      <c r="C159" t="s">
        <v>554</v>
      </c>
      <c r="D159" t="str">
        <f>VLOOKUP(J159,Location[],2,FALSE)</f>
        <v>Fresno</v>
      </c>
      <c r="E159" t="str">
        <f>VLOOKUP(J159,Location[],3,FALSE)</f>
        <v> California</v>
      </c>
      <c r="F159" t="str">
        <f>VLOOKUP(K159,Dept[],2,FALSE)</f>
        <v>Assessment</v>
      </c>
      <c r="G159" s="11">
        <f t="shared" si="2"/>
        <v>43252</v>
      </c>
      <c r="H159" t="str">
        <f>VLOOKUP(N159,Status[],2,FALSE)</f>
        <v>Full-Time</v>
      </c>
      <c r="J159" s="7">
        <v>1034</v>
      </c>
      <c r="K159">
        <v>13</v>
      </c>
      <c r="L159">
        <v>2018</v>
      </c>
      <c r="M159">
        <v>6</v>
      </c>
      <c r="N159">
        <v>1</v>
      </c>
    </row>
    <row r="160" spans="1:14" x14ac:dyDescent="0.25">
      <c r="A160" t="s">
        <v>2406</v>
      </c>
      <c r="B160" t="s">
        <v>416</v>
      </c>
      <c r="C160" t="s">
        <v>1788</v>
      </c>
      <c r="D160" t="str">
        <f>VLOOKUP(J160,Location[],2,FALSE)</f>
        <v>Baltimore</v>
      </c>
      <c r="E160" t="str">
        <f>VLOOKUP(J160,Location[],3,FALSE)</f>
        <v> Maryland</v>
      </c>
      <c r="F160" t="str">
        <f>VLOOKUP(K160,Dept[],2,FALSE)</f>
        <v>Administration</v>
      </c>
      <c r="G160" s="11">
        <f t="shared" si="2"/>
        <v>41913</v>
      </c>
      <c r="H160" t="str">
        <f>VLOOKUP(N160,Status[],2,FALSE)</f>
        <v>Full-Time</v>
      </c>
      <c r="J160" s="7">
        <v>1030</v>
      </c>
      <c r="K160">
        <v>12</v>
      </c>
      <c r="L160">
        <v>2014</v>
      </c>
      <c r="M160">
        <v>10</v>
      </c>
      <c r="N160">
        <v>1</v>
      </c>
    </row>
    <row r="161" spans="1:14" x14ac:dyDescent="0.25">
      <c r="A161" t="s">
        <v>2407</v>
      </c>
      <c r="B161" t="s">
        <v>1023</v>
      </c>
      <c r="C161" t="s">
        <v>1024</v>
      </c>
      <c r="D161" t="str">
        <f>VLOOKUP(J161,Location[],2,FALSE)</f>
        <v>Los Angeles</v>
      </c>
      <c r="E161" t="str">
        <f>VLOOKUP(J161,Location[],3,FALSE)</f>
        <v> California</v>
      </c>
      <c r="F161" t="str">
        <f>VLOOKUP(K161,Dept[],2,FALSE)</f>
        <v>Marketing</v>
      </c>
      <c r="G161" s="11">
        <f t="shared" si="2"/>
        <v>42309</v>
      </c>
      <c r="H161" t="str">
        <f>VLOOKUP(N161,Status[],2,FALSE)</f>
        <v>Full-Time</v>
      </c>
      <c r="J161" s="7">
        <v>1002</v>
      </c>
      <c r="K161">
        <v>19</v>
      </c>
      <c r="L161">
        <v>2015</v>
      </c>
      <c r="M161">
        <v>11</v>
      </c>
      <c r="N161">
        <v>1</v>
      </c>
    </row>
    <row r="162" spans="1:14" x14ac:dyDescent="0.25">
      <c r="A162" t="s">
        <v>2408</v>
      </c>
      <c r="B162" t="s">
        <v>57</v>
      </c>
      <c r="C162" t="s">
        <v>1935</v>
      </c>
      <c r="D162" t="str">
        <f>VLOOKUP(J162,Location[],2,FALSE)</f>
        <v>Dallas</v>
      </c>
      <c r="E162" t="str">
        <f>VLOOKUP(J162,Location[],3,FALSE)</f>
        <v> Texas</v>
      </c>
      <c r="F162" t="str">
        <f>VLOOKUP(K162,Dept[],2,FALSE)</f>
        <v>Human Resources</v>
      </c>
      <c r="G162" s="11">
        <f t="shared" si="2"/>
        <v>44835</v>
      </c>
      <c r="H162" t="str">
        <f>VLOOKUP(N162,Status[],2,FALSE)</f>
        <v>Full-Time</v>
      </c>
      <c r="J162" s="7">
        <v>1009</v>
      </c>
      <c r="K162">
        <v>16</v>
      </c>
      <c r="L162">
        <v>2022</v>
      </c>
      <c r="M162">
        <v>10</v>
      </c>
      <c r="N162">
        <v>1</v>
      </c>
    </row>
    <row r="163" spans="1:14" x14ac:dyDescent="0.25">
      <c r="A163" t="s">
        <v>2409</v>
      </c>
      <c r="B163" t="s">
        <v>284</v>
      </c>
      <c r="C163" t="s">
        <v>285</v>
      </c>
      <c r="D163" t="str">
        <f>VLOOKUP(J163,Location[],2,FALSE)</f>
        <v>Louisville</v>
      </c>
      <c r="E163" t="str">
        <f>VLOOKUP(J163,Location[],3,FALSE)</f>
        <v> Kentucky</v>
      </c>
      <c r="F163" t="str">
        <f>VLOOKUP(K163,Dept[],2,FALSE)</f>
        <v>Legal</v>
      </c>
      <c r="G163" s="11">
        <f t="shared" si="2"/>
        <v>40603</v>
      </c>
      <c r="H163" t="str">
        <f>VLOOKUP(N163,Status[],2,FALSE)</f>
        <v>Full-Time</v>
      </c>
      <c r="J163" s="7">
        <v>1029</v>
      </c>
      <c r="K163">
        <v>18</v>
      </c>
      <c r="L163">
        <v>2011</v>
      </c>
      <c r="M163">
        <v>3</v>
      </c>
      <c r="N163">
        <v>1</v>
      </c>
    </row>
    <row r="164" spans="1:14" x14ac:dyDescent="0.25">
      <c r="A164" t="s">
        <v>2410</v>
      </c>
      <c r="B164" t="s">
        <v>339</v>
      </c>
      <c r="C164" t="s">
        <v>956</v>
      </c>
      <c r="D164" t="str">
        <f>VLOOKUP(J164,Location[],2,FALSE)</f>
        <v>Dallas</v>
      </c>
      <c r="E164" t="str">
        <f>VLOOKUP(J164,Location[],3,FALSE)</f>
        <v> Texas</v>
      </c>
      <c r="F164" t="str">
        <f>VLOOKUP(K164,Dept[],2,FALSE)</f>
        <v>Administration</v>
      </c>
      <c r="G164" s="11">
        <f t="shared" si="2"/>
        <v>43952</v>
      </c>
      <c r="H164" t="str">
        <f>VLOOKUP(N164,Status[],2,FALSE)</f>
        <v>Full-Time</v>
      </c>
      <c r="J164" s="7">
        <v>1009</v>
      </c>
      <c r="K164">
        <v>12</v>
      </c>
      <c r="L164">
        <v>2020</v>
      </c>
      <c r="M164">
        <v>5</v>
      </c>
      <c r="N164">
        <v>1</v>
      </c>
    </row>
    <row r="165" spans="1:14" x14ac:dyDescent="0.25">
      <c r="A165" t="s">
        <v>2411</v>
      </c>
      <c r="B165" t="s">
        <v>601</v>
      </c>
      <c r="C165" t="s">
        <v>1600</v>
      </c>
      <c r="D165" t="str">
        <f>VLOOKUP(J165,Location[],2,FALSE)</f>
        <v>Buffalo</v>
      </c>
      <c r="E165" t="str">
        <f>VLOOKUP(J165,Location[],3,FALSE)</f>
        <v> New York</v>
      </c>
      <c r="F165" t="str">
        <f>VLOOKUP(K165,Dept[],2,FALSE)</f>
        <v>Human Resources</v>
      </c>
      <c r="G165" s="11">
        <f t="shared" si="2"/>
        <v>44501</v>
      </c>
      <c r="H165" t="str">
        <f>VLOOKUP(N165,Status[],2,FALSE)</f>
        <v>Full-Time</v>
      </c>
      <c r="J165" s="7">
        <v>1081</v>
      </c>
      <c r="K165">
        <v>16</v>
      </c>
      <c r="L165">
        <v>2021</v>
      </c>
      <c r="M165">
        <v>11</v>
      </c>
      <c r="N165">
        <v>1</v>
      </c>
    </row>
    <row r="166" spans="1:14" x14ac:dyDescent="0.25">
      <c r="A166" t="s">
        <v>2412</v>
      </c>
      <c r="B166" t="s">
        <v>71</v>
      </c>
      <c r="C166" t="s">
        <v>1770</v>
      </c>
      <c r="D166" t="str">
        <f>VLOOKUP(J166,Location[],2,FALSE)</f>
        <v>Houston</v>
      </c>
      <c r="E166" t="str">
        <f>VLOOKUP(J166,Location[],3,FALSE)</f>
        <v> Texas</v>
      </c>
      <c r="F166" t="str">
        <f>VLOOKUP(K166,Dept[],2,FALSE)</f>
        <v>Customer Support</v>
      </c>
      <c r="G166" s="11">
        <f t="shared" si="2"/>
        <v>42614</v>
      </c>
      <c r="H166" t="str">
        <f>VLOOKUP(N166,Status[],2,FALSE)</f>
        <v>Full-Time</v>
      </c>
      <c r="J166" s="7">
        <v>1004</v>
      </c>
      <c r="K166">
        <v>14</v>
      </c>
      <c r="L166">
        <v>2016</v>
      </c>
      <c r="M166">
        <v>9</v>
      </c>
      <c r="N166">
        <v>1</v>
      </c>
    </row>
    <row r="167" spans="1:14" x14ac:dyDescent="0.25">
      <c r="A167" t="s">
        <v>2413</v>
      </c>
      <c r="B167" t="s">
        <v>1214</v>
      </c>
      <c r="C167" t="s">
        <v>1215</v>
      </c>
      <c r="D167" t="str">
        <f>VLOOKUP(J167,Location[],2,FALSE)</f>
        <v>Jacksonville</v>
      </c>
      <c r="E167" t="str">
        <f>VLOOKUP(J167,Location[],3,FALSE)</f>
        <v> Florida</v>
      </c>
      <c r="F167" t="str">
        <f>VLOOKUP(K167,Dept[],2,FALSE)</f>
        <v>Accounting</v>
      </c>
      <c r="G167" s="11">
        <f t="shared" si="2"/>
        <v>40725</v>
      </c>
      <c r="H167" t="str">
        <f>VLOOKUP(N167,Status[],2,FALSE)</f>
        <v>Full-Time</v>
      </c>
      <c r="J167" s="7">
        <v>1012</v>
      </c>
      <c r="K167">
        <v>11</v>
      </c>
      <c r="L167">
        <v>2011</v>
      </c>
      <c r="M167">
        <v>7</v>
      </c>
      <c r="N167">
        <v>1</v>
      </c>
    </row>
    <row r="168" spans="1:14" x14ac:dyDescent="0.25">
      <c r="A168" t="s">
        <v>2414</v>
      </c>
      <c r="B168" t="s">
        <v>108</v>
      </c>
      <c r="C168" t="s">
        <v>870</v>
      </c>
      <c r="D168" t="str">
        <f>VLOOKUP(J168,Location[],2,FALSE)</f>
        <v>Atlanta</v>
      </c>
      <c r="E168" t="str">
        <f>VLOOKUP(J168,Location[],3,FALSE)</f>
        <v> Georgia</v>
      </c>
      <c r="F168" t="str">
        <f>VLOOKUP(K168,Dept[],2,FALSE)</f>
        <v>Accounting</v>
      </c>
      <c r="G168" s="11">
        <f t="shared" si="2"/>
        <v>41609</v>
      </c>
      <c r="H168" t="str">
        <f>VLOOKUP(N168,Status[],2,FALSE)</f>
        <v>Full-Time</v>
      </c>
      <c r="J168" s="7">
        <v>1038</v>
      </c>
      <c r="K168">
        <v>11</v>
      </c>
      <c r="L168">
        <v>2013</v>
      </c>
      <c r="M168">
        <v>12</v>
      </c>
      <c r="N168">
        <v>1</v>
      </c>
    </row>
    <row r="169" spans="1:14" x14ac:dyDescent="0.25">
      <c r="A169" t="s">
        <v>2415</v>
      </c>
      <c r="B169" t="s">
        <v>807</v>
      </c>
      <c r="C169" t="s">
        <v>808</v>
      </c>
      <c r="D169" t="str">
        <f>VLOOKUP(J169,Location[],2,FALSE)</f>
        <v>Lubbock</v>
      </c>
      <c r="E169" t="str">
        <f>VLOOKUP(J169,Location[],3,FALSE)</f>
        <v> Texas</v>
      </c>
      <c r="F169" t="str">
        <f>VLOOKUP(K169,Dept[],2,FALSE)</f>
        <v>Accounting</v>
      </c>
      <c r="G169" s="11">
        <f t="shared" si="2"/>
        <v>43435</v>
      </c>
      <c r="H169" t="str">
        <f>VLOOKUP(N169,Status[],2,FALSE)</f>
        <v>Full-Time</v>
      </c>
      <c r="J169" s="7">
        <v>1083</v>
      </c>
      <c r="K169">
        <v>11</v>
      </c>
      <c r="L169">
        <v>2018</v>
      </c>
      <c r="M169">
        <v>12</v>
      </c>
      <c r="N169">
        <v>1</v>
      </c>
    </row>
    <row r="170" spans="1:14" x14ac:dyDescent="0.25">
      <c r="A170" t="s">
        <v>2416</v>
      </c>
      <c r="B170" t="s">
        <v>459</v>
      </c>
      <c r="C170" t="s">
        <v>249</v>
      </c>
      <c r="D170" t="str">
        <f>VLOOKUP(J170,Location[],2,FALSE)</f>
        <v>Philadelphia</v>
      </c>
      <c r="E170" t="str">
        <f>VLOOKUP(J170,Location[],3,FALSE)</f>
        <v> Pennsylvania</v>
      </c>
      <c r="F170" t="str">
        <f>VLOOKUP(K170,Dept[],2,FALSE)</f>
        <v>Finance</v>
      </c>
      <c r="G170" s="11">
        <f t="shared" si="2"/>
        <v>44317</v>
      </c>
      <c r="H170" t="str">
        <f>VLOOKUP(N170,Status[],2,FALSE)</f>
        <v>Full-Time</v>
      </c>
      <c r="J170" s="7">
        <v>1006</v>
      </c>
      <c r="K170">
        <v>15</v>
      </c>
      <c r="L170">
        <v>2021</v>
      </c>
      <c r="M170">
        <v>5</v>
      </c>
      <c r="N170">
        <v>1</v>
      </c>
    </row>
    <row r="171" spans="1:14" x14ac:dyDescent="0.25">
      <c r="A171" t="s">
        <v>2417</v>
      </c>
      <c r="B171" t="s">
        <v>248</v>
      </c>
      <c r="C171" t="s">
        <v>249</v>
      </c>
      <c r="D171" t="str">
        <f>VLOOKUP(J171,Location[],2,FALSE)</f>
        <v>Corpus Christi</v>
      </c>
      <c r="E171" t="str">
        <f>VLOOKUP(J171,Location[],3,FALSE)</f>
        <v> Texas</v>
      </c>
      <c r="F171" t="str">
        <f>VLOOKUP(K171,Dept[],2,FALSE)</f>
        <v>Marketing</v>
      </c>
      <c r="G171" s="11">
        <f t="shared" si="2"/>
        <v>41426</v>
      </c>
      <c r="H171" t="str">
        <f>VLOOKUP(N171,Status[],2,FALSE)</f>
        <v>Full-Time</v>
      </c>
      <c r="J171" s="7">
        <v>1059</v>
      </c>
      <c r="K171">
        <v>19</v>
      </c>
      <c r="L171">
        <v>2013</v>
      </c>
      <c r="M171">
        <v>6</v>
      </c>
      <c r="N171">
        <v>1</v>
      </c>
    </row>
    <row r="172" spans="1:14" x14ac:dyDescent="0.25">
      <c r="A172" t="s">
        <v>2418</v>
      </c>
      <c r="B172" t="s">
        <v>292</v>
      </c>
      <c r="C172" t="s">
        <v>434</v>
      </c>
      <c r="D172" t="str">
        <f>VLOOKUP(J172,Location[],2,FALSE)</f>
        <v>Philadelphia</v>
      </c>
      <c r="E172" t="str">
        <f>VLOOKUP(J172,Location[],3,FALSE)</f>
        <v> Pennsylvania</v>
      </c>
      <c r="F172" t="str">
        <f>VLOOKUP(K172,Dept[],2,FALSE)</f>
        <v>Legal</v>
      </c>
      <c r="G172" s="11">
        <f t="shared" si="2"/>
        <v>41548</v>
      </c>
      <c r="H172" t="str">
        <f>VLOOKUP(N172,Status[],2,FALSE)</f>
        <v>Full-Time</v>
      </c>
      <c r="J172" s="7">
        <v>1006</v>
      </c>
      <c r="K172">
        <v>18</v>
      </c>
      <c r="L172">
        <v>2013</v>
      </c>
      <c r="M172">
        <v>10</v>
      </c>
      <c r="N172">
        <v>1</v>
      </c>
    </row>
    <row r="173" spans="1:14" x14ac:dyDescent="0.25">
      <c r="A173" t="s">
        <v>2419</v>
      </c>
      <c r="B173" t="s">
        <v>253</v>
      </c>
      <c r="C173" t="s">
        <v>691</v>
      </c>
      <c r="D173" t="str">
        <f>VLOOKUP(J173,Location[],2,FALSE)</f>
        <v>Houston</v>
      </c>
      <c r="E173" t="str">
        <f>VLOOKUP(J173,Location[],3,FALSE)</f>
        <v> Texas</v>
      </c>
      <c r="F173" t="str">
        <f>VLOOKUP(K173,Dept[],2,FALSE)</f>
        <v>Accounting</v>
      </c>
      <c r="G173" s="11">
        <f t="shared" si="2"/>
        <v>43466</v>
      </c>
      <c r="H173" t="str">
        <f>VLOOKUP(N173,Status[],2,FALSE)</f>
        <v>Full-Time</v>
      </c>
      <c r="J173" s="7">
        <v>1004</v>
      </c>
      <c r="K173">
        <v>11</v>
      </c>
      <c r="L173">
        <v>2019</v>
      </c>
      <c r="M173">
        <v>1</v>
      </c>
      <c r="N173">
        <v>1</v>
      </c>
    </row>
    <row r="174" spans="1:14" x14ac:dyDescent="0.25">
      <c r="A174" t="s">
        <v>2420</v>
      </c>
      <c r="B174" t="s">
        <v>1100</v>
      </c>
      <c r="C174" t="s">
        <v>2022</v>
      </c>
      <c r="D174" t="str">
        <f>VLOOKUP(J174,Location[],2,FALSE)</f>
        <v>San Jose</v>
      </c>
      <c r="E174" t="str">
        <f>VLOOKUP(J174,Location[],3,FALSE)</f>
        <v> California</v>
      </c>
      <c r="F174" t="str">
        <f>VLOOKUP(K174,Dept[],2,FALSE)</f>
        <v>Media</v>
      </c>
      <c r="G174" s="11">
        <f t="shared" si="2"/>
        <v>41122</v>
      </c>
      <c r="H174" t="str">
        <f>VLOOKUP(N174,Status[],2,FALSE)</f>
        <v>Full-Time</v>
      </c>
      <c r="J174" s="7">
        <v>1010</v>
      </c>
      <c r="K174">
        <v>20</v>
      </c>
      <c r="L174">
        <v>2012</v>
      </c>
      <c r="M174">
        <v>8</v>
      </c>
      <c r="N174">
        <v>1</v>
      </c>
    </row>
    <row r="175" spans="1:14" x14ac:dyDescent="0.25">
      <c r="A175" t="s">
        <v>2421</v>
      </c>
      <c r="B175" t="s">
        <v>100</v>
      </c>
      <c r="C175" t="s">
        <v>1711</v>
      </c>
      <c r="D175" t="str">
        <f>VLOOKUP(J175,Location[],2,FALSE)</f>
        <v>San Francisco</v>
      </c>
      <c r="E175" t="str">
        <f>VLOOKUP(J175,Location[],3,FALSE)</f>
        <v> California</v>
      </c>
      <c r="F175" t="str">
        <f>VLOOKUP(K175,Dept[],2,FALSE)</f>
        <v>Accounting</v>
      </c>
      <c r="G175" s="11">
        <f t="shared" si="2"/>
        <v>44986</v>
      </c>
      <c r="H175" t="str">
        <f>VLOOKUP(N175,Status[],2,FALSE)</f>
        <v>Full-Time</v>
      </c>
      <c r="J175" s="7">
        <v>1013</v>
      </c>
      <c r="K175">
        <v>11</v>
      </c>
      <c r="L175">
        <v>2023</v>
      </c>
      <c r="M175">
        <v>3</v>
      </c>
      <c r="N175">
        <v>1</v>
      </c>
    </row>
    <row r="176" spans="1:14" x14ac:dyDescent="0.25">
      <c r="A176" t="s">
        <v>2422</v>
      </c>
      <c r="B176" t="s">
        <v>869</v>
      </c>
      <c r="C176" t="s">
        <v>2101</v>
      </c>
      <c r="D176" t="str">
        <f>VLOOKUP(J176,Location[],2,FALSE)</f>
        <v>Las Vegas</v>
      </c>
      <c r="E176" t="str">
        <f>VLOOKUP(J176,Location[],3,FALSE)</f>
        <v> Nevada</v>
      </c>
      <c r="F176" t="str">
        <f>VLOOKUP(K176,Dept[],2,FALSE)</f>
        <v>IT</v>
      </c>
      <c r="G176" s="11">
        <f t="shared" si="2"/>
        <v>42675</v>
      </c>
      <c r="H176" t="str">
        <f>VLOOKUP(N176,Status[],2,FALSE)</f>
        <v>Full-Time</v>
      </c>
      <c r="J176" s="7">
        <v>1028</v>
      </c>
      <c r="K176">
        <v>17</v>
      </c>
      <c r="L176">
        <v>2016</v>
      </c>
      <c r="M176">
        <v>11</v>
      </c>
      <c r="N176">
        <v>1</v>
      </c>
    </row>
    <row r="177" spans="1:14" x14ac:dyDescent="0.25">
      <c r="A177" t="s">
        <v>2423</v>
      </c>
      <c r="B177" t="s">
        <v>1247</v>
      </c>
      <c r="C177" t="s">
        <v>1248</v>
      </c>
      <c r="D177" t="str">
        <f>VLOOKUP(J177,Location[],2,FALSE)</f>
        <v>Los Angeles</v>
      </c>
      <c r="E177" t="str">
        <f>VLOOKUP(J177,Location[],3,FALSE)</f>
        <v> California</v>
      </c>
      <c r="F177" t="str">
        <f>VLOOKUP(K177,Dept[],2,FALSE)</f>
        <v>Customer Support</v>
      </c>
      <c r="G177" s="11">
        <f t="shared" si="2"/>
        <v>40575</v>
      </c>
      <c r="H177" t="str">
        <f>VLOOKUP(N177,Status[],2,FALSE)</f>
        <v>Full-Time</v>
      </c>
      <c r="J177" s="7">
        <v>1002</v>
      </c>
      <c r="K177">
        <v>14</v>
      </c>
      <c r="L177">
        <v>2011</v>
      </c>
      <c r="M177">
        <v>2</v>
      </c>
      <c r="N177">
        <v>1</v>
      </c>
    </row>
    <row r="178" spans="1:14" x14ac:dyDescent="0.25">
      <c r="A178" t="s">
        <v>2424</v>
      </c>
      <c r="B178" t="s">
        <v>21</v>
      </c>
      <c r="C178" t="s">
        <v>540</v>
      </c>
      <c r="D178" t="str">
        <f>VLOOKUP(J178,Location[],2,FALSE)</f>
        <v>Irvine</v>
      </c>
      <c r="E178" t="str">
        <f>VLOOKUP(J178,Location[],3,FALSE)</f>
        <v> California</v>
      </c>
      <c r="F178" t="str">
        <f>VLOOKUP(K178,Dept[],2,FALSE)</f>
        <v>Sales</v>
      </c>
      <c r="G178" s="11">
        <f t="shared" si="2"/>
        <v>43435</v>
      </c>
      <c r="H178" t="str">
        <f>VLOOKUP(N178,Status[],2,FALSE)</f>
        <v>Full-Time</v>
      </c>
      <c r="J178" s="7">
        <v>1073</v>
      </c>
      <c r="K178">
        <v>22</v>
      </c>
      <c r="L178">
        <v>2018</v>
      </c>
      <c r="M178">
        <v>12</v>
      </c>
      <c r="N178">
        <v>1</v>
      </c>
    </row>
    <row r="179" spans="1:14" x14ac:dyDescent="0.25">
      <c r="A179" t="s">
        <v>2425</v>
      </c>
      <c r="B179" t="s">
        <v>235</v>
      </c>
      <c r="C179" t="s">
        <v>236</v>
      </c>
      <c r="D179" t="str">
        <f>VLOOKUP(J179,Location[],2,FALSE)</f>
        <v>Los Angeles</v>
      </c>
      <c r="E179" t="str">
        <f>VLOOKUP(J179,Location[],3,FALSE)</f>
        <v> California</v>
      </c>
      <c r="F179" t="str">
        <f>VLOOKUP(K179,Dept[],2,FALSE)</f>
        <v>Sales</v>
      </c>
      <c r="G179" s="11">
        <f t="shared" si="2"/>
        <v>40695</v>
      </c>
      <c r="H179" t="str">
        <f>VLOOKUP(N179,Status[],2,FALSE)</f>
        <v>Full-Time</v>
      </c>
      <c r="J179" s="7">
        <v>1002</v>
      </c>
      <c r="K179">
        <v>22</v>
      </c>
      <c r="L179">
        <v>2011</v>
      </c>
      <c r="M179">
        <v>6</v>
      </c>
      <c r="N179">
        <v>1</v>
      </c>
    </row>
    <row r="180" spans="1:14" x14ac:dyDescent="0.25">
      <c r="A180" t="s">
        <v>2426</v>
      </c>
      <c r="B180" t="s">
        <v>482</v>
      </c>
      <c r="C180" t="s">
        <v>739</v>
      </c>
      <c r="D180" t="str">
        <f>VLOOKUP(J180,Location[],2,FALSE)</f>
        <v>Chicago</v>
      </c>
      <c r="E180" t="str">
        <f>VLOOKUP(J180,Location[],3,FALSE)</f>
        <v> Illinois</v>
      </c>
      <c r="F180" t="str">
        <f>VLOOKUP(K180,Dept[],2,FALSE)</f>
        <v>Sales</v>
      </c>
      <c r="G180" s="11">
        <f t="shared" si="2"/>
        <v>40817</v>
      </c>
      <c r="H180" t="str">
        <f>VLOOKUP(N180,Status[],2,FALSE)</f>
        <v>Full-Time</v>
      </c>
      <c r="J180" s="7">
        <v>1003</v>
      </c>
      <c r="K180">
        <v>22</v>
      </c>
      <c r="L180">
        <v>2011</v>
      </c>
      <c r="M180">
        <v>10</v>
      </c>
      <c r="N180">
        <v>1</v>
      </c>
    </row>
    <row r="181" spans="1:14" x14ac:dyDescent="0.25">
      <c r="A181" t="s">
        <v>2427</v>
      </c>
      <c r="B181" t="s">
        <v>357</v>
      </c>
      <c r="C181" t="s">
        <v>739</v>
      </c>
      <c r="D181" t="str">
        <f>VLOOKUP(J181,Location[],2,FALSE)</f>
        <v>Dallas</v>
      </c>
      <c r="E181" t="str">
        <f>VLOOKUP(J181,Location[],3,FALSE)</f>
        <v> Texas</v>
      </c>
      <c r="F181" t="str">
        <f>VLOOKUP(K181,Dept[],2,FALSE)</f>
        <v>Media</v>
      </c>
      <c r="G181" s="11">
        <f t="shared" si="2"/>
        <v>42491</v>
      </c>
      <c r="H181" t="str">
        <f>VLOOKUP(N181,Status[],2,FALSE)</f>
        <v>Full-Time</v>
      </c>
      <c r="J181" s="7">
        <v>1009</v>
      </c>
      <c r="K181">
        <v>20</v>
      </c>
      <c r="L181">
        <v>2016</v>
      </c>
      <c r="M181">
        <v>5</v>
      </c>
      <c r="N181">
        <v>1</v>
      </c>
    </row>
    <row r="182" spans="1:14" x14ac:dyDescent="0.25">
      <c r="A182" t="s">
        <v>2428</v>
      </c>
      <c r="B182" t="s">
        <v>1375</v>
      </c>
      <c r="C182" t="s">
        <v>136</v>
      </c>
      <c r="D182" t="str">
        <f>VLOOKUP(J182,Location[],2,FALSE)</f>
        <v>Newark</v>
      </c>
      <c r="E182" t="str">
        <f>VLOOKUP(J182,Location[],3,FALSE)</f>
        <v> New Jersey</v>
      </c>
      <c r="F182" t="str">
        <f>VLOOKUP(K182,Dept[],2,FALSE)</f>
        <v>Assessment</v>
      </c>
      <c r="G182" s="11">
        <f t="shared" si="2"/>
        <v>41183</v>
      </c>
      <c r="H182" t="str">
        <f>VLOOKUP(N182,Status[],2,FALSE)</f>
        <v>Full-Time</v>
      </c>
      <c r="J182" s="7">
        <v>1070</v>
      </c>
      <c r="K182">
        <v>13</v>
      </c>
      <c r="L182">
        <v>2012</v>
      </c>
      <c r="M182">
        <v>10</v>
      </c>
      <c r="N182">
        <v>1</v>
      </c>
    </row>
    <row r="183" spans="1:14" x14ac:dyDescent="0.25">
      <c r="A183" t="s">
        <v>2429</v>
      </c>
      <c r="B183" t="s">
        <v>135</v>
      </c>
      <c r="C183" t="s">
        <v>136</v>
      </c>
      <c r="D183" t="str">
        <f>VLOOKUP(J183,Location[],2,FALSE)</f>
        <v>Oakland</v>
      </c>
      <c r="E183" t="str">
        <f>VLOOKUP(J183,Location[],3,FALSE)</f>
        <v> California</v>
      </c>
      <c r="F183" t="str">
        <f>VLOOKUP(K183,Dept[],2,FALSE)</f>
        <v>Media</v>
      </c>
      <c r="G183" s="11">
        <f t="shared" si="2"/>
        <v>42370</v>
      </c>
      <c r="H183" t="str">
        <f>VLOOKUP(N183,Status[],2,FALSE)</f>
        <v>Full-Time</v>
      </c>
      <c r="J183" s="7">
        <v>1045</v>
      </c>
      <c r="K183">
        <v>20</v>
      </c>
      <c r="L183">
        <v>2016</v>
      </c>
      <c r="M183">
        <v>1</v>
      </c>
      <c r="N183">
        <v>1</v>
      </c>
    </row>
    <row r="184" spans="1:14" x14ac:dyDescent="0.25">
      <c r="A184" t="s">
        <v>2430</v>
      </c>
      <c r="B184" t="s">
        <v>5</v>
      </c>
      <c r="C184" t="s">
        <v>136</v>
      </c>
      <c r="D184" t="str">
        <f>VLOOKUP(J184,Location[],2,FALSE)</f>
        <v>San Diego</v>
      </c>
      <c r="E184" t="str">
        <f>VLOOKUP(J184,Location[],3,FALSE)</f>
        <v> California</v>
      </c>
      <c r="F184" t="str">
        <f>VLOOKUP(K184,Dept[],2,FALSE)</f>
        <v>Assessment</v>
      </c>
      <c r="G184" s="11">
        <f t="shared" si="2"/>
        <v>41699</v>
      </c>
      <c r="H184" t="str">
        <f>VLOOKUP(N184,Status[],2,FALSE)</f>
        <v>Full-Time</v>
      </c>
      <c r="J184" s="7">
        <v>1008</v>
      </c>
      <c r="K184">
        <v>13</v>
      </c>
      <c r="L184">
        <v>2014</v>
      </c>
      <c r="M184">
        <v>3</v>
      </c>
      <c r="N184">
        <v>1</v>
      </c>
    </row>
    <row r="185" spans="1:14" x14ac:dyDescent="0.25">
      <c r="A185" t="s">
        <v>2431</v>
      </c>
      <c r="B185" t="s">
        <v>400</v>
      </c>
      <c r="C185" t="s">
        <v>401</v>
      </c>
      <c r="D185" t="str">
        <f>VLOOKUP(J185,Location[],2,FALSE)</f>
        <v>Las Vegas</v>
      </c>
      <c r="E185" t="str">
        <f>VLOOKUP(J185,Location[],3,FALSE)</f>
        <v> Nevada</v>
      </c>
      <c r="F185" t="str">
        <f>VLOOKUP(K185,Dept[],2,FALSE)</f>
        <v>Administration</v>
      </c>
      <c r="G185" s="11">
        <f t="shared" si="2"/>
        <v>43952</v>
      </c>
      <c r="H185" t="str">
        <f>VLOOKUP(N185,Status[],2,FALSE)</f>
        <v>Full-Time</v>
      </c>
      <c r="J185" s="7">
        <v>1028</v>
      </c>
      <c r="K185">
        <v>12</v>
      </c>
      <c r="L185">
        <v>2020</v>
      </c>
      <c r="M185">
        <v>5</v>
      </c>
      <c r="N185">
        <v>1</v>
      </c>
    </row>
    <row r="186" spans="1:14" x14ac:dyDescent="0.25">
      <c r="A186" t="s">
        <v>2432</v>
      </c>
      <c r="B186" t="s">
        <v>186</v>
      </c>
      <c r="C186" t="s">
        <v>995</v>
      </c>
      <c r="D186" t="str">
        <f>VLOOKUP(J186,Location[],2,FALSE)</f>
        <v>San Diego</v>
      </c>
      <c r="E186" t="str">
        <f>VLOOKUP(J186,Location[],3,FALSE)</f>
        <v> California</v>
      </c>
      <c r="F186" t="str">
        <f>VLOOKUP(K186,Dept[],2,FALSE)</f>
        <v>Accounting</v>
      </c>
      <c r="G186" s="11">
        <f t="shared" si="2"/>
        <v>40575</v>
      </c>
      <c r="H186" t="str">
        <f>VLOOKUP(N186,Status[],2,FALSE)</f>
        <v>Part-Time</v>
      </c>
      <c r="J186" s="7">
        <v>1008</v>
      </c>
      <c r="K186">
        <v>11</v>
      </c>
      <c r="L186">
        <v>2011</v>
      </c>
      <c r="M186">
        <v>2</v>
      </c>
      <c r="N186">
        <v>0</v>
      </c>
    </row>
    <row r="187" spans="1:14" x14ac:dyDescent="0.25">
      <c r="A187" t="s">
        <v>2433</v>
      </c>
      <c r="B187" t="s">
        <v>1823</v>
      </c>
      <c r="C187" t="s">
        <v>1824</v>
      </c>
      <c r="D187" t="str">
        <f>VLOOKUP(J187,Location[],2,FALSE)</f>
        <v>Oklahoma City</v>
      </c>
      <c r="E187" t="str">
        <f>VLOOKUP(J187,Location[],3,FALSE)</f>
        <v> Oklahoma</v>
      </c>
      <c r="F187" t="str">
        <f>VLOOKUP(K187,Dept[],2,FALSE)</f>
        <v>Customer Support</v>
      </c>
      <c r="G187" s="11">
        <f t="shared" si="2"/>
        <v>43374</v>
      </c>
      <c r="H187" t="str">
        <f>VLOOKUP(N187,Status[],2,FALSE)</f>
        <v>Full-Time</v>
      </c>
      <c r="J187" s="7">
        <v>1027</v>
      </c>
      <c r="K187">
        <v>14</v>
      </c>
      <c r="L187">
        <v>2018</v>
      </c>
      <c r="M187">
        <v>10</v>
      </c>
      <c r="N187">
        <v>1</v>
      </c>
    </row>
    <row r="188" spans="1:14" x14ac:dyDescent="0.25">
      <c r="A188" t="s">
        <v>2434</v>
      </c>
      <c r="B188" t="s">
        <v>471</v>
      </c>
      <c r="C188" t="s">
        <v>1146</v>
      </c>
      <c r="D188" t="str">
        <f>VLOOKUP(J188,Location[],2,FALSE)</f>
        <v>Las Vegas</v>
      </c>
      <c r="E188" t="str">
        <f>VLOOKUP(J188,Location[],3,FALSE)</f>
        <v> Nevada</v>
      </c>
      <c r="F188" t="str">
        <f>VLOOKUP(K188,Dept[],2,FALSE)</f>
        <v>Customer Support</v>
      </c>
      <c r="G188" s="11">
        <f t="shared" si="2"/>
        <v>43405</v>
      </c>
      <c r="H188" t="str">
        <f>VLOOKUP(N188,Status[],2,FALSE)</f>
        <v>Full-Time</v>
      </c>
      <c r="J188" s="7">
        <v>1028</v>
      </c>
      <c r="K188">
        <v>14</v>
      </c>
      <c r="L188">
        <v>2018</v>
      </c>
      <c r="M188">
        <v>11</v>
      </c>
      <c r="N188">
        <v>1</v>
      </c>
    </row>
    <row r="189" spans="1:14" x14ac:dyDescent="0.25">
      <c r="A189" t="s">
        <v>2435</v>
      </c>
      <c r="B189" t="s">
        <v>676</v>
      </c>
      <c r="C189" t="s">
        <v>677</v>
      </c>
      <c r="D189" t="str">
        <f>VLOOKUP(J189,Location[],2,FALSE)</f>
        <v>Long Beach</v>
      </c>
      <c r="E189" t="str">
        <f>VLOOKUP(J189,Location[],3,FALSE)</f>
        <v> California</v>
      </c>
      <c r="F189" t="str">
        <f>VLOOKUP(K189,Dept[],2,FALSE)</f>
        <v>Assessment</v>
      </c>
      <c r="G189" s="11">
        <f t="shared" si="2"/>
        <v>44197</v>
      </c>
      <c r="H189" t="str">
        <f>VLOOKUP(N189,Status[],2,FALSE)</f>
        <v>Full-Time</v>
      </c>
      <c r="J189" s="7">
        <v>1039</v>
      </c>
      <c r="K189">
        <v>13</v>
      </c>
      <c r="L189">
        <v>2021</v>
      </c>
      <c r="M189">
        <v>1</v>
      </c>
      <c r="N189">
        <v>1</v>
      </c>
    </row>
    <row r="190" spans="1:14" x14ac:dyDescent="0.25">
      <c r="A190" t="s">
        <v>2436</v>
      </c>
      <c r="B190" t="s">
        <v>1273</v>
      </c>
      <c r="C190" t="s">
        <v>1274</v>
      </c>
      <c r="D190" t="str">
        <f>VLOOKUP(J190,Location[],2,FALSE)</f>
        <v>San Diego</v>
      </c>
      <c r="E190" t="str">
        <f>VLOOKUP(J190,Location[],3,FALSE)</f>
        <v> California</v>
      </c>
      <c r="F190" t="str">
        <f>VLOOKUP(K190,Dept[],2,FALSE)</f>
        <v>Sales</v>
      </c>
      <c r="G190" s="11">
        <f t="shared" si="2"/>
        <v>44075</v>
      </c>
      <c r="H190" t="str">
        <f>VLOOKUP(N190,Status[],2,FALSE)</f>
        <v>Full-Time</v>
      </c>
      <c r="J190" s="7">
        <v>1008</v>
      </c>
      <c r="K190">
        <v>22</v>
      </c>
      <c r="L190">
        <v>2020</v>
      </c>
      <c r="M190">
        <v>9</v>
      </c>
      <c r="N190">
        <v>1</v>
      </c>
    </row>
    <row r="191" spans="1:14" x14ac:dyDescent="0.25">
      <c r="A191" t="s">
        <v>2437</v>
      </c>
      <c r="B191" t="s">
        <v>541</v>
      </c>
      <c r="C191" t="s">
        <v>542</v>
      </c>
      <c r="D191" t="str">
        <f>VLOOKUP(J191,Location[],2,FALSE)</f>
        <v>New Orleans</v>
      </c>
      <c r="E191" t="str">
        <f>VLOOKUP(J191,Location[],3,FALSE)</f>
        <v> Louisiana</v>
      </c>
      <c r="F191" t="str">
        <f>VLOOKUP(K191,Dept[],2,FALSE)</f>
        <v>Marketing</v>
      </c>
      <c r="G191" s="11">
        <f t="shared" si="2"/>
        <v>43952</v>
      </c>
      <c r="H191" t="str">
        <f>VLOOKUP(N191,Status[],2,FALSE)</f>
        <v>Full-Time</v>
      </c>
      <c r="J191" s="7">
        <v>1049</v>
      </c>
      <c r="K191">
        <v>19</v>
      </c>
      <c r="L191">
        <v>2020</v>
      </c>
      <c r="M191">
        <v>5</v>
      </c>
      <c r="N191">
        <v>1</v>
      </c>
    </row>
    <row r="192" spans="1:14" x14ac:dyDescent="0.25">
      <c r="A192" t="s">
        <v>2438</v>
      </c>
      <c r="B192" t="s">
        <v>509</v>
      </c>
      <c r="C192" t="s">
        <v>510</v>
      </c>
      <c r="D192" t="str">
        <f>VLOOKUP(J192,Location[],2,FALSE)</f>
        <v>Albuquerque</v>
      </c>
      <c r="E192" t="str">
        <f>VLOOKUP(J192,Location[],3,FALSE)</f>
        <v> New Mexico</v>
      </c>
      <c r="F192" t="str">
        <f>VLOOKUP(K192,Dept[],2,FALSE)</f>
        <v>Human Resources</v>
      </c>
      <c r="G192" s="11">
        <f t="shared" si="2"/>
        <v>44593</v>
      </c>
      <c r="H192" t="str">
        <f>VLOOKUP(N192,Status[],2,FALSE)</f>
        <v>Full-Time</v>
      </c>
      <c r="J192" s="7">
        <v>1032</v>
      </c>
      <c r="K192">
        <v>16</v>
      </c>
      <c r="L192">
        <v>2022</v>
      </c>
      <c r="M192">
        <v>2</v>
      </c>
      <c r="N192">
        <v>1</v>
      </c>
    </row>
    <row r="193" spans="1:14" x14ac:dyDescent="0.25">
      <c r="A193" t="s">
        <v>2439</v>
      </c>
      <c r="B193" t="s">
        <v>192</v>
      </c>
      <c r="C193" t="s">
        <v>1746</v>
      </c>
      <c r="D193" t="str">
        <f>VLOOKUP(J193,Location[],2,FALSE)</f>
        <v>Buffalo</v>
      </c>
      <c r="E193" t="str">
        <f>VLOOKUP(J193,Location[],3,FALSE)</f>
        <v> New York</v>
      </c>
      <c r="F193" t="str">
        <f>VLOOKUP(K193,Dept[],2,FALSE)</f>
        <v>Legal</v>
      </c>
      <c r="G193" s="11">
        <f t="shared" si="2"/>
        <v>42675</v>
      </c>
      <c r="H193" t="str">
        <f>VLOOKUP(N193,Status[],2,FALSE)</f>
        <v>Full-Time</v>
      </c>
      <c r="J193" s="7">
        <v>1081</v>
      </c>
      <c r="K193">
        <v>18</v>
      </c>
      <c r="L193">
        <v>2016</v>
      </c>
      <c r="M193">
        <v>11</v>
      </c>
      <c r="N193">
        <v>1</v>
      </c>
    </row>
    <row r="194" spans="1:14" x14ac:dyDescent="0.25">
      <c r="A194" t="s">
        <v>2440</v>
      </c>
      <c r="B194" t="s">
        <v>194</v>
      </c>
      <c r="C194" t="s">
        <v>195</v>
      </c>
      <c r="D194" t="str">
        <f>VLOOKUP(J194,Location[],2,FALSE)</f>
        <v>San Antonio</v>
      </c>
      <c r="E194" t="str">
        <f>VLOOKUP(J194,Location[],3,FALSE)</f>
        <v> Texas</v>
      </c>
      <c r="F194" t="str">
        <f>VLOOKUP(K194,Dept[],2,FALSE)</f>
        <v>Media</v>
      </c>
      <c r="G194" s="11">
        <f t="shared" si="2"/>
        <v>41671</v>
      </c>
      <c r="H194" t="str">
        <f>VLOOKUP(N194,Status[],2,FALSE)</f>
        <v>Full-Time</v>
      </c>
      <c r="J194" s="7">
        <v>1007</v>
      </c>
      <c r="K194">
        <v>20</v>
      </c>
      <c r="L194">
        <v>2014</v>
      </c>
      <c r="M194">
        <v>2</v>
      </c>
      <c r="N194">
        <v>1</v>
      </c>
    </row>
    <row r="195" spans="1:14" x14ac:dyDescent="0.25">
      <c r="A195" t="s">
        <v>2441</v>
      </c>
      <c r="B195" t="s">
        <v>676</v>
      </c>
      <c r="C195" t="s">
        <v>195</v>
      </c>
      <c r="D195" t="str">
        <f>VLOOKUP(J195,Location[],2,FALSE)</f>
        <v>New Orleans</v>
      </c>
      <c r="E195" t="str">
        <f>VLOOKUP(J195,Location[],3,FALSE)</f>
        <v> Louisiana</v>
      </c>
      <c r="F195" t="str">
        <f>VLOOKUP(K195,Dept[],2,FALSE)</f>
        <v>Finance</v>
      </c>
      <c r="G195" s="11">
        <f t="shared" si="2"/>
        <v>44348</v>
      </c>
      <c r="H195" t="str">
        <f>VLOOKUP(N195,Status[],2,FALSE)</f>
        <v>Full-Time</v>
      </c>
      <c r="J195" s="7">
        <v>1049</v>
      </c>
      <c r="K195">
        <v>15</v>
      </c>
      <c r="L195">
        <v>2021</v>
      </c>
      <c r="M195">
        <v>6</v>
      </c>
      <c r="N195">
        <v>1</v>
      </c>
    </row>
    <row r="196" spans="1:14" x14ac:dyDescent="0.25">
      <c r="A196" t="s">
        <v>2442</v>
      </c>
      <c r="B196" t="s">
        <v>1180</v>
      </c>
      <c r="C196" t="s">
        <v>1862</v>
      </c>
      <c r="D196" t="str">
        <f>VLOOKUP(J196,Location[],2,FALSE)</f>
        <v>Austin</v>
      </c>
      <c r="E196" t="str">
        <f>VLOOKUP(J196,Location[],3,FALSE)</f>
        <v> Texas</v>
      </c>
      <c r="F196" t="str">
        <f>VLOOKUP(K196,Dept[],2,FALSE)</f>
        <v>Finance</v>
      </c>
      <c r="G196" s="11">
        <f t="shared" si="2"/>
        <v>44317</v>
      </c>
      <c r="H196" t="str">
        <f>VLOOKUP(N196,Status[],2,FALSE)</f>
        <v>Full-Time</v>
      </c>
      <c r="J196" s="7">
        <v>1011</v>
      </c>
      <c r="K196">
        <v>15</v>
      </c>
      <c r="L196">
        <v>2021</v>
      </c>
      <c r="M196">
        <v>5</v>
      </c>
      <c r="N196">
        <v>1</v>
      </c>
    </row>
    <row r="197" spans="1:14" x14ac:dyDescent="0.25">
      <c r="A197" t="s">
        <v>2443</v>
      </c>
      <c r="B197" t="s">
        <v>1756</v>
      </c>
      <c r="C197" t="s">
        <v>1757</v>
      </c>
      <c r="D197" t="str">
        <f>VLOOKUP(J197,Location[],2,FALSE)</f>
        <v>Durham</v>
      </c>
      <c r="E197" t="str">
        <f>VLOOKUP(J197,Location[],3,FALSE)</f>
        <v> North Carolina</v>
      </c>
      <c r="F197" t="str">
        <f>VLOOKUP(K197,Dept[],2,FALSE)</f>
        <v>Finance</v>
      </c>
      <c r="G197" s="11">
        <f t="shared" ref="G197:G260" si="3">DATE(L197,M197,1)</f>
        <v>44348</v>
      </c>
      <c r="H197" t="str">
        <f>VLOOKUP(N197,Status[],2,FALSE)</f>
        <v>Part-Time</v>
      </c>
      <c r="J197" s="7">
        <v>1077</v>
      </c>
      <c r="K197">
        <v>15</v>
      </c>
      <c r="L197">
        <v>2021</v>
      </c>
      <c r="M197">
        <v>6</v>
      </c>
      <c r="N197">
        <v>0</v>
      </c>
    </row>
    <row r="198" spans="1:14" x14ac:dyDescent="0.25">
      <c r="A198" t="s">
        <v>2444</v>
      </c>
      <c r="B198" t="s">
        <v>635</v>
      </c>
      <c r="C198" t="s">
        <v>1464</v>
      </c>
      <c r="D198" t="str">
        <f>VLOOKUP(J198,Location[],2,FALSE)</f>
        <v>Chicago</v>
      </c>
      <c r="E198" t="str">
        <f>VLOOKUP(J198,Location[],3,FALSE)</f>
        <v> Illinois</v>
      </c>
      <c r="F198" t="str">
        <f>VLOOKUP(K198,Dept[],2,FALSE)</f>
        <v>Customer Support</v>
      </c>
      <c r="G198" s="11">
        <f t="shared" si="3"/>
        <v>43831</v>
      </c>
      <c r="H198" t="str">
        <f>VLOOKUP(N198,Status[],2,FALSE)</f>
        <v>Full-Time</v>
      </c>
      <c r="J198" s="7">
        <v>1003</v>
      </c>
      <c r="K198">
        <v>14</v>
      </c>
      <c r="L198">
        <v>2020</v>
      </c>
      <c r="M198">
        <v>1</v>
      </c>
      <c r="N198">
        <v>1</v>
      </c>
    </row>
    <row r="199" spans="1:14" x14ac:dyDescent="0.25">
      <c r="A199" t="s">
        <v>2445</v>
      </c>
      <c r="B199" t="s">
        <v>361</v>
      </c>
      <c r="C199" t="s">
        <v>362</v>
      </c>
      <c r="D199" t="str">
        <f>VLOOKUP(J199,Location[],2,FALSE)</f>
        <v>Los Angeles</v>
      </c>
      <c r="E199" t="str">
        <f>VLOOKUP(J199,Location[],3,FALSE)</f>
        <v> California</v>
      </c>
      <c r="F199" t="str">
        <f>VLOOKUP(K199,Dept[],2,FALSE)</f>
        <v>Human Resources</v>
      </c>
      <c r="G199" s="11">
        <f t="shared" si="3"/>
        <v>43070</v>
      </c>
      <c r="H199" t="str">
        <f>VLOOKUP(N199,Status[],2,FALSE)</f>
        <v>Full-Time</v>
      </c>
      <c r="J199" s="7">
        <v>1002</v>
      </c>
      <c r="K199">
        <v>16</v>
      </c>
      <c r="L199">
        <v>2017</v>
      </c>
      <c r="M199">
        <v>12</v>
      </c>
      <c r="N199">
        <v>1</v>
      </c>
    </row>
    <row r="200" spans="1:14" x14ac:dyDescent="0.25">
      <c r="A200" t="s">
        <v>2446</v>
      </c>
      <c r="B200" t="s">
        <v>1785</v>
      </c>
      <c r="C200" t="s">
        <v>1786</v>
      </c>
      <c r="D200" t="str">
        <f>VLOOKUP(J200,Location[],2,FALSE)</f>
        <v>Columbus</v>
      </c>
      <c r="E200" t="str">
        <f>VLOOKUP(J200,Location[],3,FALSE)</f>
        <v> Ohio</v>
      </c>
      <c r="F200" t="str">
        <f>VLOOKUP(K200,Dept[],2,FALSE)</f>
        <v>Customer Support</v>
      </c>
      <c r="G200" s="11">
        <f t="shared" si="3"/>
        <v>44562</v>
      </c>
      <c r="H200" t="str">
        <f>VLOOKUP(N200,Status[],2,FALSE)</f>
        <v>Full-Time</v>
      </c>
      <c r="J200" s="7">
        <v>1014</v>
      </c>
      <c r="K200">
        <v>14</v>
      </c>
      <c r="L200">
        <v>2022</v>
      </c>
      <c r="M200">
        <v>1</v>
      </c>
      <c r="N200">
        <v>1</v>
      </c>
    </row>
    <row r="201" spans="1:14" x14ac:dyDescent="0.25">
      <c r="A201" t="s">
        <v>2447</v>
      </c>
      <c r="B201" t="s">
        <v>1003</v>
      </c>
      <c r="C201" t="s">
        <v>632</v>
      </c>
      <c r="D201" t="str">
        <f>VLOOKUP(J201,Location[],2,FALSE)</f>
        <v>San Antonio</v>
      </c>
      <c r="E201" t="str">
        <f>VLOOKUP(J201,Location[],3,FALSE)</f>
        <v> Texas</v>
      </c>
      <c r="F201" t="str">
        <f>VLOOKUP(K201,Dept[],2,FALSE)</f>
        <v>Legal</v>
      </c>
      <c r="G201" s="11">
        <f t="shared" si="3"/>
        <v>42583</v>
      </c>
      <c r="H201" t="str">
        <f>VLOOKUP(N201,Status[],2,FALSE)</f>
        <v>Full-Time</v>
      </c>
      <c r="J201" s="7">
        <v>1007</v>
      </c>
      <c r="K201">
        <v>18</v>
      </c>
      <c r="L201">
        <v>2016</v>
      </c>
      <c r="M201">
        <v>8</v>
      </c>
      <c r="N201">
        <v>1</v>
      </c>
    </row>
    <row r="202" spans="1:14" x14ac:dyDescent="0.25">
      <c r="A202" t="s">
        <v>2448</v>
      </c>
      <c r="B202" t="s">
        <v>373</v>
      </c>
      <c r="C202" t="s">
        <v>632</v>
      </c>
      <c r="D202" t="str">
        <f>VLOOKUP(J202,Location[],2,FALSE)</f>
        <v>Chicago</v>
      </c>
      <c r="E202" t="str">
        <f>VLOOKUP(J202,Location[],3,FALSE)</f>
        <v> Illinois</v>
      </c>
      <c r="F202" t="str">
        <f>VLOOKUP(K202,Dept[],2,FALSE)</f>
        <v>Assessment</v>
      </c>
      <c r="G202" s="11">
        <f t="shared" si="3"/>
        <v>43191</v>
      </c>
      <c r="H202" t="str">
        <f>VLOOKUP(N202,Status[],2,FALSE)</f>
        <v>Full-Time</v>
      </c>
      <c r="J202" s="7">
        <v>1003</v>
      </c>
      <c r="K202">
        <v>13</v>
      </c>
      <c r="L202">
        <v>2018</v>
      </c>
      <c r="M202">
        <v>4</v>
      </c>
      <c r="N202">
        <v>1</v>
      </c>
    </row>
    <row r="203" spans="1:14" x14ac:dyDescent="0.25">
      <c r="A203" t="s">
        <v>2449</v>
      </c>
      <c r="B203" t="s">
        <v>690</v>
      </c>
      <c r="C203" t="s">
        <v>1798</v>
      </c>
      <c r="D203" t="str">
        <f>VLOOKUP(J203,Location[],2,FALSE)</f>
        <v>San Diego</v>
      </c>
      <c r="E203" t="str">
        <f>VLOOKUP(J203,Location[],3,FALSE)</f>
        <v> California</v>
      </c>
      <c r="F203" t="str">
        <f>VLOOKUP(K203,Dept[],2,FALSE)</f>
        <v>Sales</v>
      </c>
      <c r="G203" s="11">
        <f t="shared" si="3"/>
        <v>41153</v>
      </c>
      <c r="H203" t="str">
        <f>VLOOKUP(N203,Status[],2,FALSE)</f>
        <v>Full-Time</v>
      </c>
      <c r="J203" s="7">
        <v>1008</v>
      </c>
      <c r="K203">
        <v>22</v>
      </c>
      <c r="L203">
        <v>2012</v>
      </c>
      <c r="M203">
        <v>9</v>
      </c>
      <c r="N203">
        <v>1</v>
      </c>
    </row>
    <row r="204" spans="1:14" x14ac:dyDescent="0.25">
      <c r="A204" t="s">
        <v>2450</v>
      </c>
      <c r="B204" t="s">
        <v>292</v>
      </c>
      <c r="C204" t="s">
        <v>293</v>
      </c>
      <c r="D204" t="str">
        <f>VLOOKUP(J204,Location[],2,FALSE)</f>
        <v>Atlanta</v>
      </c>
      <c r="E204" t="str">
        <f>VLOOKUP(J204,Location[],3,FALSE)</f>
        <v> Georgia</v>
      </c>
      <c r="F204" t="str">
        <f>VLOOKUP(K204,Dept[],2,FALSE)</f>
        <v>Administration</v>
      </c>
      <c r="G204" s="11">
        <f t="shared" si="3"/>
        <v>42583</v>
      </c>
      <c r="H204" t="str">
        <f>VLOOKUP(N204,Status[],2,FALSE)</f>
        <v>Full-Time</v>
      </c>
      <c r="J204" s="7">
        <v>1038</v>
      </c>
      <c r="K204">
        <v>12</v>
      </c>
      <c r="L204">
        <v>2016</v>
      </c>
      <c r="M204">
        <v>8</v>
      </c>
      <c r="N204">
        <v>1</v>
      </c>
    </row>
    <row r="205" spans="1:14" x14ac:dyDescent="0.25">
      <c r="A205" t="s">
        <v>2451</v>
      </c>
      <c r="B205" t="s">
        <v>1184</v>
      </c>
      <c r="C205" t="s">
        <v>293</v>
      </c>
      <c r="D205" t="str">
        <f>VLOOKUP(J205,Location[],2,FALSE)</f>
        <v>Austin</v>
      </c>
      <c r="E205" t="str">
        <f>VLOOKUP(J205,Location[],3,FALSE)</f>
        <v> Texas</v>
      </c>
      <c r="F205" t="str">
        <f>VLOOKUP(K205,Dept[],2,FALSE)</f>
        <v>Human Resources</v>
      </c>
      <c r="G205" s="11">
        <f t="shared" si="3"/>
        <v>43770</v>
      </c>
      <c r="H205" t="str">
        <f>VLOOKUP(N205,Status[],2,FALSE)</f>
        <v>Full-Time</v>
      </c>
      <c r="J205" s="7">
        <v>1011</v>
      </c>
      <c r="K205">
        <v>16</v>
      </c>
      <c r="L205">
        <v>2019</v>
      </c>
      <c r="M205">
        <v>11</v>
      </c>
      <c r="N205">
        <v>1</v>
      </c>
    </row>
    <row r="206" spans="1:14" x14ac:dyDescent="0.25">
      <c r="A206" t="s">
        <v>2452</v>
      </c>
      <c r="B206" t="s">
        <v>47</v>
      </c>
      <c r="C206" t="s">
        <v>1034</v>
      </c>
      <c r="D206" t="str">
        <f>VLOOKUP(J206,Location[],2,FALSE)</f>
        <v>Jersey City</v>
      </c>
      <c r="E206" t="str">
        <f>VLOOKUP(J206,Location[],3,FALSE)</f>
        <v> New Jersey</v>
      </c>
      <c r="F206" t="str">
        <f>VLOOKUP(K206,Dept[],2,FALSE)</f>
        <v>Administration</v>
      </c>
      <c r="G206" s="11">
        <f t="shared" si="3"/>
        <v>44378</v>
      </c>
      <c r="H206" t="str">
        <f>VLOOKUP(N206,Status[],2,FALSE)</f>
        <v>Full-Time</v>
      </c>
      <c r="J206" s="7">
        <v>1075</v>
      </c>
      <c r="K206">
        <v>12</v>
      </c>
      <c r="L206">
        <v>2021</v>
      </c>
      <c r="M206">
        <v>7</v>
      </c>
      <c r="N206">
        <v>1</v>
      </c>
    </row>
    <row r="207" spans="1:14" x14ac:dyDescent="0.25">
      <c r="A207" t="s">
        <v>2453</v>
      </c>
      <c r="B207" t="s">
        <v>507</v>
      </c>
      <c r="C207" t="s">
        <v>508</v>
      </c>
      <c r="D207" t="str">
        <f>VLOOKUP(J207,Location[],2,FALSE)</f>
        <v>Los Angeles</v>
      </c>
      <c r="E207" t="str">
        <f>VLOOKUP(J207,Location[],3,FALSE)</f>
        <v> California</v>
      </c>
      <c r="F207" t="str">
        <f>VLOOKUP(K207,Dept[],2,FALSE)</f>
        <v>Assessment</v>
      </c>
      <c r="G207" s="11">
        <f t="shared" si="3"/>
        <v>42887</v>
      </c>
      <c r="H207" t="str">
        <f>VLOOKUP(N207,Status[],2,FALSE)</f>
        <v>Part-Time</v>
      </c>
      <c r="J207" s="7">
        <v>1002</v>
      </c>
      <c r="K207">
        <v>13</v>
      </c>
      <c r="L207">
        <v>2017</v>
      </c>
      <c r="M207">
        <v>6</v>
      </c>
      <c r="N207">
        <v>0</v>
      </c>
    </row>
    <row r="208" spans="1:14" x14ac:dyDescent="0.25">
      <c r="A208" t="s">
        <v>2454</v>
      </c>
      <c r="B208" t="s">
        <v>190</v>
      </c>
      <c r="C208" t="s">
        <v>191</v>
      </c>
      <c r="D208" t="str">
        <f>VLOOKUP(J208,Location[],2,FALSE)</f>
        <v>Chandler</v>
      </c>
      <c r="E208" t="str">
        <f>VLOOKUP(J208,Location[],3,FALSE)</f>
        <v> Arizona</v>
      </c>
      <c r="F208" t="str">
        <f>VLOOKUP(K208,Dept[],2,FALSE)</f>
        <v>Marketing</v>
      </c>
      <c r="G208" s="11">
        <f t="shared" si="3"/>
        <v>42917</v>
      </c>
      <c r="H208" t="str">
        <f>VLOOKUP(N208,Status[],2,FALSE)</f>
        <v>Full-Time</v>
      </c>
      <c r="J208" s="7">
        <v>1084</v>
      </c>
      <c r="K208">
        <v>19</v>
      </c>
      <c r="L208">
        <v>2017</v>
      </c>
      <c r="M208">
        <v>7</v>
      </c>
      <c r="N208">
        <v>1</v>
      </c>
    </row>
    <row r="209" spans="1:14" x14ac:dyDescent="0.25">
      <c r="A209" t="s">
        <v>2455</v>
      </c>
      <c r="B209" t="s">
        <v>117</v>
      </c>
      <c r="C209" t="s">
        <v>118</v>
      </c>
      <c r="D209" t="str">
        <f>VLOOKUP(J209,Location[],2,FALSE)</f>
        <v>Riverside</v>
      </c>
      <c r="E209" t="str">
        <f>VLOOKUP(J209,Location[],3,FALSE)</f>
        <v> California</v>
      </c>
      <c r="F209" t="str">
        <f>VLOOKUP(K209,Dept[],2,FALSE)</f>
        <v>Finance</v>
      </c>
      <c r="G209" s="11">
        <f t="shared" si="3"/>
        <v>44075</v>
      </c>
      <c r="H209" t="str">
        <f>VLOOKUP(N209,Status[],2,FALSE)</f>
        <v>Full-Time</v>
      </c>
      <c r="J209" s="7">
        <v>1058</v>
      </c>
      <c r="K209">
        <v>15</v>
      </c>
      <c r="L209">
        <v>2020</v>
      </c>
      <c r="M209">
        <v>9</v>
      </c>
      <c r="N209">
        <v>1</v>
      </c>
    </row>
    <row r="210" spans="1:14" x14ac:dyDescent="0.25">
      <c r="A210" t="s">
        <v>2456</v>
      </c>
      <c r="B210" t="s">
        <v>75</v>
      </c>
      <c r="C210" t="s">
        <v>1122</v>
      </c>
      <c r="D210" t="str">
        <f>VLOOKUP(J210,Location[],2,FALSE)</f>
        <v>Baltimore</v>
      </c>
      <c r="E210" t="str">
        <f>VLOOKUP(J210,Location[],3,FALSE)</f>
        <v> Maryland</v>
      </c>
      <c r="F210" t="str">
        <f>VLOOKUP(K210,Dept[],2,FALSE)</f>
        <v>Customer Support</v>
      </c>
      <c r="G210" s="11">
        <f t="shared" si="3"/>
        <v>41334</v>
      </c>
      <c r="H210" t="str">
        <f>VLOOKUP(N210,Status[],2,FALSE)</f>
        <v>Full-Time</v>
      </c>
      <c r="J210" s="7">
        <v>1030</v>
      </c>
      <c r="K210">
        <v>14</v>
      </c>
      <c r="L210">
        <v>2013</v>
      </c>
      <c r="M210">
        <v>3</v>
      </c>
      <c r="N210">
        <v>1</v>
      </c>
    </row>
    <row r="211" spans="1:14" x14ac:dyDescent="0.25">
      <c r="A211" t="s">
        <v>2457</v>
      </c>
      <c r="B211" t="s">
        <v>1533</v>
      </c>
      <c r="C211" t="s">
        <v>1694</v>
      </c>
      <c r="D211" t="str">
        <f>VLOOKUP(J211,Location[],2,FALSE)</f>
        <v>Corpus Christi</v>
      </c>
      <c r="E211" t="str">
        <f>VLOOKUP(J211,Location[],3,FALSE)</f>
        <v> Texas</v>
      </c>
      <c r="F211" t="str">
        <f>VLOOKUP(K211,Dept[],2,FALSE)</f>
        <v>Sales</v>
      </c>
      <c r="G211" s="11">
        <f t="shared" si="3"/>
        <v>42309</v>
      </c>
      <c r="H211" t="str">
        <f>VLOOKUP(N211,Status[],2,FALSE)</f>
        <v>Part-Time</v>
      </c>
      <c r="J211" s="7">
        <v>1059</v>
      </c>
      <c r="K211">
        <v>22</v>
      </c>
      <c r="L211">
        <v>2015</v>
      </c>
      <c r="M211">
        <v>11</v>
      </c>
      <c r="N211">
        <v>0</v>
      </c>
    </row>
    <row r="212" spans="1:14" x14ac:dyDescent="0.25">
      <c r="A212" t="s">
        <v>2458</v>
      </c>
      <c r="B212" t="s">
        <v>1130</v>
      </c>
      <c r="C212" t="s">
        <v>1131</v>
      </c>
      <c r="D212" t="str">
        <f>VLOOKUP(J212,Location[],2,FALSE)</f>
        <v>Houston</v>
      </c>
      <c r="E212" t="str">
        <f>VLOOKUP(J212,Location[],3,FALSE)</f>
        <v> Texas</v>
      </c>
      <c r="F212" t="str">
        <f>VLOOKUP(K212,Dept[],2,FALSE)</f>
        <v>Administration</v>
      </c>
      <c r="G212" s="11">
        <f t="shared" si="3"/>
        <v>42856</v>
      </c>
      <c r="H212" t="str">
        <f>VLOOKUP(N212,Status[],2,FALSE)</f>
        <v>Full-Time</v>
      </c>
      <c r="J212" s="7">
        <v>1004</v>
      </c>
      <c r="K212">
        <v>12</v>
      </c>
      <c r="L212">
        <v>2017</v>
      </c>
      <c r="M212">
        <v>5</v>
      </c>
      <c r="N212">
        <v>1</v>
      </c>
    </row>
    <row r="213" spans="1:14" x14ac:dyDescent="0.25">
      <c r="A213" t="s">
        <v>2459</v>
      </c>
      <c r="B213" t="s">
        <v>541</v>
      </c>
      <c r="C213" t="s">
        <v>1834</v>
      </c>
      <c r="D213" t="str">
        <f>VLOOKUP(J213,Location[],2,FALSE)</f>
        <v>Philadelphia</v>
      </c>
      <c r="E213" t="str">
        <f>VLOOKUP(J213,Location[],3,FALSE)</f>
        <v> Pennsylvania</v>
      </c>
      <c r="F213" t="str">
        <f>VLOOKUP(K213,Dept[],2,FALSE)</f>
        <v>IT</v>
      </c>
      <c r="G213" s="11">
        <f t="shared" si="3"/>
        <v>42795</v>
      </c>
      <c r="H213" t="str">
        <f>VLOOKUP(N213,Status[],2,FALSE)</f>
        <v>Full-Time</v>
      </c>
      <c r="J213" s="7">
        <v>1006</v>
      </c>
      <c r="K213">
        <v>17</v>
      </c>
      <c r="L213">
        <v>2017</v>
      </c>
      <c r="M213">
        <v>3</v>
      </c>
      <c r="N213">
        <v>1</v>
      </c>
    </row>
    <row r="214" spans="1:14" x14ac:dyDescent="0.25">
      <c r="A214" t="s">
        <v>2460</v>
      </c>
      <c r="B214" t="s">
        <v>326</v>
      </c>
      <c r="C214" t="s">
        <v>327</v>
      </c>
      <c r="D214" t="str">
        <f>VLOOKUP(J214,Location[],2,FALSE)</f>
        <v>Corpus Christi</v>
      </c>
      <c r="E214" t="str">
        <f>VLOOKUP(J214,Location[],3,FALSE)</f>
        <v> Texas</v>
      </c>
      <c r="F214" t="str">
        <f>VLOOKUP(K214,Dept[],2,FALSE)</f>
        <v>Marketing</v>
      </c>
      <c r="G214" s="11">
        <f t="shared" si="3"/>
        <v>42948</v>
      </c>
      <c r="H214" t="str">
        <f>VLOOKUP(N214,Status[],2,FALSE)</f>
        <v>Full-Time</v>
      </c>
      <c r="J214" s="7">
        <v>1059</v>
      </c>
      <c r="K214">
        <v>19</v>
      </c>
      <c r="L214">
        <v>2017</v>
      </c>
      <c r="M214">
        <v>8</v>
      </c>
      <c r="N214">
        <v>1</v>
      </c>
    </row>
    <row r="215" spans="1:14" x14ac:dyDescent="0.25">
      <c r="A215" t="s">
        <v>2461</v>
      </c>
      <c r="B215" t="s">
        <v>246</v>
      </c>
      <c r="C215" t="s">
        <v>327</v>
      </c>
      <c r="D215" t="str">
        <f>VLOOKUP(J215,Location[],2,FALSE)</f>
        <v>Long Beach</v>
      </c>
      <c r="E215" t="str">
        <f>VLOOKUP(J215,Location[],3,FALSE)</f>
        <v> California</v>
      </c>
      <c r="F215" t="str">
        <f>VLOOKUP(K215,Dept[],2,FALSE)</f>
        <v>Customer Support</v>
      </c>
      <c r="G215" s="11">
        <f t="shared" si="3"/>
        <v>41000</v>
      </c>
      <c r="H215" t="str">
        <f>VLOOKUP(N215,Status[],2,FALSE)</f>
        <v>Full-Time</v>
      </c>
      <c r="J215" s="7">
        <v>1039</v>
      </c>
      <c r="K215">
        <v>14</v>
      </c>
      <c r="L215">
        <v>2012</v>
      </c>
      <c r="M215">
        <v>4</v>
      </c>
      <c r="N215">
        <v>1</v>
      </c>
    </row>
    <row r="216" spans="1:14" x14ac:dyDescent="0.25">
      <c r="A216" t="s">
        <v>2462</v>
      </c>
      <c r="B216" t="s">
        <v>841</v>
      </c>
      <c r="C216" t="s">
        <v>327</v>
      </c>
      <c r="D216" t="str">
        <f>VLOOKUP(J216,Location[],2,FALSE)</f>
        <v>Columbus</v>
      </c>
      <c r="E216" t="str">
        <f>VLOOKUP(J216,Location[],3,FALSE)</f>
        <v> Ohio</v>
      </c>
      <c r="F216" t="str">
        <f>VLOOKUP(K216,Dept[],2,FALSE)</f>
        <v>Administration</v>
      </c>
      <c r="G216" s="11">
        <f t="shared" si="3"/>
        <v>42036</v>
      </c>
      <c r="H216" t="str">
        <f>VLOOKUP(N216,Status[],2,FALSE)</f>
        <v>Full-Time</v>
      </c>
      <c r="J216" s="7">
        <v>1014</v>
      </c>
      <c r="K216">
        <v>12</v>
      </c>
      <c r="L216">
        <v>2015</v>
      </c>
      <c r="M216">
        <v>2</v>
      </c>
      <c r="N216">
        <v>1</v>
      </c>
    </row>
    <row r="217" spans="1:14" x14ac:dyDescent="0.25">
      <c r="A217" t="s">
        <v>2463</v>
      </c>
      <c r="B217" t="s">
        <v>731</v>
      </c>
      <c r="C217" t="s">
        <v>1603</v>
      </c>
      <c r="D217" t="str">
        <f>VLOOKUP(J217,Location[],2,FALSE)</f>
        <v>New York City</v>
      </c>
      <c r="E217" t="str">
        <f>VLOOKUP(J217,Location[],3,FALSE)</f>
        <v> New York</v>
      </c>
      <c r="F217" t="str">
        <f>VLOOKUP(K217,Dept[],2,FALSE)</f>
        <v>Accounting</v>
      </c>
      <c r="G217" s="11">
        <f t="shared" si="3"/>
        <v>43647</v>
      </c>
      <c r="H217" t="str">
        <f>VLOOKUP(N217,Status[],2,FALSE)</f>
        <v>Full-Time</v>
      </c>
      <c r="J217" s="7">
        <v>1001</v>
      </c>
      <c r="K217">
        <v>11</v>
      </c>
      <c r="L217">
        <v>2019</v>
      </c>
      <c r="M217">
        <v>7</v>
      </c>
      <c r="N217">
        <v>1</v>
      </c>
    </row>
    <row r="218" spans="1:14" x14ac:dyDescent="0.25">
      <c r="A218" t="s">
        <v>2464</v>
      </c>
      <c r="B218" t="s">
        <v>469</v>
      </c>
      <c r="C218" t="s">
        <v>1761</v>
      </c>
      <c r="D218" t="str">
        <f>VLOOKUP(J218,Location[],2,FALSE)</f>
        <v>Los Angeles</v>
      </c>
      <c r="E218" t="str">
        <f>VLOOKUP(J218,Location[],3,FALSE)</f>
        <v> California</v>
      </c>
      <c r="F218" t="str">
        <f>VLOOKUP(K218,Dept[],2,FALSE)</f>
        <v>Accounting</v>
      </c>
      <c r="G218" s="11">
        <f t="shared" si="3"/>
        <v>43983</v>
      </c>
      <c r="H218" t="str">
        <f>VLOOKUP(N218,Status[],2,FALSE)</f>
        <v>Part-Time</v>
      </c>
      <c r="J218" s="7">
        <v>1002</v>
      </c>
      <c r="K218">
        <v>11</v>
      </c>
      <c r="L218">
        <v>2020</v>
      </c>
      <c r="M218">
        <v>6</v>
      </c>
      <c r="N218">
        <v>0</v>
      </c>
    </row>
    <row r="219" spans="1:14" x14ac:dyDescent="0.25">
      <c r="A219" t="s">
        <v>2465</v>
      </c>
      <c r="B219" t="s">
        <v>261</v>
      </c>
      <c r="C219" t="s">
        <v>740</v>
      </c>
      <c r="D219" t="str">
        <f>VLOOKUP(J219,Location[],2,FALSE)</f>
        <v>Saint Paul</v>
      </c>
      <c r="E219" t="str">
        <f>VLOOKUP(J219,Location[],3,FALSE)</f>
        <v> Minnesota</v>
      </c>
      <c r="F219" t="str">
        <f>VLOOKUP(K219,Dept[],2,FALSE)</f>
        <v>Finance</v>
      </c>
      <c r="G219" s="11">
        <f t="shared" si="3"/>
        <v>43647</v>
      </c>
      <c r="H219" t="str">
        <f>VLOOKUP(N219,Status[],2,FALSE)</f>
        <v>Part-Time</v>
      </c>
      <c r="J219" s="7">
        <v>1063</v>
      </c>
      <c r="K219">
        <v>15</v>
      </c>
      <c r="L219">
        <v>2019</v>
      </c>
      <c r="M219">
        <v>7</v>
      </c>
      <c r="N219">
        <v>0</v>
      </c>
    </row>
    <row r="220" spans="1:14" x14ac:dyDescent="0.25">
      <c r="A220" t="s">
        <v>2466</v>
      </c>
      <c r="B220" t="s">
        <v>1425</v>
      </c>
      <c r="C220" t="s">
        <v>1426</v>
      </c>
      <c r="D220" t="str">
        <f>VLOOKUP(J220,Location[],2,FALSE)</f>
        <v>San Jose</v>
      </c>
      <c r="E220" t="str">
        <f>VLOOKUP(J220,Location[],3,FALSE)</f>
        <v> California</v>
      </c>
      <c r="F220" t="str">
        <f>VLOOKUP(K220,Dept[],2,FALSE)</f>
        <v>Accounting</v>
      </c>
      <c r="G220" s="11">
        <f t="shared" si="3"/>
        <v>44256</v>
      </c>
      <c r="H220" t="str">
        <f>VLOOKUP(N220,Status[],2,FALSE)</f>
        <v>Full-Time</v>
      </c>
      <c r="J220" s="7">
        <v>1010</v>
      </c>
      <c r="K220">
        <v>11</v>
      </c>
      <c r="L220">
        <v>2021</v>
      </c>
      <c r="M220">
        <v>3</v>
      </c>
      <c r="N220">
        <v>1</v>
      </c>
    </row>
    <row r="221" spans="1:14" x14ac:dyDescent="0.25">
      <c r="A221" t="s">
        <v>2467</v>
      </c>
      <c r="B221" t="s">
        <v>5</v>
      </c>
      <c r="C221" t="s">
        <v>1398</v>
      </c>
      <c r="D221" t="str">
        <f>VLOOKUP(J221,Location[],2,FALSE)</f>
        <v>Austin</v>
      </c>
      <c r="E221" t="str">
        <f>VLOOKUP(J221,Location[],3,FALSE)</f>
        <v> Texas</v>
      </c>
      <c r="F221" t="str">
        <f>VLOOKUP(K221,Dept[],2,FALSE)</f>
        <v>Finance</v>
      </c>
      <c r="G221" s="11">
        <f t="shared" si="3"/>
        <v>41852</v>
      </c>
      <c r="H221" t="str">
        <f>VLOOKUP(N221,Status[],2,FALSE)</f>
        <v>Full-Time</v>
      </c>
      <c r="J221" s="7">
        <v>1011</v>
      </c>
      <c r="K221">
        <v>15</v>
      </c>
      <c r="L221">
        <v>2014</v>
      </c>
      <c r="M221">
        <v>8</v>
      </c>
      <c r="N221">
        <v>1</v>
      </c>
    </row>
    <row r="222" spans="1:14" x14ac:dyDescent="0.25">
      <c r="A222" t="s">
        <v>2468</v>
      </c>
      <c r="B222" t="s">
        <v>224</v>
      </c>
      <c r="C222" t="s">
        <v>1986</v>
      </c>
      <c r="D222" t="str">
        <f>VLOOKUP(J222,Location[],2,FALSE)</f>
        <v>Charlotte</v>
      </c>
      <c r="E222" t="str">
        <f>VLOOKUP(J222,Location[],3,FALSE)</f>
        <v> North Carolina</v>
      </c>
      <c r="F222" t="str">
        <f>VLOOKUP(K222,Dept[],2,FALSE)</f>
        <v>Finance</v>
      </c>
      <c r="G222" s="11">
        <f t="shared" si="3"/>
        <v>44197</v>
      </c>
      <c r="H222" t="str">
        <f>VLOOKUP(N222,Status[],2,FALSE)</f>
        <v>Full-Time</v>
      </c>
      <c r="J222" s="7">
        <v>1017</v>
      </c>
      <c r="K222">
        <v>15</v>
      </c>
      <c r="L222">
        <v>2021</v>
      </c>
      <c r="M222">
        <v>1</v>
      </c>
      <c r="N222">
        <v>1</v>
      </c>
    </row>
    <row r="223" spans="1:14" x14ac:dyDescent="0.25">
      <c r="A223" t="s">
        <v>2469</v>
      </c>
      <c r="B223" t="s">
        <v>753</v>
      </c>
      <c r="C223" t="s">
        <v>1345</v>
      </c>
      <c r="D223" t="str">
        <f>VLOOKUP(J223,Location[],2,FALSE)</f>
        <v>Washington, D.C.</v>
      </c>
      <c r="E223" t="str">
        <f>VLOOKUP(J223,Location[],3,FALSE)</f>
        <v> District of Columbia</v>
      </c>
      <c r="F223" t="str">
        <f>VLOOKUP(K223,Dept[],2,FALSE)</f>
        <v>IT</v>
      </c>
      <c r="G223" s="11">
        <f t="shared" si="3"/>
        <v>41883</v>
      </c>
      <c r="H223" t="str">
        <f>VLOOKUP(N223,Status[],2,FALSE)</f>
        <v>Full-Time</v>
      </c>
      <c r="J223" s="7">
        <v>1020</v>
      </c>
      <c r="K223">
        <v>17</v>
      </c>
      <c r="L223">
        <v>2014</v>
      </c>
      <c r="M223">
        <v>9</v>
      </c>
      <c r="N223">
        <v>1</v>
      </c>
    </row>
    <row r="224" spans="1:14" x14ac:dyDescent="0.25">
      <c r="A224" t="s">
        <v>2470</v>
      </c>
      <c r="B224" t="s">
        <v>1344</v>
      </c>
      <c r="C224" t="s">
        <v>1345</v>
      </c>
      <c r="D224" t="str">
        <f>VLOOKUP(J224,Location[],2,FALSE)</f>
        <v>Phoenix</v>
      </c>
      <c r="E224" t="str">
        <f>VLOOKUP(J224,Location[],3,FALSE)</f>
        <v> Arizona</v>
      </c>
      <c r="F224" t="str">
        <f>VLOOKUP(K224,Dept[],2,FALSE)</f>
        <v>Assessment</v>
      </c>
      <c r="G224" s="11">
        <f t="shared" si="3"/>
        <v>42644</v>
      </c>
      <c r="H224" t="str">
        <f>VLOOKUP(N224,Status[],2,FALSE)</f>
        <v>Full-Time</v>
      </c>
      <c r="J224" s="7">
        <v>1005</v>
      </c>
      <c r="K224">
        <v>13</v>
      </c>
      <c r="L224">
        <v>2016</v>
      </c>
      <c r="M224">
        <v>10</v>
      </c>
      <c r="N224">
        <v>1</v>
      </c>
    </row>
    <row r="225" spans="1:14" x14ac:dyDescent="0.25">
      <c r="A225" t="s">
        <v>2471</v>
      </c>
      <c r="B225" t="s">
        <v>1887</v>
      </c>
      <c r="C225" t="s">
        <v>1811</v>
      </c>
      <c r="D225" t="str">
        <f>VLOOKUP(J225,Location[],2,FALSE)</f>
        <v>Los Angeles</v>
      </c>
      <c r="E225" t="str">
        <f>VLOOKUP(J225,Location[],3,FALSE)</f>
        <v> California</v>
      </c>
      <c r="F225" t="str">
        <f>VLOOKUP(K225,Dept[],2,FALSE)</f>
        <v>Media</v>
      </c>
      <c r="G225" s="11">
        <f t="shared" si="3"/>
        <v>41091</v>
      </c>
      <c r="H225" t="str">
        <f>VLOOKUP(N225,Status[],2,FALSE)</f>
        <v>Full-Time</v>
      </c>
      <c r="J225" s="7">
        <v>1002</v>
      </c>
      <c r="K225">
        <v>20</v>
      </c>
      <c r="L225">
        <v>2012</v>
      </c>
      <c r="M225">
        <v>7</v>
      </c>
      <c r="N225">
        <v>1</v>
      </c>
    </row>
    <row r="226" spans="1:14" x14ac:dyDescent="0.25">
      <c r="A226" t="s">
        <v>2472</v>
      </c>
      <c r="B226" t="s">
        <v>127</v>
      </c>
      <c r="C226" t="s">
        <v>1811</v>
      </c>
      <c r="D226" t="str">
        <f>VLOOKUP(J226,Location[],2,FALSE)</f>
        <v>Anaheim</v>
      </c>
      <c r="E226" t="str">
        <f>VLOOKUP(J226,Location[],3,FALSE)</f>
        <v> California</v>
      </c>
      <c r="F226" t="str">
        <f>VLOOKUP(K226,Dept[],2,FALSE)</f>
        <v>Marketing</v>
      </c>
      <c r="G226" s="11">
        <f t="shared" si="3"/>
        <v>42705</v>
      </c>
      <c r="H226" t="str">
        <f>VLOOKUP(N226,Status[],2,FALSE)</f>
        <v>Full-Time</v>
      </c>
      <c r="J226" s="7">
        <v>1055</v>
      </c>
      <c r="K226">
        <v>19</v>
      </c>
      <c r="L226">
        <v>2016</v>
      </c>
      <c r="M226">
        <v>12</v>
      </c>
      <c r="N226">
        <v>1</v>
      </c>
    </row>
    <row r="227" spans="1:14" x14ac:dyDescent="0.25">
      <c r="A227" t="s">
        <v>2473</v>
      </c>
      <c r="B227" t="s">
        <v>388</v>
      </c>
      <c r="C227" t="s">
        <v>389</v>
      </c>
      <c r="D227" t="str">
        <f>VLOOKUP(J227,Location[],2,FALSE)</f>
        <v>Los Angeles</v>
      </c>
      <c r="E227" t="str">
        <f>VLOOKUP(J227,Location[],3,FALSE)</f>
        <v> California</v>
      </c>
      <c r="F227" t="str">
        <f>VLOOKUP(K227,Dept[],2,FALSE)</f>
        <v>Accounting</v>
      </c>
      <c r="G227" s="11">
        <f t="shared" si="3"/>
        <v>40544</v>
      </c>
      <c r="H227" t="str">
        <f>VLOOKUP(N227,Status[],2,FALSE)</f>
        <v>Full-Time</v>
      </c>
      <c r="J227" s="7">
        <v>1002</v>
      </c>
      <c r="K227">
        <v>11</v>
      </c>
      <c r="L227">
        <v>2011</v>
      </c>
      <c r="M227">
        <v>1</v>
      </c>
      <c r="N227">
        <v>1</v>
      </c>
    </row>
    <row r="228" spans="1:14" x14ac:dyDescent="0.25">
      <c r="A228" t="s">
        <v>2474</v>
      </c>
      <c r="B228" t="s">
        <v>297</v>
      </c>
      <c r="C228" t="s">
        <v>279</v>
      </c>
      <c r="D228" t="str">
        <f>VLOOKUP(J228,Location[],2,FALSE)</f>
        <v>Austin</v>
      </c>
      <c r="E228" t="str">
        <f>VLOOKUP(J228,Location[],3,FALSE)</f>
        <v> Texas</v>
      </c>
      <c r="F228" t="str">
        <f>VLOOKUP(K228,Dept[],2,FALSE)</f>
        <v>Customer Support</v>
      </c>
      <c r="G228" s="11">
        <f t="shared" si="3"/>
        <v>42430</v>
      </c>
      <c r="H228" t="str">
        <f>VLOOKUP(N228,Status[],2,FALSE)</f>
        <v>Full-Time</v>
      </c>
      <c r="J228" s="7">
        <v>1011</v>
      </c>
      <c r="K228">
        <v>14</v>
      </c>
      <c r="L228">
        <v>2016</v>
      </c>
      <c r="M228">
        <v>3</v>
      </c>
      <c r="N228">
        <v>1</v>
      </c>
    </row>
    <row r="229" spans="1:14" x14ac:dyDescent="0.25">
      <c r="A229" t="s">
        <v>2475</v>
      </c>
      <c r="B229" t="s">
        <v>278</v>
      </c>
      <c r="C229" t="s">
        <v>279</v>
      </c>
      <c r="D229" t="str">
        <f>VLOOKUP(J229,Location[],2,FALSE)</f>
        <v>Las Vegas</v>
      </c>
      <c r="E229" t="str">
        <f>VLOOKUP(J229,Location[],3,FALSE)</f>
        <v> Nevada</v>
      </c>
      <c r="F229" t="str">
        <f>VLOOKUP(K229,Dept[],2,FALSE)</f>
        <v>Accounting</v>
      </c>
      <c r="G229" s="11">
        <f t="shared" si="3"/>
        <v>44743</v>
      </c>
      <c r="H229" t="str">
        <f>VLOOKUP(N229,Status[],2,FALSE)</f>
        <v>Full-Time</v>
      </c>
      <c r="J229" s="7">
        <v>1028</v>
      </c>
      <c r="K229">
        <v>11</v>
      </c>
      <c r="L229">
        <v>2022</v>
      </c>
      <c r="M229">
        <v>7</v>
      </c>
      <c r="N229">
        <v>1</v>
      </c>
    </row>
    <row r="230" spans="1:14" x14ac:dyDescent="0.25">
      <c r="A230" t="s">
        <v>2476</v>
      </c>
      <c r="B230" t="s">
        <v>253</v>
      </c>
      <c r="C230" t="s">
        <v>279</v>
      </c>
      <c r="D230" t="str">
        <f>VLOOKUP(J230,Location[],2,FALSE)</f>
        <v>Houston</v>
      </c>
      <c r="E230" t="str">
        <f>VLOOKUP(J230,Location[],3,FALSE)</f>
        <v> Texas</v>
      </c>
      <c r="F230" t="str">
        <f>VLOOKUP(K230,Dept[],2,FALSE)</f>
        <v>Accounting</v>
      </c>
      <c r="G230" s="11">
        <f t="shared" si="3"/>
        <v>41426</v>
      </c>
      <c r="H230" t="str">
        <f>VLOOKUP(N230,Status[],2,FALSE)</f>
        <v>Full-Time</v>
      </c>
      <c r="J230" s="7">
        <v>1004</v>
      </c>
      <c r="K230">
        <v>11</v>
      </c>
      <c r="L230">
        <v>2013</v>
      </c>
      <c r="M230">
        <v>6</v>
      </c>
      <c r="N230">
        <v>1</v>
      </c>
    </row>
    <row r="231" spans="1:14" x14ac:dyDescent="0.25">
      <c r="A231" t="s">
        <v>2477</v>
      </c>
      <c r="B231" t="s">
        <v>487</v>
      </c>
      <c r="C231" t="s">
        <v>279</v>
      </c>
      <c r="D231" t="str">
        <f>VLOOKUP(J231,Location[],2,FALSE)</f>
        <v>New York City</v>
      </c>
      <c r="E231" t="str">
        <f>VLOOKUP(J231,Location[],3,FALSE)</f>
        <v> New York</v>
      </c>
      <c r="F231" t="str">
        <f>VLOOKUP(K231,Dept[],2,FALSE)</f>
        <v>IT</v>
      </c>
      <c r="G231" s="11">
        <f t="shared" si="3"/>
        <v>41061</v>
      </c>
      <c r="H231" t="str">
        <f>VLOOKUP(N231,Status[],2,FALSE)</f>
        <v>Full-Time</v>
      </c>
      <c r="J231" s="7">
        <v>1001</v>
      </c>
      <c r="K231">
        <v>17</v>
      </c>
      <c r="L231">
        <v>2012</v>
      </c>
      <c r="M231">
        <v>6</v>
      </c>
      <c r="N231">
        <v>1</v>
      </c>
    </row>
    <row r="232" spans="1:14" x14ac:dyDescent="0.25">
      <c r="A232" t="s">
        <v>2478</v>
      </c>
      <c r="B232" t="s">
        <v>1016</v>
      </c>
      <c r="C232" t="s">
        <v>1017</v>
      </c>
      <c r="D232" t="str">
        <f>VLOOKUP(J232,Location[],2,FALSE)</f>
        <v>Oklahoma City</v>
      </c>
      <c r="E232" t="str">
        <f>VLOOKUP(J232,Location[],3,FALSE)</f>
        <v> Oklahoma</v>
      </c>
      <c r="F232" t="str">
        <f>VLOOKUP(K232,Dept[],2,FALSE)</f>
        <v>Marketing</v>
      </c>
      <c r="G232" s="11">
        <f t="shared" si="3"/>
        <v>41091</v>
      </c>
      <c r="H232" t="str">
        <f>VLOOKUP(N232,Status[],2,FALSE)</f>
        <v>Full-Time</v>
      </c>
      <c r="J232" s="7">
        <v>1027</v>
      </c>
      <c r="K232">
        <v>19</v>
      </c>
      <c r="L232">
        <v>2012</v>
      </c>
      <c r="M232">
        <v>7</v>
      </c>
      <c r="N232">
        <v>1</v>
      </c>
    </row>
    <row r="233" spans="1:14" x14ac:dyDescent="0.25">
      <c r="A233" t="s">
        <v>2479</v>
      </c>
      <c r="B233" t="s">
        <v>805</v>
      </c>
      <c r="C233" t="s">
        <v>38</v>
      </c>
      <c r="D233" t="str">
        <f>VLOOKUP(J233,Location[],2,FALSE)</f>
        <v>El Paso</v>
      </c>
      <c r="E233" t="str">
        <f>VLOOKUP(J233,Location[],3,FALSE)</f>
        <v> Texas</v>
      </c>
      <c r="F233" t="str">
        <f>VLOOKUP(K233,Dept[],2,FALSE)</f>
        <v>Assessment</v>
      </c>
      <c r="G233" s="11">
        <f t="shared" si="3"/>
        <v>42309</v>
      </c>
      <c r="H233" t="str">
        <f>VLOOKUP(N233,Status[],2,FALSE)</f>
        <v>Full-Time</v>
      </c>
      <c r="J233" s="7">
        <v>1022</v>
      </c>
      <c r="K233">
        <v>13</v>
      </c>
      <c r="L233">
        <v>2015</v>
      </c>
      <c r="M233">
        <v>11</v>
      </c>
      <c r="N233">
        <v>1</v>
      </c>
    </row>
    <row r="234" spans="1:14" x14ac:dyDescent="0.25">
      <c r="A234" t="s">
        <v>2480</v>
      </c>
      <c r="B234" t="s">
        <v>869</v>
      </c>
      <c r="C234" t="s">
        <v>38</v>
      </c>
      <c r="D234" t="str">
        <f>VLOOKUP(J234,Location[],2,FALSE)</f>
        <v>Los Angeles</v>
      </c>
      <c r="E234" t="str">
        <f>VLOOKUP(J234,Location[],3,FALSE)</f>
        <v> California</v>
      </c>
      <c r="F234" t="str">
        <f>VLOOKUP(K234,Dept[],2,FALSE)</f>
        <v>IT</v>
      </c>
      <c r="G234" s="11">
        <f t="shared" si="3"/>
        <v>42917</v>
      </c>
      <c r="H234" t="str">
        <f>VLOOKUP(N234,Status[],2,FALSE)</f>
        <v>Full-Time</v>
      </c>
      <c r="J234" s="7">
        <v>1002</v>
      </c>
      <c r="K234">
        <v>17</v>
      </c>
      <c r="L234">
        <v>2017</v>
      </c>
      <c r="M234">
        <v>7</v>
      </c>
      <c r="N234">
        <v>1</v>
      </c>
    </row>
    <row r="235" spans="1:14" x14ac:dyDescent="0.25">
      <c r="A235" t="s">
        <v>2481</v>
      </c>
      <c r="B235" t="s">
        <v>888</v>
      </c>
      <c r="C235" t="s">
        <v>38</v>
      </c>
      <c r="D235" t="str">
        <f>VLOOKUP(J235,Location[],2,FALSE)</f>
        <v>Phoenix</v>
      </c>
      <c r="E235" t="str">
        <f>VLOOKUP(J235,Location[],3,FALSE)</f>
        <v> Arizona</v>
      </c>
      <c r="F235" t="str">
        <f>VLOOKUP(K235,Dept[],2,FALSE)</f>
        <v>Human Resources</v>
      </c>
      <c r="G235" s="11">
        <f t="shared" si="3"/>
        <v>41671</v>
      </c>
      <c r="H235" t="str">
        <f>VLOOKUP(N235,Status[],2,FALSE)</f>
        <v>Full-Time</v>
      </c>
      <c r="J235" s="7">
        <v>1005</v>
      </c>
      <c r="K235">
        <v>16</v>
      </c>
      <c r="L235">
        <v>2014</v>
      </c>
      <c r="M235">
        <v>2</v>
      </c>
      <c r="N235">
        <v>1</v>
      </c>
    </row>
    <row r="236" spans="1:14" x14ac:dyDescent="0.25">
      <c r="A236" t="s">
        <v>2482</v>
      </c>
      <c r="B236" t="s">
        <v>307</v>
      </c>
      <c r="C236" t="s">
        <v>38</v>
      </c>
      <c r="D236" t="str">
        <f>VLOOKUP(J236,Location[],2,FALSE)</f>
        <v>San Jose</v>
      </c>
      <c r="E236" t="str">
        <f>VLOOKUP(J236,Location[],3,FALSE)</f>
        <v> California</v>
      </c>
      <c r="F236" t="str">
        <f>VLOOKUP(K236,Dept[],2,FALSE)</f>
        <v>Marketing</v>
      </c>
      <c r="G236" s="11">
        <f t="shared" si="3"/>
        <v>43647</v>
      </c>
      <c r="H236" t="str">
        <f>VLOOKUP(N236,Status[],2,FALSE)</f>
        <v>Full-Time</v>
      </c>
      <c r="J236" s="7">
        <v>1010</v>
      </c>
      <c r="K236">
        <v>19</v>
      </c>
      <c r="L236">
        <v>2019</v>
      </c>
      <c r="M236">
        <v>7</v>
      </c>
      <c r="N236">
        <v>1</v>
      </c>
    </row>
    <row r="237" spans="1:14" x14ac:dyDescent="0.25">
      <c r="A237" t="s">
        <v>2483</v>
      </c>
      <c r="B237" t="s">
        <v>51</v>
      </c>
      <c r="C237" t="s">
        <v>38</v>
      </c>
      <c r="D237" t="str">
        <f>VLOOKUP(J237,Location[],2,FALSE)</f>
        <v>Wichita</v>
      </c>
      <c r="E237" t="str">
        <f>VLOOKUP(J237,Location[],3,FALSE)</f>
        <v> Kansas</v>
      </c>
      <c r="F237" t="str">
        <f>VLOOKUP(K237,Dept[],2,FALSE)</f>
        <v>Customer Support</v>
      </c>
      <c r="G237" s="11">
        <f t="shared" si="3"/>
        <v>41091</v>
      </c>
      <c r="H237" t="str">
        <f>VLOOKUP(N237,Status[],2,FALSE)</f>
        <v>Full-Time</v>
      </c>
      <c r="J237" s="7">
        <v>1050</v>
      </c>
      <c r="K237">
        <v>14</v>
      </c>
      <c r="L237">
        <v>2012</v>
      </c>
      <c r="M237">
        <v>7</v>
      </c>
      <c r="N237">
        <v>1</v>
      </c>
    </row>
    <row r="238" spans="1:14" x14ac:dyDescent="0.25">
      <c r="A238" t="s">
        <v>2484</v>
      </c>
      <c r="B238" t="s">
        <v>1256</v>
      </c>
      <c r="C238" t="s">
        <v>38</v>
      </c>
      <c r="D238" t="str">
        <f>VLOOKUP(J238,Location[],2,FALSE)</f>
        <v>Seattle</v>
      </c>
      <c r="E238" t="str">
        <f>VLOOKUP(J238,Location[],3,FALSE)</f>
        <v> Washington</v>
      </c>
      <c r="F238" t="str">
        <f>VLOOKUP(K238,Dept[],2,FALSE)</f>
        <v>Accounting</v>
      </c>
      <c r="G238" s="11">
        <f t="shared" si="3"/>
        <v>43891</v>
      </c>
      <c r="H238" t="str">
        <f>VLOOKUP(N238,Status[],2,FALSE)</f>
        <v>Full-Time</v>
      </c>
      <c r="J238" s="7">
        <v>1018</v>
      </c>
      <c r="K238">
        <v>11</v>
      </c>
      <c r="L238">
        <v>2020</v>
      </c>
      <c r="M238">
        <v>3</v>
      </c>
      <c r="N238">
        <v>1</v>
      </c>
    </row>
    <row r="239" spans="1:14" x14ac:dyDescent="0.25">
      <c r="A239" t="s">
        <v>2485</v>
      </c>
      <c r="B239" t="s">
        <v>304</v>
      </c>
      <c r="C239" t="s">
        <v>38</v>
      </c>
      <c r="D239" t="str">
        <f>VLOOKUP(J239,Location[],2,FALSE)</f>
        <v>Boston</v>
      </c>
      <c r="E239" t="str">
        <f>VLOOKUP(J239,Location[],3,FALSE)</f>
        <v> Massachusetts</v>
      </c>
      <c r="F239" t="str">
        <f>VLOOKUP(K239,Dept[],2,FALSE)</f>
        <v>Customer Support</v>
      </c>
      <c r="G239" s="11">
        <f t="shared" si="3"/>
        <v>45200</v>
      </c>
      <c r="H239" t="str">
        <f>VLOOKUP(N239,Status[],2,FALSE)</f>
        <v>Full-Time</v>
      </c>
      <c r="J239" s="7">
        <v>1021</v>
      </c>
      <c r="K239">
        <v>14</v>
      </c>
      <c r="L239">
        <v>2023</v>
      </c>
      <c r="M239">
        <v>10</v>
      </c>
      <c r="N239">
        <v>1</v>
      </c>
    </row>
    <row r="240" spans="1:14" x14ac:dyDescent="0.25">
      <c r="A240" t="s">
        <v>2486</v>
      </c>
      <c r="B240" t="s">
        <v>304</v>
      </c>
      <c r="C240" t="s">
        <v>38</v>
      </c>
      <c r="D240" t="str">
        <f>VLOOKUP(J240,Location[],2,FALSE)</f>
        <v>Dallas</v>
      </c>
      <c r="E240" t="str">
        <f>VLOOKUP(J240,Location[],3,FALSE)</f>
        <v> Texas</v>
      </c>
      <c r="F240" t="str">
        <f>VLOOKUP(K240,Dept[],2,FALSE)</f>
        <v>Accounting</v>
      </c>
      <c r="G240" s="11">
        <f t="shared" si="3"/>
        <v>43800</v>
      </c>
      <c r="H240" t="str">
        <f>VLOOKUP(N240,Status[],2,FALSE)</f>
        <v>Full-Time</v>
      </c>
      <c r="J240" s="7">
        <v>1009</v>
      </c>
      <c r="K240">
        <v>11</v>
      </c>
      <c r="L240">
        <v>2019</v>
      </c>
      <c r="M240">
        <v>12</v>
      </c>
      <c r="N240">
        <v>1</v>
      </c>
    </row>
    <row r="241" spans="1:14" x14ac:dyDescent="0.25">
      <c r="A241" t="s">
        <v>2487</v>
      </c>
      <c r="B241" t="s">
        <v>1118</v>
      </c>
      <c r="C241" t="s">
        <v>38</v>
      </c>
      <c r="D241" t="str">
        <f>VLOOKUP(J241,Location[],2,FALSE)</f>
        <v>Jacksonville</v>
      </c>
      <c r="E241" t="str">
        <f>VLOOKUP(J241,Location[],3,FALSE)</f>
        <v> Florida</v>
      </c>
      <c r="F241" t="str">
        <f>VLOOKUP(K241,Dept[],2,FALSE)</f>
        <v>Customer Support</v>
      </c>
      <c r="G241" s="11">
        <f t="shared" si="3"/>
        <v>44713</v>
      </c>
      <c r="H241" t="str">
        <f>VLOOKUP(N241,Status[],2,FALSE)</f>
        <v>Full-Time</v>
      </c>
      <c r="J241" s="7">
        <v>1012</v>
      </c>
      <c r="K241">
        <v>14</v>
      </c>
      <c r="L241">
        <v>2022</v>
      </c>
      <c r="M241">
        <v>6</v>
      </c>
      <c r="N241">
        <v>1</v>
      </c>
    </row>
    <row r="242" spans="1:14" x14ac:dyDescent="0.25">
      <c r="A242" t="s">
        <v>2488</v>
      </c>
      <c r="B242" t="s">
        <v>57</v>
      </c>
      <c r="C242" t="s">
        <v>38</v>
      </c>
      <c r="D242" t="str">
        <f>VLOOKUP(J242,Location[],2,FALSE)</f>
        <v>Philadelphia</v>
      </c>
      <c r="E242" t="str">
        <f>VLOOKUP(J242,Location[],3,FALSE)</f>
        <v> Pennsylvania</v>
      </c>
      <c r="F242" t="str">
        <f>VLOOKUP(K242,Dept[],2,FALSE)</f>
        <v>Accounting</v>
      </c>
      <c r="G242" s="11">
        <f t="shared" si="3"/>
        <v>40940</v>
      </c>
      <c r="H242" t="str">
        <f>VLOOKUP(N242,Status[],2,FALSE)</f>
        <v>Full-Time</v>
      </c>
      <c r="J242" s="7">
        <v>1006</v>
      </c>
      <c r="K242">
        <v>11</v>
      </c>
      <c r="L242">
        <v>2012</v>
      </c>
      <c r="M242">
        <v>2</v>
      </c>
      <c r="N242">
        <v>1</v>
      </c>
    </row>
    <row r="243" spans="1:14" x14ac:dyDescent="0.25">
      <c r="A243" t="s">
        <v>2489</v>
      </c>
      <c r="B243" t="s">
        <v>37</v>
      </c>
      <c r="C243" t="s">
        <v>38</v>
      </c>
      <c r="D243" t="str">
        <f>VLOOKUP(J243,Location[],2,FALSE)</f>
        <v>New York City</v>
      </c>
      <c r="E243" t="str">
        <f>VLOOKUP(J243,Location[],3,FALSE)</f>
        <v> New York</v>
      </c>
      <c r="F243" t="str">
        <f>VLOOKUP(K243,Dept[],2,FALSE)</f>
        <v>Accounting</v>
      </c>
      <c r="G243" s="11">
        <f t="shared" si="3"/>
        <v>44348</v>
      </c>
      <c r="H243" t="str">
        <f>VLOOKUP(N243,Status[],2,FALSE)</f>
        <v>Full-Time</v>
      </c>
      <c r="J243" s="7">
        <v>1001</v>
      </c>
      <c r="K243">
        <v>11</v>
      </c>
      <c r="L243">
        <v>2021</v>
      </c>
      <c r="M243">
        <v>6</v>
      </c>
      <c r="N243">
        <v>1</v>
      </c>
    </row>
    <row r="244" spans="1:14" x14ac:dyDescent="0.25">
      <c r="A244" t="s">
        <v>2490</v>
      </c>
      <c r="B244" t="s">
        <v>924</v>
      </c>
      <c r="C244" t="s">
        <v>38</v>
      </c>
      <c r="D244" t="str">
        <f>VLOOKUP(J244,Location[],2,FALSE)</f>
        <v>Kansas City</v>
      </c>
      <c r="E244" t="str">
        <f>VLOOKUP(J244,Location[],3,FALSE)</f>
        <v> Missouri</v>
      </c>
      <c r="F244" t="str">
        <f>VLOOKUP(K244,Dept[],2,FALSE)</f>
        <v>Customer Support</v>
      </c>
      <c r="G244" s="11">
        <f t="shared" si="3"/>
        <v>42644</v>
      </c>
      <c r="H244" t="str">
        <f>VLOOKUP(N244,Status[],2,FALSE)</f>
        <v>Full-Time</v>
      </c>
      <c r="J244" s="7">
        <v>1037</v>
      </c>
      <c r="K244">
        <v>14</v>
      </c>
      <c r="L244">
        <v>2016</v>
      </c>
      <c r="M244">
        <v>10</v>
      </c>
      <c r="N244">
        <v>1</v>
      </c>
    </row>
    <row r="245" spans="1:14" x14ac:dyDescent="0.25">
      <c r="A245" t="s">
        <v>2491</v>
      </c>
      <c r="B245" t="s">
        <v>83</v>
      </c>
      <c r="C245" t="s">
        <v>38</v>
      </c>
      <c r="D245" t="str">
        <f>VLOOKUP(J245,Location[],2,FALSE)</f>
        <v>Baltimore</v>
      </c>
      <c r="E245" t="str">
        <f>VLOOKUP(J245,Location[],3,FALSE)</f>
        <v> Maryland</v>
      </c>
      <c r="F245" t="str">
        <f>VLOOKUP(K245,Dept[],2,FALSE)</f>
        <v>Human Resources</v>
      </c>
      <c r="G245" s="11">
        <f t="shared" si="3"/>
        <v>42125</v>
      </c>
      <c r="H245" t="str">
        <f>VLOOKUP(N245,Status[],2,FALSE)</f>
        <v>Full-Time</v>
      </c>
      <c r="J245" s="7">
        <v>1030</v>
      </c>
      <c r="K245">
        <v>16</v>
      </c>
      <c r="L245">
        <v>2015</v>
      </c>
      <c r="M245">
        <v>5</v>
      </c>
      <c r="N245">
        <v>1</v>
      </c>
    </row>
    <row r="246" spans="1:14" x14ac:dyDescent="0.25">
      <c r="A246" t="s">
        <v>2492</v>
      </c>
      <c r="B246" t="s">
        <v>5</v>
      </c>
      <c r="C246" t="s">
        <v>38</v>
      </c>
      <c r="D246" t="str">
        <f>VLOOKUP(J246,Location[],2,FALSE)</f>
        <v>Norfolk</v>
      </c>
      <c r="E246" t="str">
        <f>VLOOKUP(J246,Location[],3,FALSE)</f>
        <v> Virginia</v>
      </c>
      <c r="F246" t="str">
        <f>VLOOKUP(K246,Dept[],2,FALSE)</f>
        <v>Sales</v>
      </c>
      <c r="G246" s="11">
        <f t="shared" si="3"/>
        <v>44501</v>
      </c>
      <c r="H246" t="str">
        <f>VLOOKUP(N246,Status[],2,FALSE)</f>
        <v>Full-Time</v>
      </c>
      <c r="J246" s="7">
        <v>1088</v>
      </c>
      <c r="K246">
        <v>22</v>
      </c>
      <c r="L246">
        <v>2021</v>
      </c>
      <c r="M246">
        <v>11</v>
      </c>
      <c r="N246">
        <v>1</v>
      </c>
    </row>
    <row r="247" spans="1:14" x14ac:dyDescent="0.25">
      <c r="A247" t="s">
        <v>2493</v>
      </c>
      <c r="B247" t="s">
        <v>133</v>
      </c>
      <c r="C247" t="s">
        <v>1163</v>
      </c>
      <c r="D247" t="str">
        <f>VLOOKUP(J247,Location[],2,FALSE)</f>
        <v>San Jose</v>
      </c>
      <c r="E247" t="str">
        <f>VLOOKUP(J247,Location[],3,FALSE)</f>
        <v> California</v>
      </c>
      <c r="F247" t="str">
        <f>VLOOKUP(K247,Dept[],2,FALSE)</f>
        <v>Media</v>
      </c>
      <c r="G247" s="11">
        <f t="shared" si="3"/>
        <v>41821</v>
      </c>
      <c r="H247" t="str">
        <f>VLOOKUP(N247,Status[],2,FALSE)</f>
        <v>Full-Time</v>
      </c>
      <c r="J247" s="7">
        <v>1010</v>
      </c>
      <c r="K247">
        <v>20</v>
      </c>
      <c r="L247">
        <v>2014</v>
      </c>
      <c r="M247">
        <v>7</v>
      </c>
      <c r="N247">
        <v>1</v>
      </c>
    </row>
    <row r="248" spans="1:14" x14ac:dyDescent="0.25">
      <c r="A248" t="s">
        <v>2494</v>
      </c>
      <c r="B248" t="s">
        <v>326</v>
      </c>
      <c r="C248" t="s">
        <v>921</v>
      </c>
      <c r="D248" t="str">
        <f>VLOOKUP(J248,Location[],2,FALSE)</f>
        <v>Los Angeles</v>
      </c>
      <c r="E248" t="str">
        <f>VLOOKUP(J248,Location[],3,FALSE)</f>
        <v> California</v>
      </c>
      <c r="F248" t="str">
        <f>VLOOKUP(K248,Dept[],2,FALSE)</f>
        <v>Marketing</v>
      </c>
      <c r="G248" s="11">
        <f t="shared" si="3"/>
        <v>44652</v>
      </c>
      <c r="H248" t="str">
        <f>VLOOKUP(N248,Status[],2,FALSE)</f>
        <v>Full-Time</v>
      </c>
      <c r="J248" s="7">
        <v>1002</v>
      </c>
      <c r="K248">
        <v>19</v>
      </c>
      <c r="L248">
        <v>2022</v>
      </c>
      <c r="M248">
        <v>4</v>
      </c>
      <c r="N248">
        <v>1</v>
      </c>
    </row>
    <row r="249" spans="1:14" x14ac:dyDescent="0.25">
      <c r="A249" t="s">
        <v>2495</v>
      </c>
      <c r="B249" t="s">
        <v>127</v>
      </c>
      <c r="C249" t="s">
        <v>687</v>
      </c>
      <c r="D249" t="str">
        <f>VLOOKUP(J249,Location[],2,FALSE)</f>
        <v>Los Angeles</v>
      </c>
      <c r="E249" t="str">
        <f>VLOOKUP(J249,Location[],3,FALSE)</f>
        <v> California</v>
      </c>
      <c r="F249" t="str">
        <f>VLOOKUP(K249,Dept[],2,FALSE)</f>
        <v>Administration</v>
      </c>
      <c r="G249" s="11">
        <f t="shared" si="3"/>
        <v>43525</v>
      </c>
      <c r="H249" t="str">
        <f>VLOOKUP(N249,Status[],2,FALSE)</f>
        <v>Full-Time</v>
      </c>
      <c r="J249" s="7">
        <v>1002</v>
      </c>
      <c r="K249">
        <v>12</v>
      </c>
      <c r="L249">
        <v>2019</v>
      </c>
      <c r="M249">
        <v>3</v>
      </c>
      <c r="N249">
        <v>1</v>
      </c>
    </row>
    <row r="250" spans="1:14" x14ac:dyDescent="0.25">
      <c r="A250" t="s">
        <v>2496</v>
      </c>
      <c r="B250" t="s">
        <v>89</v>
      </c>
      <c r="C250" t="s">
        <v>1265</v>
      </c>
      <c r="D250" t="str">
        <f>VLOOKUP(J250,Location[],2,FALSE)</f>
        <v>Buffalo</v>
      </c>
      <c r="E250" t="str">
        <f>VLOOKUP(J250,Location[],3,FALSE)</f>
        <v> New York</v>
      </c>
      <c r="F250" t="str">
        <f>VLOOKUP(K250,Dept[],2,FALSE)</f>
        <v>Customer Support</v>
      </c>
      <c r="G250" s="11">
        <f t="shared" si="3"/>
        <v>43739</v>
      </c>
      <c r="H250" t="str">
        <f>VLOOKUP(N250,Status[],2,FALSE)</f>
        <v>Part-Time</v>
      </c>
      <c r="J250" s="7">
        <v>1081</v>
      </c>
      <c r="K250">
        <v>14</v>
      </c>
      <c r="L250">
        <v>2019</v>
      </c>
      <c r="M250">
        <v>10</v>
      </c>
      <c r="N250">
        <v>0</v>
      </c>
    </row>
    <row r="251" spans="1:14" x14ac:dyDescent="0.25">
      <c r="A251" t="s">
        <v>2497</v>
      </c>
      <c r="B251" t="s">
        <v>1742</v>
      </c>
      <c r="C251" t="s">
        <v>1743</v>
      </c>
      <c r="D251" t="str">
        <f>VLOOKUP(J251,Location[],2,FALSE)</f>
        <v>Plano</v>
      </c>
      <c r="E251" t="str">
        <f>VLOOKUP(J251,Location[],3,FALSE)</f>
        <v> Texas</v>
      </c>
      <c r="F251" t="str">
        <f>VLOOKUP(K251,Dept[],2,FALSE)</f>
        <v>Sales</v>
      </c>
      <c r="G251" s="11">
        <f t="shared" si="3"/>
        <v>45170</v>
      </c>
      <c r="H251" t="str">
        <f>VLOOKUP(N251,Status[],2,FALSE)</f>
        <v>Full-Time</v>
      </c>
      <c r="J251" s="7">
        <v>1069</v>
      </c>
      <c r="K251">
        <v>22</v>
      </c>
      <c r="L251">
        <v>2023</v>
      </c>
      <c r="M251">
        <v>9</v>
      </c>
      <c r="N251">
        <v>1</v>
      </c>
    </row>
    <row r="252" spans="1:14" x14ac:dyDescent="0.25">
      <c r="A252" t="s">
        <v>2498</v>
      </c>
      <c r="B252" t="s">
        <v>292</v>
      </c>
      <c r="C252" t="s">
        <v>318</v>
      </c>
      <c r="D252" t="str">
        <f>VLOOKUP(J252,Location[],2,FALSE)</f>
        <v>Arlington</v>
      </c>
      <c r="E252" t="str">
        <f>VLOOKUP(J252,Location[],3,FALSE)</f>
        <v> Texas</v>
      </c>
      <c r="F252" t="str">
        <f>VLOOKUP(K252,Dept[],2,FALSE)</f>
        <v>Customer Support</v>
      </c>
      <c r="G252" s="11">
        <f t="shared" si="3"/>
        <v>44986</v>
      </c>
      <c r="H252" t="str">
        <f>VLOOKUP(N252,Status[],2,FALSE)</f>
        <v>Part-Time</v>
      </c>
      <c r="J252" s="7">
        <v>1048</v>
      </c>
      <c r="K252">
        <v>14</v>
      </c>
      <c r="L252">
        <v>2023</v>
      </c>
      <c r="M252">
        <v>3</v>
      </c>
      <c r="N252">
        <v>0</v>
      </c>
    </row>
    <row r="253" spans="1:14" x14ac:dyDescent="0.25">
      <c r="A253" t="s">
        <v>2499</v>
      </c>
      <c r="B253" t="s">
        <v>459</v>
      </c>
      <c r="C253" t="s">
        <v>318</v>
      </c>
      <c r="D253" t="str">
        <f>VLOOKUP(J253,Location[],2,FALSE)</f>
        <v>Oakland</v>
      </c>
      <c r="E253" t="str">
        <f>VLOOKUP(J253,Location[],3,FALSE)</f>
        <v> California</v>
      </c>
      <c r="F253" t="str">
        <f>VLOOKUP(K253,Dept[],2,FALSE)</f>
        <v>Accounting</v>
      </c>
      <c r="G253" s="11">
        <f t="shared" si="3"/>
        <v>44805</v>
      </c>
      <c r="H253" t="str">
        <f>VLOOKUP(N253,Status[],2,FALSE)</f>
        <v>Full-Time</v>
      </c>
      <c r="J253" s="7">
        <v>1045</v>
      </c>
      <c r="K253">
        <v>11</v>
      </c>
      <c r="L253">
        <v>2022</v>
      </c>
      <c r="M253">
        <v>9</v>
      </c>
      <c r="N253">
        <v>1</v>
      </c>
    </row>
    <row r="254" spans="1:14" x14ac:dyDescent="0.25">
      <c r="A254" t="s">
        <v>2500</v>
      </c>
      <c r="B254" t="s">
        <v>308</v>
      </c>
      <c r="C254" t="s">
        <v>318</v>
      </c>
      <c r="D254" t="str">
        <f>VLOOKUP(J254,Location[],2,FALSE)</f>
        <v>Anchorage</v>
      </c>
      <c r="E254" t="str">
        <f>VLOOKUP(J254,Location[],3,FALSE)</f>
        <v> Alaska</v>
      </c>
      <c r="F254" t="str">
        <f>VLOOKUP(K254,Dept[],2,FALSE)</f>
        <v>Customer Support</v>
      </c>
      <c r="G254" s="11">
        <f t="shared" si="3"/>
        <v>42095</v>
      </c>
      <c r="H254" t="str">
        <f>VLOOKUP(N254,Status[],2,FALSE)</f>
        <v>Full-Time</v>
      </c>
      <c r="J254" s="7">
        <v>1067</v>
      </c>
      <c r="K254">
        <v>14</v>
      </c>
      <c r="L254">
        <v>2015</v>
      </c>
      <c r="M254">
        <v>4</v>
      </c>
      <c r="N254">
        <v>1</v>
      </c>
    </row>
    <row r="255" spans="1:14" x14ac:dyDescent="0.25">
      <c r="A255" t="s">
        <v>2501</v>
      </c>
      <c r="B255" t="s">
        <v>77</v>
      </c>
      <c r="C255" t="s">
        <v>318</v>
      </c>
      <c r="D255" t="str">
        <f>VLOOKUP(J255,Location[],2,FALSE)</f>
        <v>Albuquerque</v>
      </c>
      <c r="E255" t="str">
        <f>VLOOKUP(J255,Location[],3,FALSE)</f>
        <v> New Mexico</v>
      </c>
      <c r="F255" t="str">
        <f>VLOOKUP(K255,Dept[],2,FALSE)</f>
        <v>Legal</v>
      </c>
      <c r="G255" s="11">
        <f t="shared" si="3"/>
        <v>41365</v>
      </c>
      <c r="H255" t="str">
        <f>VLOOKUP(N255,Status[],2,FALSE)</f>
        <v>Part-Time</v>
      </c>
      <c r="J255" s="7">
        <v>1032</v>
      </c>
      <c r="K255">
        <v>18</v>
      </c>
      <c r="L255">
        <v>2013</v>
      </c>
      <c r="M255">
        <v>4</v>
      </c>
      <c r="N255">
        <v>0</v>
      </c>
    </row>
    <row r="256" spans="1:14" x14ac:dyDescent="0.25">
      <c r="A256" t="s">
        <v>2502</v>
      </c>
      <c r="B256" t="s">
        <v>307</v>
      </c>
      <c r="C256" t="s">
        <v>1638</v>
      </c>
      <c r="D256" t="str">
        <f>VLOOKUP(J256,Location[],2,FALSE)</f>
        <v>San Francisco</v>
      </c>
      <c r="E256" t="str">
        <f>VLOOKUP(J256,Location[],3,FALSE)</f>
        <v> California</v>
      </c>
      <c r="F256" t="str">
        <f>VLOOKUP(K256,Dept[],2,FALSE)</f>
        <v>Finance</v>
      </c>
      <c r="G256" s="11">
        <f t="shared" si="3"/>
        <v>44256</v>
      </c>
      <c r="H256" t="str">
        <f>VLOOKUP(N256,Status[],2,FALSE)</f>
        <v>Full-Time</v>
      </c>
      <c r="J256" s="7">
        <v>1013</v>
      </c>
      <c r="K256">
        <v>15</v>
      </c>
      <c r="L256">
        <v>2021</v>
      </c>
      <c r="M256">
        <v>3</v>
      </c>
      <c r="N256">
        <v>1</v>
      </c>
    </row>
    <row r="257" spans="1:14" x14ac:dyDescent="0.25">
      <c r="A257" t="s">
        <v>2503</v>
      </c>
      <c r="B257" t="s">
        <v>256</v>
      </c>
      <c r="C257" t="s">
        <v>1597</v>
      </c>
      <c r="D257" t="str">
        <f>VLOOKUP(J257,Location[],2,FALSE)</f>
        <v>Mesa</v>
      </c>
      <c r="E257" t="str">
        <f>VLOOKUP(J257,Location[],3,FALSE)</f>
        <v> Arizona</v>
      </c>
      <c r="F257" t="str">
        <f>VLOOKUP(K257,Dept[],2,FALSE)</f>
        <v>IT</v>
      </c>
      <c r="G257" s="11">
        <f t="shared" si="3"/>
        <v>41426</v>
      </c>
      <c r="H257" t="str">
        <f>VLOOKUP(N257,Status[],2,FALSE)</f>
        <v>Full-Time</v>
      </c>
      <c r="J257" s="7">
        <v>1036</v>
      </c>
      <c r="K257">
        <v>17</v>
      </c>
      <c r="L257">
        <v>2013</v>
      </c>
      <c r="M257">
        <v>6</v>
      </c>
      <c r="N257">
        <v>1</v>
      </c>
    </row>
    <row r="258" spans="1:14" x14ac:dyDescent="0.25">
      <c r="A258" t="s">
        <v>2504</v>
      </c>
      <c r="B258" t="s">
        <v>165</v>
      </c>
      <c r="C258" t="s">
        <v>495</v>
      </c>
      <c r="D258" t="str">
        <f>VLOOKUP(J258,Location[],2,FALSE)</f>
        <v>Omaha</v>
      </c>
      <c r="E258" t="str">
        <f>VLOOKUP(J258,Location[],3,FALSE)</f>
        <v> Nebraska</v>
      </c>
      <c r="F258" t="str">
        <f>VLOOKUP(K258,Dept[],2,FALSE)</f>
        <v>Marketing</v>
      </c>
      <c r="G258" s="11">
        <f t="shared" si="3"/>
        <v>43586</v>
      </c>
      <c r="H258" t="str">
        <f>VLOOKUP(N258,Status[],2,FALSE)</f>
        <v>Full-Time</v>
      </c>
      <c r="J258" s="7">
        <v>1040</v>
      </c>
      <c r="K258">
        <v>19</v>
      </c>
      <c r="L258">
        <v>2019</v>
      </c>
      <c r="M258">
        <v>5</v>
      </c>
      <c r="N258">
        <v>1</v>
      </c>
    </row>
    <row r="259" spans="1:14" x14ac:dyDescent="0.25">
      <c r="A259" t="s">
        <v>2505</v>
      </c>
      <c r="B259" t="s">
        <v>352</v>
      </c>
      <c r="C259" t="s">
        <v>1954</v>
      </c>
      <c r="D259" t="str">
        <f>VLOOKUP(J259,Location[],2,FALSE)</f>
        <v>Fort Worth</v>
      </c>
      <c r="E259" t="str">
        <f>VLOOKUP(J259,Location[],3,FALSE)</f>
        <v> Texas</v>
      </c>
      <c r="F259" t="str">
        <f>VLOOKUP(K259,Dept[],2,FALSE)</f>
        <v>Assessment</v>
      </c>
      <c r="G259" s="11">
        <f t="shared" si="3"/>
        <v>41487</v>
      </c>
      <c r="H259" t="str">
        <f>VLOOKUP(N259,Status[],2,FALSE)</f>
        <v>Full-Time</v>
      </c>
      <c r="J259" s="7">
        <v>1015</v>
      </c>
      <c r="K259">
        <v>13</v>
      </c>
      <c r="L259">
        <v>2013</v>
      </c>
      <c r="M259">
        <v>8</v>
      </c>
      <c r="N259">
        <v>1</v>
      </c>
    </row>
    <row r="260" spans="1:14" x14ac:dyDescent="0.25">
      <c r="A260" t="s">
        <v>2506</v>
      </c>
      <c r="B260" t="s">
        <v>237</v>
      </c>
      <c r="C260" t="s">
        <v>499</v>
      </c>
      <c r="D260" t="str">
        <f>VLOOKUP(J260,Location[],2,FALSE)</f>
        <v>Charlotte</v>
      </c>
      <c r="E260" t="str">
        <f>VLOOKUP(J260,Location[],3,FALSE)</f>
        <v> North Carolina</v>
      </c>
      <c r="F260" t="str">
        <f>VLOOKUP(K260,Dept[],2,FALSE)</f>
        <v>Sales</v>
      </c>
      <c r="G260" s="11">
        <f t="shared" si="3"/>
        <v>41091</v>
      </c>
      <c r="H260" t="str">
        <f>VLOOKUP(N260,Status[],2,FALSE)</f>
        <v>Full-Time</v>
      </c>
      <c r="J260" s="7">
        <v>1017</v>
      </c>
      <c r="K260">
        <v>22</v>
      </c>
      <c r="L260">
        <v>2012</v>
      </c>
      <c r="M260">
        <v>7</v>
      </c>
      <c r="N260">
        <v>1</v>
      </c>
    </row>
    <row r="261" spans="1:14" x14ac:dyDescent="0.25">
      <c r="A261" t="s">
        <v>2507</v>
      </c>
      <c r="B261" t="s">
        <v>1166</v>
      </c>
      <c r="C261" t="s">
        <v>499</v>
      </c>
      <c r="D261" t="str">
        <f>VLOOKUP(J261,Location[],2,FALSE)</f>
        <v>Aurora</v>
      </c>
      <c r="E261" t="str">
        <f>VLOOKUP(J261,Location[],3,FALSE)</f>
        <v> Colorado</v>
      </c>
      <c r="F261" t="str">
        <f>VLOOKUP(K261,Dept[],2,FALSE)</f>
        <v>Customer Support</v>
      </c>
      <c r="G261" s="11">
        <f t="shared" ref="G261:G324" si="4">DATE(L261,M261,1)</f>
        <v>44136</v>
      </c>
      <c r="H261" t="str">
        <f>VLOOKUP(N261,Status[],2,FALSE)</f>
        <v>Part-Time</v>
      </c>
      <c r="J261" s="7">
        <v>1054</v>
      </c>
      <c r="K261">
        <v>14</v>
      </c>
      <c r="L261">
        <v>2020</v>
      </c>
      <c r="M261">
        <v>11</v>
      </c>
      <c r="N261">
        <v>0</v>
      </c>
    </row>
    <row r="262" spans="1:14" x14ac:dyDescent="0.25">
      <c r="A262" t="s">
        <v>2508</v>
      </c>
      <c r="B262" t="s">
        <v>135</v>
      </c>
      <c r="C262" t="s">
        <v>499</v>
      </c>
      <c r="D262" t="str">
        <f>VLOOKUP(J262,Location[],2,FALSE)</f>
        <v>New York City</v>
      </c>
      <c r="E262" t="str">
        <f>VLOOKUP(J262,Location[],3,FALSE)</f>
        <v> New York</v>
      </c>
      <c r="F262" t="str">
        <f>VLOOKUP(K262,Dept[],2,FALSE)</f>
        <v>Accounting</v>
      </c>
      <c r="G262" s="11">
        <f t="shared" si="4"/>
        <v>44256</v>
      </c>
      <c r="H262" t="str">
        <f>VLOOKUP(N262,Status[],2,FALSE)</f>
        <v>Full-Time</v>
      </c>
      <c r="J262" s="7">
        <v>1001</v>
      </c>
      <c r="K262">
        <v>11</v>
      </c>
      <c r="L262">
        <v>2021</v>
      </c>
      <c r="M262">
        <v>3</v>
      </c>
      <c r="N262">
        <v>1</v>
      </c>
    </row>
    <row r="263" spans="1:14" x14ac:dyDescent="0.25">
      <c r="A263" t="s">
        <v>2509</v>
      </c>
      <c r="B263" t="s">
        <v>5</v>
      </c>
      <c r="C263" t="s">
        <v>901</v>
      </c>
      <c r="D263" t="str">
        <f>VLOOKUP(J263,Location[],2,FALSE)</f>
        <v>Kansas City</v>
      </c>
      <c r="E263" t="str">
        <f>VLOOKUP(J263,Location[],3,FALSE)</f>
        <v> Missouri</v>
      </c>
      <c r="F263" t="str">
        <f>VLOOKUP(K263,Dept[],2,FALSE)</f>
        <v>Accounting</v>
      </c>
      <c r="G263" s="11">
        <f t="shared" si="4"/>
        <v>44682</v>
      </c>
      <c r="H263" t="str">
        <f>VLOOKUP(N263,Status[],2,FALSE)</f>
        <v>Full-Time</v>
      </c>
      <c r="J263" s="7">
        <v>1037</v>
      </c>
      <c r="K263">
        <v>11</v>
      </c>
      <c r="L263">
        <v>2022</v>
      </c>
      <c r="M263">
        <v>5</v>
      </c>
      <c r="N263">
        <v>1</v>
      </c>
    </row>
    <row r="264" spans="1:14" x14ac:dyDescent="0.25">
      <c r="A264" t="s">
        <v>2510</v>
      </c>
      <c r="B264" t="s">
        <v>1607</v>
      </c>
      <c r="C264" t="s">
        <v>1563</v>
      </c>
      <c r="D264" t="str">
        <f>VLOOKUP(J264,Location[],2,FALSE)</f>
        <v>Norfolk</v>
      </c>
      <c r="E264" t="str">
        <f>VLOOKUP(J264,Location[],3,FALSE)</f>
        <v> Virginia</v>
      </c>
      <c r="F264" t="str">
        <f>VLOOKUP(K264,Dept[],2,FALSE)</f>
        <v>IT</v>
      </c>
      <c r="G264" s="11">
        <f t="shared" si="4"/>
        <v>40909</v>
      </c>
      <c r="H264" t="str">
        <f>VLOOKUP(N264,Status[],2,FALSE)</f>
        <v>Full-Time</v>
      </c>
      <c r="J264" s="7">
        <v>1088</v>
      </c>
      <c r="K264">
        <v>17</v>
      </c>
      <c r="L264">
        <v>2012</v>
      </c>
      <c r="M264">
        <v>1</v>
      </c>
      <c r="N264">
        <v>1</v>
      </c>
    </row>
    <row r="265" spans="1:14" x14ac:dyDescent="0.25">
      <c r="A265" t="s">
        <v>2511</v>
      </c>
      <c r="B265" t="s">
        <v>1562</v>
      </c>
      <c r="C265" t="s">
        <v>1563</v>
      </c>
      <c r="D265" t="str">
        <f>VLOOKUP(J265,Location[],2,FALSE)</f>
        <v>Austin</v>
      </c>
      <c r="E265" t="str">
        <f>VLOOKUP(J265,Location[],3,FALSE)</f>
        <v> Texas</v>
      </c>
      <c r="F265" t="str">
        <f>VLOOKUP(K265,Dept[],2,FALSE)</f>
        <v>Human Resources</v>
      </c>
      <c r="G265" s="11">
        <f t="shared" si="4"/>
        <v>45261</v>
      </c>
      <c r="H265" t="str">
        <f>VLOOKUP(N265,Status[],2,FALSE)</f>
        <v>Full-Time</v>
      </c>
      <c r="J265" s="7">
        <v>1011</v>
      </c>
      <c r="K265">
        <v>16</v>
      </c>
      <c r="L265">
        <v>2023</v>
      </c>
      <c r="M265">
        <v>12</v>
      </c>
      <c r="N265">
        <v>1</v>
      </c>
    </row>
    <row r="266" spans="1:14" x14ac:dyDescent="0.25">
      <c r="A266" t="s">
        <v>2512</v>
      </c>
      <c r="B266" t="s">
        <v>59</v>
      </c>
      <c r="C266" t="s">
        <v>1617</v>
      </c>
      <c r="D266" t="str">
        <f>VLOOKUP(J266,Location[],2,FALSE)</f>
        <v>Long Beach</v>
      </c>
      <c r="E266" t="str">
        <f>VLOOKUP(J266,Location[],3,FALSE)</f>
        <v> California</v>
      </c>
      <c r="F266" t="str">
        <f>VLOOKUP(K266,Dept[],2,FALSE)</f>
        <v>Administration</v>
      </c>
      <c r="G266" s="11">
        <f t="shared" si="4"/>
        <v>42248</v>
      </c>
      <c r="H266" t="str">
        <f>VLOOKUP(N266,Status[],2,FALSE)</f>
        <v>Full-Time</v>
      </c>
      <c r="J266" s="7">
        <v>1039</v>
      </c>
      <c r="K266">
        <v>12</v>
      </c>
      <c r="L266">
        <v>2015</v>
      </c>
      <c r="M266">
        <v>9</v>
      </c>
      <c r="N266">
        <v>1</v>
      </c>
    </row>
    <row r="267" spans="1:14" x14ac:dyDescent="0.25">
      <c r="A267" t="s">
        <v>2513</v>
      </c>
      <c r="B267" t="s">
        <v>1032</v>
      </c>
      <c r="C267" t="s">
        <v>1617</v>
      </c>
      <c r="D267" t="str">
        <f>VLOOKUP(J267,Location[],2,FALSE)</f>
        <v>New York City</v>
      </c>
      <c r="E267" t="str">
        <f>VLOOKUP(J267,Location[],3,FALSE)</f>
        <v> New York</v>
      </c>
      <c r="F267" t="str">
        <f>VLOOKUP(K267,Dept[],2,FALSE)</f>
        <v>Finance</v>
      </c>
      <c r="G267" s="11">
        <f t="shared" si="4"/>
        <v>43678</v>
      </c>
      <c r="H267" t="str">
        <f>VLOOKUP(N267,Status[],2,FALSE)</f>
        <v>Full-Time</v>
      </c>
      <c r="J267" s="7">
        <v>1001</v>
      </c>
      <c r="K267">
        <v>15</v>
      </c>
      <c r="L267">
        <v>2019</v>
      </c>
      <c r="M267">
        <v>8</v>
      </c>
      <c r="N267">
        <v>1</v>
      </c>
    </row>
    <row r="268" spans="1:14" x14ac:dyDescent="0.25">
      <c r="A268" t="s">
        <v>2514</v>
      </c>
      <c r="B268" t="s">
        <v>580</v>
      </c>
      <c r="C268" t="s">
        <v>581</v>
      </c>
      <c r="D268" t="str">
        <f>VLOOKUP(J268,Location[],2,FALSE)</f>
        <v>San Diego</v>
      </c>
      <c r="E268" t="str">
        <f>VLOOKUP(J268,Location[],3,FALSE)</f>
        <v> California</v>
      </c>
      <c r="F268" t="str">
        <f>VLOOKUP(K268,Dept[],2,FALSE)</f>
        <v>Customer Support</v>
      </c>
      <c r="G268" s="11">
        <f t="shared" si="4"/>
        <v>40756</v>
      </c>
      <c r="H268" t="str">
        <f>VLOOKUP(N268,Status[],2,FALSE)</f>
        <v>Full-Time</v>
      </c>
      <c r="J268" s="7">
        <v>1008</v>
      </c>
      <c r="K268">
        <v>14</v>
      </c>
      <c r="L268">
        <v>2011</v>
      </c>
      <c r="M268">
        <v>8</v>
      </c>
      <c r="N268">
        <v>1</v>
      </c>
    </row>
    <row r="269" spans="1:14" x14ac:dyDescent="0.25">
      <c r="A269" t="s">
        <v>2515</v>
      </c>
      <c r="B269" t="s">
        <v>1117</v>
      </c>
      <c r="C269" t="s">
        <v>1790</v>
      </c>
      <c r="D269" t="str">
        <f>VLOOKUP(J269,Location[],2,FALSE)</f>
        <v>San Diego</v>
      </c>
      <c r="E269" t="str">
        <f>VLOOKUP(J269,Location[],3,FALSE)</f>
        <v> California</v>
      </c>
      <c r="F269" t="str">
        <f>VLOOKUP(K269,Dept[],2,FALSE)</f>
        <v>Human Resources</v>
      </c>
      <c r="G269" s="11">
        <f t="shared" si="4"/>
        <v>44682</v>
      </c>
      <c r="H269" t="str">
        <f>VLOOKUP(N269,Status[],2,FALSE)</f>
        <v>Full-Time</v>
      </c>
      <c r="J269" s="7">
        <v>1008</v>
      </c>
      <c r="K269">
        <v>16</v>
      </c>
      <c r="L269">
        <v>2022</v>
      </c>
      <c r="M269">
        <v>5</v>
      </c>
      <c r="N269">
        <v>1</v>
      </c>
    </row>
    <row r="270" spans="1:14" x14ac:dyDescent="0.25">
      <c r="A270" t="s">
        <v>2516</v>
      </c>
      <c r="B270" t="s">
        <v>1059</v>
      </c>
      <c r="C270" t="s">
        <v>1430</v>
      </c>
      <c r="D270" t="str">
        <f>VLOOKUP(J270,Location[],2,FALSE)</f>
        <v>San Francisco</v>
      </c>
      <c r="E270" t="str">
        <f>VLOOKUP(J270,Location[],3,FALSE)</f>
        <v> California</v>
      </c>
      <c r="F270" t="str">
        <f>VLOOKUP(K270,Dept[],2,FALSE)</f>
        <v>Accounting</v>
      </c>
      <c r="G270" s="11">
        <f t="shared" si="4"/>
        <v>41214</v>
      </c>
      <c r="H270" t="str">
        <f>VLOOKUP(N270,Status[],2,FALSE)</f>
        <v>Full-Time</v>
      </c>
      <c r="J270" s="7">
        <v>1013</v>
      </c>
      <c r="K270">
        <v>11</v>
      </c>
      <c r="L270">
        <v>2012</v>
      </c>
      <c r="M270">
        <v>11</v>
      </c>
      <c r="N270">
        <v>1</v>
      </c>
    </row>
    <row r="271" spans="1:14" x14ac:dyDescent="0.25">
      <c r="A271" t="s">
        <v>2517</v>
      </c>
      <c r="B271" t="s">
        <v>1666</v>
      </c>
      <c r="C271" t="s">
        <v>660</v>
      </c>
      <c r="D271" t="str">
        <f>VLOOKUP(J271,Location[],2,FALSE)</f>
        <v>New York City</v>
      </c>
      <c r="E271" t="str">
        <f>VLOOKUP(J271,Location[],3,FALSE)</f>
        <v> New York</v>
      </c>
      <c r="F271" t="str">
        <f>VLOOKUP(K271,Dept[],2,FALSE)</f>
        <v>Legal</v>
      </c>
      <c r="G271" s="11">
        <f t="shared" si="4"/>
        <v>42614</v>
      </c>
      <c r="H271" t="str">
        <f>VLOOKUP(N271,Status[],2,FALSE)</f>
        <v>Full-Time</v>
      </c>
      <c r="J271" s="7">
        <v>1001</v>
      </c>
      <c r="K271">
        <v>18</v>
      </c>
      <c r="L271">
        <v>2016</v>
      </c>
      <c r="M271">
        <v>9</v>
      </c>
      <c r="N271">
        <v>1</v>
      </c>
    </row>
    <row r="272" spans="1:14" x14ac:dyDescent="0.25">
      <c r="A272" t="s">
        <v>2518</v>
      </c>
      <c r="B272" t="s">
        <v>659</v>
      </c>
      <c r="C272" t="s">
        <v>660</v>
      </c>
      <c r="D272" t="str">
        <f>VLOOKUP(J272,Location[],2,FALSE)</f>
        <v>El Paso</v>
      </c>
      <c r="E272" t="str">
        <f>VLOOKUP(J272,Location[],3,FALSE)</f>
        <v> Texas</v>
      </c>
      <c r="F272" t="str">
        <f>VLOOKUP(K272,Dept[],2,FALSE)</f>
        <v>Finance</v>
      </c>
      <c r="G272" s="11">
        <f t="shared" si="4"/>
        <v>43891</v>
      </c>
      <c r="H272" t="str">
        <f>VLOOKUP(N272,Status[],2,FALSE)</f>
        <v>Full-Time</v>
      </c>
      <c r="J272" s="7">
        <v>1022</v>
      </c>
      <c r="K272">
        <v>15</v>
      </c>
      <c r="L272">
        <v>2020</v>
      </c>
      <c r="M272">
        <v>3</v>
      </c>
      <c r="N272">
        <v>1</v>
      </c>
    </row>
    <row r="273" spans="1:14" x14ac:dyDescent="0.25">
      <c r="A273" t="s">
        <v>2519</v>
      </c>
      <c r="B273" t="s">
        <v>1894</v>
      </c>
      <c r="C273" t="s">
        <v>1895</v>
      </c>
      <c r="D273" t="str">
        <f>VLOOKUP(J273,Location[],2,FALSE)</f>
        <v>San Francisco</v>
      </c>
      <c r="E273" t="str">
        <f>VLOOKUP(J273,Location[],3,FALSE)</f>
        <v> California</v>
      </c>
      <c r="F273" t="str">
        <f>VLOOKUP(K273,Dept[],2,FALSE)</f>
        <v>IT</v>
      </c>
      <c r="G273" s="11">
        <f t="shared" si="4"/>
        <v>42826</v>
      </c>
      <c r="H273" t="str">
        <f>VLOOKUP(N273,Status[],2,FALSE)</f>
        <v>Full-Time</v>
      </c>
      <c r="J273" s="7">
        <v>1013</v>
      </c>
      <c r="K273">
        <v>17</v>
      </c>
      <c r="L273">
        <v>2017</v>
      </c>
      <c r="M273">
        <v>4</v>
      </c>
      <c r="N273">
        <v>1</v>
      </c>
    </row>
    <row r="274" spans="1:14" x14ac:dyDescent="0.25">
      <c r="A274" t="s">
        <v>2520</v>
      </c>
      <c r="B274" t="s">
        <v>450</v>
      </c>
      <c r="C274" t="s">
        <v>1394</v>
      </c>
      <c r="D274" t="str">
        <f>VLOOKUP(J274,Location[],2,FALSE)</f>
        <v>New York City</v>
      </c>
      <c r="E274" t="str">
        <f>VLOOKUP(J274,Location[],3,FALSE)</f>
        <v> New York</v>
      </c>
      <c r="F274" t="str">
        <f>VLOOKUP(K274,Dept[],2,FALSE)</f>
        <v>Marketing</v>
      </c>
      <c r="G274" s="11">
        <f t="shared" si="4"/>
        <v>42125</v>
      </c>
      <c r="H274" t="str">
        <f>VLOOKUP(N274,Status[],2,FALSE)</f>
        <v>Full-Time</v>
      </c>
      <c r="J274" s="7">
        <v>1001</v>
      </c>
      <c r="K274">
        <v>19</v>
      </c>
      <c r="L274">
        <v>2015</v>
      </c>
      <c r="M274">
        <v>5</v>
      </c>
      <c r="N274">
        <v>1</v>
      </c>
    </row>
    <row r="275" spans="1:14" x14ac:dyDescent="0.25">
      <c r="A275" t="s">
        <v>2521</v>
      </c>
      <c r="B275" t="s">
        <v>202</v>
      </c>
      <c r="C275" t="s">
        <v>1018</v>
      </c>
      <c r="D275" t="str">
        <f>VLOOKUP(J275,Location[],2,FALSE)</f>
        <v>Atlanta</v>
      </c>
      <c r="E275" t="str">
        <f>VLOOKUP(J275,Location[],3,FALSE)</f>
        <v> Georgia</v>
      </c>
      <c r="F275" t="str">
        <f>VLOOKUP(K275,Dept[],2,FALSE)</f>
        <v>Customer Support</v>
      </c>
      <c r="G275" s="11">
        <f t="shared" si="4"/>
        <v>42583</v>
      </c>
      <c r="H275" t="str">
        <f>VLOOKUP(N275,Status[],2,FALSE)</f>
        <v>Full-Time</v>
      </c>
      <c r="J275" s="7">
        <v>1038</v>
      </c>
      <c r="K275">
        <v>14</v>
      </c>
      <c r="L275">
        <v>2016</v>
      </c>
      <c r="M275">
        <v>8</v>
      </c>
      <c r="N275">
        <v>1</v>
      </c>
    </row>
    <row r="276" spans="1:14" x14ac:dyDescent="0.25">
      <c r="A276" t="s">
        <v>2522</v>
      </c>
      <c r="B276" t="s">
        <v>75</v>
      </c>
      <c r="C276" t="s">
        <v>519</v>
      </c>
      <c r="D276" t="str">
        <f>VLOOKUP(J276,Location[],2,FALSE)</f>
        <v>Newark</v>
      </c>
      <c r="E276" t="str">
        <f>VLOOKUP(J276,Location[],3,FALSE)</f>
        <v> New Jersey</v>
      </c>
      <c r="F276" t="str">
        <f>VLOOKUP(K276,Dept[],2,FALSE)</f>
        <v>Finance</v>
      </c>
      <c r="G276" s="11">
        <f t="shared" si="4"/>
        <v>40969</v>
      </c>
      <c r="H276" t="str">
        <f>VLOOKUP(N276,Status[],2,FALSE)</f>
        <v>Part-Time</v>
      </c>
      <c r="J276" s="7">
        <v>1070</v>
      </c>
      <c r="K276">
        <v>15</v>
      </c>
      <c r="L276">
        <v>2012</v>
      </c>
      <c r="M276">
        <v>3</v>
      </c>
      <c r="N276">
        <v>0</v>
      </c>
    </row>
    <row r="277" spans="1:14" x14ac:dyDescent="0.25">
      <c r="A277" t="s">
        <v>2523</v>
      </c>
      <c r="B277" t="s">
        <v>692</v>
      </c>
      <c r="C277" t="s">
        <v>693</v>
      </c>
      <c r="D277" t="str">
        <f>VLOOKUP(J277,Location[],2,FALSE)</f>
        <v>Omaha</v>
      </c>
      <c r="E277" t="str">
        <f>VLOOKUP(J277,Location[],3,FALSE)</f>
        <v> Nebraska</v>
      </c>
      <c r="F277" t="str">
        <f>VLOOKUP(K277,Dept[],2,FALSE)</f>
        <v>Legal</v>
      </c>
      <c r="G277" s="11">
        <f t="shared" si="4"/>
        <v>43344</v>
      </c>
      <c r="H277" t="str">
        <f>VLOOKUP(N277,Status[],2,FALSE)</f>
        <v>Full-Time</v>
      </c>
      <c r="J277" s="7">
        <v>1040</v>
      </c>
      <c r="K277">
        <v>18</v>
      </c>
      <c r="L277">
        <v>2018</v>
      </c>
      <c r="M277">
        <v>9</v>
      </c>
      <c r="N277">
        <v>1</v>
      </c>
    </row>
    <row r="278" spans="1:14" x14ac:dyDescent="0.25">
      <c r="A278" t="s">
        <v>2524</v>
      </c>
      <c r="B278" t="s">
        <v>1350</v>
      </c>
      <c r="C278" t="s">
        <v>1431</v>
      </c>
      <c r="D278" t="str">
        <f>VLOOKUP(J278,Location[],2,FALSE)</f>
        <v>Los Angeles</v>
      </c>
      <c r="E278" t="str">
        <f>VLOOKUP(J278,Location[],3,FALSE)</f>
        <v> California</v>
      </c>
      <c r="F278" t="str">
        <f>VLOOKUP(K278,Dept[],2,FALSE)</f>
        <v>Customer Support</v>
      </c>
      <c r="G278" s="11">
        <f t="shared" si="4"/>
        <v>41000</v>
      </c>
      <c r="H278" t="str">
        <f>VLOOKUP(N278,Status[],2,FALSE)</f>
        <v>Full-Time</v>
      </c>
      <c r="J278" s="7">
        <v>1002</v>
      </c>
      <c r="K278">
        <v>14</v>
      </c>
      <c r="L278">
        <v>2012</v>
      </c>
      <c r="M278">
        <v>4</v>
      </c>
      <c r="N278">
        <v>1</v>
      </c>
    </row>
    <row r="279" spans="1:14" x14ac:dyDescent="0.25">
      <c r="A279" t="s">
        <v>2525</v>
      </c>
      <c r="B279" t="s">
        <v>270</v>
      </c>
      <c r="C279" t="s">
        <v>1465</v>
      </c>
      <c r="D279" t="str">
        <f>VLOOKUP(J279,Location[],2,FALSE)</f>
        <v>Glendale</v>
      </c>
      <c r="E279" t="str">
        <f>VLOOKUP(J279,Location[],3,FALSE)</f>
        <v> Arizona</v>
      </c>
      <c r="F279" t="str">
        <f>VLOOKUP(K279,Dept[],2,FALSE)</f>
        <v>Customer Support</v>
      </c>
      <c r="G279" s="11">
        <f t="shared" si="4"/>
        <v>44682</v>
      </c>
      <c r="H279" t="str">
        <f>VLOOKUP(N279,Status[],2,FALSE)</f>
        <v>Full-Time</v>
      </c>
      <c r="J279" s="7">
        <v>1087</v>
      </c>
      <c r="K279">
        <v>14</v>
      </c>
      <c r="L279">
        <v>2022</v>
      </c>
      <c r="M279">
        <v>5</v>
      </c>
      <c r="N279">
        <v>1</v>
      </c>
    </row>
    <row r="280" spans="1:14" x14ac:dyDescent="0.25">
      <c r="A280" t="s">
        <v>2526</v>
      </c>
      <c r="B280" t="s">
        <v>347</v>
      </c>
      <c r="C280" t="s">
        <v>1159</v>
      </c>
      <c r="D280" t="str">
        <f>VLOOKUP(J280,Location[],2,FALSE)</f>
        <v>Houston</v>
      </c>
      <c r="E280" t="str">
        <f>VLOOKUP(J280,Location[],3,FALSE)</f>
        <v> Texas</v>
      </c>
      <c r="F280" t="str">
        <f>VLOOKUP(K280,Dept[],2,FALSE)</f>
        <v>Administration</v>
      </c>
      <c r="G280" s="11">
        <f t="shared" si="4"/>
        <v>45261</v>
      </c>
      <c r="H280" t="str">
        <f>VLOOKUP(N280,Status[],2,FALSE)</f>
        <v>Full-Time</v>
      </c>
      <c r="J280" s="7">
        <v>1004</v>
      </c>
      <c r="K280">
        <v>12</v>
      </c>
      <c r="L280">
        <v>2023</v>
      </c>
      <c r="M280">
        <v>12</v>
      </c>
      <c r="N280">
        <v>1</v>
      </c>
    </row>
    <row r="281" spans="1:14" x14ac:dyDescent="0.25">
      <c r="A281" t="s">
        <v>2527</v>
      </c>
      <c r="B281" t="s">
        <v>216</v>
      </c>
      <c r="C281" t="s">
        <v>2057</v>
      </c>
      <c r="D281" t="str">
        <f>VLOOKUP(J281,Location[],2,FALSE)</f>
        <v>Phoenix</v>
      </c>
      <c r="E281" t="str">
        <f>VLOOKUP(J281,Location[],3,FALSE)</f>
        <v> Arizona</v>
      </c>
      <c r="F281" t="str">
        <f>VLOOKUP(K281,Dept[],2,FALSE)</f>
        <v>Human Resources</v>
      </c>
      <c r="G281" s="11">
        <f t="shared" si="4"/>
        <v>41000</v>
      </c>
      <c r="H281" t="str">
        <f>VLOOKUP(N281,Status[],2,FALSE)</f>
        <v>Full-Time</v>
      </c>
      <c r="J281" s="7">
        <v>1005</v>
      </c>
      <c r="K281">
        <v>16</v>
      </c>
      <c r="L281">
        <v>2012</v>
      </c>
      <c r="M281">
        <v>4</v>
      </c>
      <c r="N281">
        <v>1</v>
      </c>
    </row>
    <row r="282" spans="1:14" x14ac:dyDescent="0.25">
      <c r="A282" t="s">
        <v>2528</v>
      </c>
      <c r="B282" t="s">
        <v>1108</v>
      </c>
      <c r="C282" t="s">
        <v>1109</v>
      </c>
      <c r="D282" t="str">
        <f>VLOOKUP(J282,Location[],2,FALSE)</f>
        <v>Atlanta</v>
      </c>
      <c r="E282" t="str">
        <f>VLOOKUP(J282,Location[],3,FALSE)</f>
        <v> Georgia</v>
      </c>
      <c r="F282" t="str">
        <f>VLOOKUP(K282,Dept[],2,FALSE)</f>
        <v>Accounting</v>
      </c>
      <c r="G282" s="11">
        <f t="shared" si="4"/>
        <v>43891</v>
      </c>
      <c r="H282" t="str">
        <f>VLOOKUP(N282,Status[],2,FALSE)</f>
        <v>Full-Time</v>
      </c>
      <c r="J282" s="7">
        <v>1038</v>
      </c>
      <c r="K282">
        <v>11</v>
      </c>
      <c r="L282">
        <v>2020</v>
      </c>
      <c r="M282">
        <v>3</v>
      </c>
      <c r="N282">
        <v>1</v>
      </c>
    </row>
    <row r="283" spans="1:14" x14ac:dyDescent="0.25">
      <c r="A283" t="s">
        <v>2529</v>
      </c>
      <c r="B283" t="s">
        <v>73</v>
      </c>
      <c r="C283" t="s">
        <v>923</v>
      </c>
      <c r="D283" t="str">
        <f>VLOOKUP(J283,Location[],2,FALSE)</f>
        <v>San Francisco</v>
      </c>
      <c r="E283" t="str">
        <f>VLOOKUP(J283,Location[],3,FALSE)</f>
        <v> California</v>
      </c>
      <c r="F283" t="str">
        <f>VLOOKUP(K283,Dept[],2,FALSE)</f>
        <v>Legal</v>
      </c>
      <c r="G283" s="11">
        <f t="shared" si="4"/>
        <v>45170</v>
      </c>
      <c r="H283" t="str">
        <f>VLOOKUP(N283,Status[],2,FALSE)</f>
        <v>Full-Time</v>
      </c>
      <c r="J283" s="7">
        <v>1013</v>
      </c>
      <c r="K283">
        <v>18</v>
      </c>
      <c r="L283">
        <v>2023</v>
      </c>
      <c r="M283">
        <v>9</v>
      </c>
      <c r="N283">
        <v>1</v>
      </c>
    </row>
    <row r="284" spans="1:14" x14ac:dyDescent="0.25">
      <c r="A284" t="s">
        <v>2530</v>
      </c>
      <c r="B284" t="s">
        <v>753</v>
      </c>
      <c r="C284" t="s">
        <v>923</v>
      </c>
      <c r="D284" t="str">
        <f>VLOOKUP(J284,Location[],2,FALSE)</f>
        <v>Los Angeles</v>
      </c>
      <c r="E284" t="str">
        <f>VLOOKUP(J284,Location[],3,FALSE)</f>
        <v> California</v>
      </c>
      <c r="F284" t="str">
        <f>VLOOKUP(K284,Dept[],2,FALSE)</f>
        <v>Assessment</v>
      </c>
      <c r="G284" s="11">
        <f t="shared" si="4"/>
        <v>44927</v>
      </c>
      <c r="H284" t="str">
        <f>VLOOKUP(N284,Status[],2,FALSE)</f>
        <v>Full-Time</v>
      </c>
      <c r="J284" s="7">
        <v>1002</v>
      </c>
      <c r="K284">
        <v>13</v>
      </c>
      <c r="L284">
        <v>2023</v>
      </c>
      <c r="M284">
        <v>1</v>
      </c>
      <c r="N284">
        <v>1</v>
      </c>
    </row>
    <row r="285" spans="1:14" x14ac:dyDescent="0.25">
      <c r="A285" t="s">
        <v>2531</v>
      </c>
      <c r="B285" t="s">
        <v>450</v>
      </c>
      <c r="C285" t="s">
        <v>935</v>
      </c>
      <c r="D285" t="str">
        <f>VLOOKUP(J285,Location[],2,FALSE)</f>
        <v>Henderson</v>
      </c>
      <c r="E285" t="str">
        <f>VLOOKUP(J285,Location[],3,FALSE)</f>
        <v> Nevada</v>
      </c>
      <c r="F285" t="str">
        <f>VLOOKUP(K285,Dept[],2,FALSE)</f>
        <v>Human Resources</v>
      </c>
      <c r="G285" s="11">
        <f t="shared" si="4"/>
        <v>44713</v>
      </c>
      <c r="H285" t="str">
        <f>VLOOKUP(N285,Status[],2,FALSE)</f>
        <v>Full-Time</v>
      </c>
      <c r="J285" s="7">
        <v>1064</v>
      </c>
      <c r="K285">
        <v>16</v>
      </c>
      <c r="L285">
        <v>2022</v>
      </c>
      <c r="M285">
        <v>6</v>
      </c>
      <c r="N285">
        <v>1</v>
      </c>
    </row>
    <row r="286" spans="1:14" x14ac:dyDescent="0.25">
      <c r="A286" t="s">
        <v>2532</v>
      </c>
      <c r="B286" t="s">
        <v>997</v>
      </c>
      <c r="C286" t="s">
        <v>998</v>
      </c>
      <c r="D286" t="str">
        <f>VLOOKUP(J286,Location[],2,FALSE)</f>
        <v>Charlotte</v>
      </c>
      <c r="E286" t="str">
        <f>VLOOKUP(J286,Location[],3,FALSE)</f>
        <v> North Carolina</v>
      </c>
      <c r="F286" t="str">
        <f>VLOOKUP(K286,Dept[],2,FALSE)</f>
        <v>Shipping</v>
      </c>
      <c r="G286" s="11">
        <f t="shared" si="4"/>
        <v>42095</v>
      </c>
      <c r="H286" t="str">
        <f>VLOOKUP(N286,Status[],2,FALSE)</f>
        <v>Full-Time</v>
      </c>
      <c r="J286" s="7">
        <v>1017</v>
      </c>
      <c r="K286">
        <v>23</v>
      </c>
      <c r="L286">
        <v>2015</v>
      </c>
      <c r="M286">
        <v>4</v>
      </c>
      <c r="N286">
        <v>1</v>
      </c>
    </row>
    <row r="287" spans="1:14" x14ac:dyDescent="0.25">
      <c r="A287" t="s">
        <v>2533</v>
      </c>
      <c r="B287" t="s">
        <v>339</v>
      </c>
      <c r="C287" t="s">
        <v>340</v>
      </c>
      <c r="D287" t="str">
        <f>VLOOKUP(J287,Location[],2,FALSE)</f>
        <v>Raleigh</v>
      </c>
      <c r="E287" t="str">
        <f>VLOOKUP(J287,Location[],3,FALSE)</f>
        <v> North Carolina</v>
      </c>
      <c r="F287" t="str">
        <f>VLOOKUP(K287,Dept[],2,FALSE)</f>
        <v>Sales</v>
      </c>
      <c r="G287" s="11">
        <f t="shared" si="4"/>
        <v>41365</v>
      </c>
      <c r="H287" t="str">
        <f>VLOOKUP(N287,Status[],2,FALSE)</f>
        <v>Full-Time</v>
      </c>
      <c r="J287" s="7">
        <v>1041</v>
      </c>
      <c r="K287">
        <v>22</v>
      </c>
      <c r="L287">
        <v>2013</v>
      </c>
      <c r="M287">
        <v>4</v>
      </c>
      <c r="N287">
        <v>1</v>
      </c>
    </row>
    <row r="288" spans="1:14" x14ac:dyDescent="0.25">
      <c r="A288" t="s">
        <v>2534</v>
      </c>
      <c r="B288" t="s">
        <v>341</v>
      </c>
      <c r="C288" t="s">
        <v>1842</v>
      </c>
      <c r="D288" t="str">
        <f>VLOOKUP(J288,Location[],2,FALSE)</f>
        <v>Albuquerque</v>
      </c>
      <c r="E288" t="str">
        <f>VLOOKUP(J288,Location[],3,FALSE)</f>
        <v> New Mexico</v>
      </c>
      <c r="F288" t="str">
        <f>VLOOKUP(K288,Dept[],2,FALSE)</f>
        <v>Accounting</v>
      </c>
      <c r="G288" s="11">
        <f t="shared" si="4"/>
        <v>41365</v>
      </c>
      <c r="H288" t="str">
        <f>VLOOKUP(N288,Status[],2,FALSE)</f>
        <v>Full-Time</v>
      </c>
      <c r="J288" s="7">
        <v>1032</v>
      </c>
      <c r="K288">
        <v>11</v>
      </c>
      <c r="L288">
        <v>2013</v>
      </c>
      <c r="M288">
        <v>4</v>
      </c>
      <c r="N288">
        <v>1</v>
      </c>
    </row>
    <row r="289" spans="1:14" x14ac:dyDescent="0.25">
      <c r="A289" t="s">
        <v>2535</v>
      </c>
      <c r="B289" t="s">
        <v>1281</v>
      </c>
      <c r="C289" t="s">
        <v>1913</v>
      </c>
      <c r="D289" t="str">
        <f>VLOOKUP(J289,Location[],2,FALSE)</f>
        <v>Laredo</v>
      </c>
      <c r="E289" t="str">
        <f>VLOOKUP(J289,Location[],3,FALSE)</f>
        <v> Texas</v>
      </c>
      <c r="F289" t="str">
        <f>VLOOKUP(K289,Dept[],2,FALSE)</f>
        <v>Sales</v>
      </c>
      <c r="G289" s="11">
        <f t="shared" si="4"/>
        <v>43009</v>
      </c>
      <c r="H289" t="str">
        <f>VLOOKUP(N289,Status[],2,FALSE)</f>
        <v>Full-Time</v>
      </c>
      <c r="J289" s="7">
        <v>1080</v>
      </c>
      <c r="K289">
        <v>22</v>
      </c>
      <c r="L289">
        <v>2017</v>
      </c>
      <c r="M289">
        <v>10</v>
      </c>
      <c r="N289">
        <v>1</v>
      </c>
    </row>
    <row r="290" spans="1:14" x14ac:dyDescent="0.25">
      <c r="A290" t="s">
        <v>2536</v>
      </c>
      <c r="B290" t="s">
        <v>398</v>
      </c>
      <c r="C290" t="s">
        <v>1403</v>
      </c>
      <c r="D290" t="str">
        <f>VLOOKUP(J290,Location[],2,FALSE)</f>
        <v>Oakland</v>
      </c>
      <c r="E290" t="str">
        <f>VLOOKUP(J290,Location[],3,FALSE)</f>
        <v> California</v>
      </c>
      <c r="F290" t="str">
        <f>VLOOKUP(K290,Dept[],2,FALSE)</f>
        <v>Accounting</v>
      </c>
      <c r="G290" s="11">
        <f t="shared" si="4"/>
        <v>45017</v>
      </c>
      <c r="H290" t="str">
        <f>VLOOKUP(N290,Status[],2,FALSE)</f>
        <v>Full-Time</v>
      </c>
      <c r="J290" s="7">
        <v>1045</v>
      </c>
      <c r="K290">
        <v>11</v>
      </c>
      <c r="L290">
        <v>2023</v>
      </c>
      <c r="M290">
        <v>4</v>
      </c>
      <c r="N290">
        <v>1</v>
      </c>
    </row>
    <row r="291" spans="1:14" x14ac:dyDescent="0.25">
      <c r="A291" t="s">
        <v>2537</v>
      </c>
      <c r="B291" t="s">
        <v>1402</v>
      </c>
      <c r="C291" t="s">
        <v>1403</v>
      </c>
      <c r="D291" t="str">
        <f>VLOOKUP(J291,Location[],2,FALSE)</f>
        <v>Los Angeles</v>
      </c>
      <c r="E291" t="str">
        <f>VLOOKUP(J291,Location[],3,FALSE)</f>
        <v> California</v>
      </c>
      <c r="F291" t="str">
        <f>VLOOKUP(K291,Dept[],2,FALSE)</f>
        <v>R&amp;D</v>
      </c>
      <c r="G291" s="11">
        <f t="shared" si="4"/>
        <v>40787</v>
      </c>
      <c r="H291" t="str">
        <f>VLOOKUP(N291,Status[],2,FALSE)</f>
        <v>Full-Time</v>
      </c>
      <c r="J291" s="7">
        <v>1002</v>
      </c>
      <c r="K291">
        <v>21</v>
      </c>
      <c r="L291">
        <v>2011</v>
      </c>
      <c r="M291">
        <v>9</v>
      </c>
      <c r="N291">
        <v>1</v>
      </c>
    </row>
    <row r="292" spans="1:14" x14ac:dyDescent="0.25">
      <c r="A292" t="s">
        <v>2538</v>
      </c>
      <c r="B292" t="s">
        <v>239</v>
      </c>
      <c r="C292" t="s">
        <v>1925</v>
      </c>
      <c r="D292" t="str">
        <f>VLOOKUP(J292,Location[],2,FALSE)</f>
        <v>Omaha</v>
      </c>
      <c r="E292" t="str">
        <f>VLOOKUP(J292,Location[],3,FALSE)</f>
        <v> Nebraska</v>
      </c>
      <c r="F292" t="str">
        <f>VLOOKUP(K292,Dept[],2,FALSE)</f>
        <v>Administration</v>
      </c>
      <c r="G292" s="11">
        <f t="shared" si="4"/>
        <v>42248</v>
      </c>
      <c r="H292" t="str">
        <f>VLOOKUP(N292,Status[],2,FALSE)</f>
        <v>Full-Time</v>
      </c>
      <c r="J292" s="7">
        <v>1040</v>
      </c>
      <c r="K292">
        <v>12</v>
      </c>
      <c r="L292">
        <v>2015</v>
      </c>
      <c r="M292">
        <v>9</v>
      </c>
      <c r="N292">
        <v>1</v>
      </c>
    </row>
    <row r="293" spans="1:14" x14ac:dyDescent="0.25">
      <c r="A293" t="s">
        <v>2539</v>
      </c>
      <c r="B293" t="s">
        <v>165</v>
      </c>
      <c r="C293" t="s">
        <v>678</v>
      </c>
      <c r="D293" t="str">
        <f>VLOOKUP(J293,Location[],2,FALSE)</f>
        <v>Greensboro</v>
      </c>
      <c r="E293" t="str">
        <f>VLOOKUP(J293,Location[],3,FALSE)</f>
        <v> North Carolina</v>
      </c>
      <c r="F293" t="str">
        <f>VLOOKUP(K293,Dept[],2,FALSE)</f>
        <v>Administration</v>
      </c>
      <c r="G293" s="11">
        <f t="shared" si="4"/>
        <v>43983</v>
      </c>
      <c r="H293" t="str">
        <f>VLOOKUP(N293,Status[],2,FALSE)</f>
        <v>Full-Time</v>
      </c>
      <c r="J293" s="7">
        <v>1068</v>
      </c>
      <c r="K293">
        <v>12</v>
      </c>
      <c r="L293">
        <v>2020</v>
      </c>
      <c r="M293">
        <v>6</v>
      </c>
      <c r="N293">
        <v>1</v>
      </c>
    </row>
    <row r="294" spans="1:14" x14ac:dyDescent="0.25">
      <c r="A294" t="s">
        <v>2540</v>
      </c>
      <c r="B294" t="s">
        <v>865</v>
      </c>
      <c r="C294" t="s">
        <v>1620</v>
      </c>
      <c r="D294" t="str">
        <f>VLOOKUP(J294,Location[],2,FALSE)</f>
        <v>Denver</v>
      </c>
      <c r="E294" t="str">
        <f>VLOOKUP(J294,Location[],3,FALSE)</f>
        <v> Colorado</v>
      </c>
      <c r="F294" t="str">
        <f>VLOOKUP(K294,Dept[],2,FALSE)</f>
        <v>Customer Support</v>
      </c>
      <c r="G294" s="11">
        <f t="shared" si="4"/>
        <v>41609</v>
      </c>
      <c r="H294" t="str">
        <f>VLOOKUP(N294,Status[],2,FALSE)</f>
        <v>Full-Time</v>
      </c>
      <c r="J294" s="7">
        <v>1019</v>
      </c>
      <c r="K294">
        <v>14</v>
      </c>
      <c r="L294">
        <v>2013</v>
      </c>
      <c r="M294">
        <v>12</v>
      </c>
      <c r="N294">
        <v>1</v>
      </c>
    </row>
    <row r="295" spans="1:14" x14ac:dyDescent="0.25">
      <c r="A295" t="s">
        <v>2541</v>
      </c>
      <c r="B295" t="s">
        <v>218</v>
      </c>
      <c r="C295" t="s">
        <v>323</v>
      </c>
      <c r="D295" t="str">
        <f>VLOOKUP(J295,Location[],2,FALSE)</f>
        <v>Columbus</v>
      </c>
      <c r="E295" t="str">
        <f>VLOOKUP(J295,Location[],3,FALSE)</f>
        <v> Ohio</v>
      </c>
      <c r="F295" t="str">
        <f>VLOOKUP(K295,Dept[],2,FALSE)</f>
        <v>IT</v>
      </c>
      <c r="G295" s="11">
        <f t="shared" si="4"/>
        <v>41579</v>
      </c>
      <c r="H295" t="str">
        <f>VLOOKUP(N295,Status[],2,FALSE)</f>
        <v>Full-Time</v>
      </c>
      <c r="J295" s="7">
        <v>1014</v>
      </c>
      <c r="K295">
        <v>17</v>
      </c>
      <c r="L295">
        <v>2013</v>
      </c>
      <c r="M295">
        <v>11</v>
      </c>
      <c r="N295">
        <v>1</v>
      </c>
    </row>
    <row r="296" spans="1:14" x14ac:dyDescent="0.25">
      <c r="A296" t="s">
        <v>2542</v>
      </c>
      <c r="B296" t="s">
        <v>71</v>
      </c>
      <c r="C296" t="s">
        <v>1812</v>
      </c>
      <c r="D296" t="str">
        <f>VLOOKUP(J296,Location[],2,FALSE)</f>
        <v>Chicago</v>
      </c>
      <c r="E296" t="str">
        <f>VLOOKUP(J296,Location[],3,FALSE)</f>
        <v> Illinois</v>
      </c>
      <c r="F296" t="str">
        <f>VLOOKUP(K296,Dept[],2,FALSE)</f>
        <v>Customer Support</v>
      </c>
      <c r="G296" s="11">
        <f t="shared" si="4"/>
        <v>41000</v>
      </c>
      <c r="H296" t="str">
        <f>VLOOKUP(N296,Status[],2,FALSE)</f>
        <v>Full-Time</v>
      </c>
      <c r="J296" s="7">
        <v>1003</v>
      </c>
      <c r="K296">
        <v>14</v>
      </c>
      <c r="L296">
        <v>2012</v>
      </c>
      <c r="M296">
        <v>4</v>
      </c>
      <c r="N296">
        <v>1</v>
      </c>
    </row>
    <row r="297" spans="1:14" x14ac:dyDescent="0.25">
      <c r="A297" t="s">
        <v>2543</v>
      </c>
      <c r="B297" t="s">
        <v>190</v>
      </c>
      <c r="C297" t="s">
        <v>203</v>
      </c>
      <c r="D297" t="str">
        <f>VLOOKUP(J297,Location[],2,FALSE)</f>
        <v>Seattle</v>
      </c>
      <c r="E297" t="str">
        <f>VLOOKUP(J297,Location[],3,FALSE)</f>
        <v> Washington</v>
      </c>
      <c r="F297" t="str">
        <f>VLOOKUP(K297,Dept[],2,FALSE)</f>
        <v>Marketing</v>
      </c>
      <c r="G297" s="11">
        <f t="shared" si="4"/>
        <v>44866</v>
      </c>
      <c r="H297" t="str">
        <f>VLOOKUP(N297,Status[],2,FALSE)</f>
        <v>Full-Time</v>
      </c>
      <c r="J297" s="7">
        <v>1018</v>
      </c>
      <c r="K297">
        <v>19</v>
      </c>
      <c r="L297">
        <v>2022</v>
      </c>
      <c r="M297">
        <v>11</v>
      </c>
      <c r="N297">
        <v>1</v>
      </c>
    </row>
    <row r="298" spans="1:14" x14ac:dyDescent="0.25">
      <c r="A298" t="s">
        <v>2544</v>
      </c>
      <c r="B298" t="s">
        <v>290</v>
      </c>
      <c r="C298" t="s">
        <v>291</v>
      </c>
      <c r="D298" t="str">
        <f>VLOOKUP(J298,Location[],2,FALSE)</f>
        <v>Los Angeles</v>
      </c>
      <c r="E298" t="str">
        <f>VLOOKUP(J298,Location[],3,FALSE)</f>
        <v> California</v>
      </c>
      <c r="F298" t="str">
        <f>VLOOKUP(K298,Dept[],2,FALSE)</f>
        <v>Legal</v>
      </c>
      <c r="G298" s="11">
        <f t="shared" si="4"/>
        <v>40634</v>
      </c>
      <c r="H298" t="str">
        <f>VLOOKUP(N298,Status[],2,FALSE)</f>
        <v>Part-Time</v>
      </c>
      <c r="J298" s="7">
        <v>1002</v>
      </c>
      <c r="K298">
        <v>18</v>
      </c>
      <c r="L298">
        <v>2011</v>
      </c>
      <c r="M298">
        <v>4</v>
      </c>
      <c r="N298">
        <v>0</v>
      </c>
    </row>
    <row r="299" spans="1:14" x14ac:dyDescent="0.25">
      <c r="A299" t="s">
        <v>2545</v>
      </c>
      <c r="B299" t="s">
        <v>617</v>
      </c>
      <c r="C299" t="s">
        <v>1084</v>
      </c>
      <c r="D299" t="str">
        <f>VLOOKUP(J299,Location[],2,FALSE)</f>
        <v>Indianapolis</v>
      </c>
      <c r="E299" t="str">
        <f>VLOOKUP(J299,Location[],3,FALSE)</f>
        <v> Indiana</v>
      </c>
      <c r="F299" t="str">
        <f>VLOOKUP(K299,Dept[],2,FALSE)</f>
        <v>Legal</v>
      </c>
      <c r="G299" s="11">
        <f t="shared" si="4"/>
        <v>42278</v>
      </c>
      <c r="H299" t="str">
        <f>VLOOKUP(N299,Status[],2,FALSE)</f>
        <v>Full-Time</v>
      </c>
      <c r="J299" s="7">
        <v>1016</v>
      </c>
      <c r="K299">
        <v>18</v>
      </c>
      <c r="L299">
        <v>2015</v>
      </c>
      <c r="M299">
        <v>10</v>
      </c>
      <c r="N299">
        <v>1</v>
      </c>
    </row>
    <row r="300" spans="1:14" x14ac:dyDescent="0.25">
      <c r="A300" t="s">
        <v>2546</v>
      </c>
      <c r="B300" t="s">
        <v>5</v>
      </c>
      <c r="C300" t="s">
        <v>1874</v>
      </c>
      <c r="D300" t="str">
        <f>VLOOKUP(J300,Location[],2,FALSE)</f>
        <v>San Diego</v>
      </c>
      <c r="E300" t="str">
        <f>VLOOKUP(J300,Location[],3,FALSE)</f>
        <v> California</v>
      </c>
      <c r="F300" t="str">
        <f>VLOOKUP(K300,Dept[],2,FALSE)</f>
        <v>IT</v>
      </c>
      <c r="G300" s="11">
        <f t="shared" si="4"/>
        <v>44743</v>
      </c>
      <c r="H300" t="str">
        <f>VLOOKUP(N300,Status[],2,FALSE)</f>
        <v>Full-Time</v>
      </c>
      <c r="J300" s="7">
        <v>1008</v>
      </c>
      <c r="K300">
        <v>17</v>
      </c>
      <c r="L300">
        <v>2022</v>
      </c>
      <c r="M300">
        <v>7</v>
      </c>
      <c r="N300">
        <v>1</v>
      </c>
    </row>
    <row r="301" spans="1:14" x14ac:dyDescent="0.25">
      <c r="A301" t="s">
        <v>2244</v>
      </c>
      <c r="B301" t="s">
        <v>694</v>
      </c>
      <c r="C301" t="s">
        <v>746</v>
      </c>
      <c r="D301" t="str">
        <f>VLOOKUP(J301,Location[],2,FALSE)</f>
        <v>Philadelphia</v>
      </c>
      <c r="E301" t="str">
        <f>VLOOKUP(J301,Location[],3,FALSE)</f>
        <v> Pennsylvania</v>
      </c>
      <c r="F301" t="str">
        <f>VLOOKUP(K301,Dept[],2,FALSE)</f>
        <v>Accounting</v>
      </c>
      <c r="G301" s="11">
        <f t="shared" si="4"/>
        <v>43070</v>
      </c>
      <c r="H301" t="str">
        <f>VLOOKUP(N301,Status[],2,FALSE)</f>
        <v>Full-Time</v>
      </c>
      <c r="J301" s="7">
        <v>1006</v>
      </c>
      <c r="K301">
        <v>11</v>
      </c>
      <c r="L301">
        <v>2017</v>
      </c>
      <c r="M301">
        <v>12</v>
      </c>
      <c r="N301">
        <v>1</v>
      </c>
    </row>
    <row r="302" spans="1:14" x14ac:dyDescent="0.25">
      <c r="A302" t="s">
        <v>2547</v>
      </c>
      <c r="B302" t="s">
        <v>429</v>
      </c>
      <c r="C302" t="s">
        <v>746</v>
      </c>
      <c r="D302" t="str">
        <f>VLOOKUP(J302,Location[],2,FALSE)</f>
        <v>San Jose</v>
      </c>
      <c r="E302" t="str">
        <f>VLOOKUP(J302,Location[],3,FALSE)</f>
        <v> California</v>
      </c>
      <c r="F302" t="str">
        <f>VLOOKUP(K302,Dept[],2,FALSE)</f>
        <v>Customer Support</v>
      </c>
      <c r="G302" s="11">
        <f t="shared" si="4"/>
        <v>44075</v>
      </c>
      <c r="H302" t="str">
        <f>VLOOKUP(N302,Status[],2,FALSE)</f>
        <v>Part-Time</v>
      </c>
      <c r="J302" s="7">
        <v>1010</v>
      </c>
      <c r="K302">
        <v>14</v>
      </c>
      <c r="L302">
        <v>2020</v>
      </c>
      <c r="M302">
        <v>9</v>
      </c>
      <c r="N302">
        <v>0</v>
      </c>
    </row>
    <row r="303" spans="1:14" x14ac:dyDescent="0.25">
      <c r="A303" t="s">
        <v>2548</v>
      </c>
      <c r="B303" t="s">
        <v>339</v>
      </c>
      <c r="C303" t="s">
        <v>1678</v>
      </c>
      <c r="D303" t="str">
        <f>VLOOKUP(J303,Location[],2,FALSE)</f>
        <v>Stockton</v>
      </c>
      <c r="E303" t="str">
        <f>VLOOKUP(J303,Location[],3,FALSE)</f>
        <v> California</v>
      </c>
      <c r="F303" t="str">
        <f>VLOOKUP(K303,Dept[],2,FALSE)</f>
        <v>R&amp;D</v>
      </c>
      <c r="G303" s="11">
        <f t="shared" si="4"/>
        <v>41487</v>
      </c>
      <c r="H303" t="str">
        <f>VLOOKUP(N303,Status[],2,FALSE)</f>
        <v>Full-Time</v>
      </c>
      <c r="J303" s="7">
        <v>1061</v>
      </c>
      <c r="K303">
        <v>21</v>
      </c>
      <c r="L303">
        <v>2013</v>
      </c>
      <c r="M303">
        <v>8</v>
      </c>
      <c r="N303">
        <v>1</v>
      </c>
    </row>
    <row r="304" spans="1:14" x14ac:dyDescent="0.25">
      <c r="A304" t="s">
        <v>2549</v>
      </c>
      <c r="B304" t="s">
        <v>674</v>
      </c>
      <c r="C304" t="s">
        <v>703</v>
      </c>
      <c r="D304" t="str">
        <f>VLOOKUP(J304,Location[],2,FALSE)</f>
        <v>Seattle</v>
      </c>
      <c r="E304" t="str">
        <f>VLOOKUP(J304,Location[],3,FALSE)</f>
        <v> Washington</v>
      </c>
      <c r="F304" t="str">
        <f>VLOOKUP(K304,Dept[],2,FALSE)</f>
        <v>Sales</v>
      </c>
      <c r="G304" s="11">
        <f t="shared" si="4"/>
        <v>44501</v>
      </c>
      <c r="H304" t="str">
        <f>VLOOKUP(N304,Status[],2,FALSE)</f>
        <v>Full-Time</v>
      </c>
      <c r="J304" s="7">
        <v>1018</v>
      </c>
      <c r="K304">
        <v>22</v>
      </c>
      <c r="L304">
        <v>2021</v>
      </c>
      <c r="M304">
        <v>11</v>
      </c>
      <c r="N304">
        <v>1</v>
      </c>
    </row>
    <row r="305" spans="1:14" x14ac:dyDescent="0.25">
      <c r="A305" t="s">
        <v>2251</v>
      </c>
      <c r="B305" t="s">
        <v>790</v>
      </c>
      <c r="C305" t="s">
        <v>1649</v>
      </c>
      <c r="D305" t="str">
        <f>VLOOKUP(J305,Location[],2,FALSE)</f>
        <v>San Antonio</v>
      </c>
      <c r="E305" t="str">
        <f>VLOOKUP(J305,Location[],3,FALSE)</f>
        <v> Texas</v>
      </c>
      <c r="F305" t="str">
        <f>VLOOKUP(K305,Dept[],2,FALSE)</f>
        <v>Sales</v>
      </c>
      <c r="G305" s="11">
        <f t="shared" si="4"/>
        <v>44501</v>
      </c>
      <c r="H305" t="str">
        <f>VLOOKUP(N305,Status[],2,FALSE)</f>
        <v>Full-Time</v>
      </c>
      <c r="J305" s="7">
        <v>1007</v>
      </c>
      <c r="K305">
        <v>22</v>
      </c>
      <c r="L305">
        <v>2021</v>
      </c>
      <c r="M305">
        <v>11</v>
      </c>
      <c r="N305">
        <v>1</v>
      </c>
    </row>
    <row r="306" spans="1:14" x14ac:dyDescent="0.25">
      <c r="A306" t="s">
        <v>2550</v>
      </c>
      <c r="B306" t="s">
        <v>199</v>
      </c>
      <c r="C306" t="s">
        <v>1259</v>
      </c>
      <c r="D306" t="str">
        <f>VLOOKUP(J306,Location[],2,FALSE)</f>
        <v>Dallas</v>
      </c>
      <c r="E306" t="str">
        <f>VLOOKUP(J306,Location[],3,FALSE)</f>
        <v> Texas</v>
      </c>
      <c r="F306" t="str">
        <f>VLOOKUP(K306,Dept[],2,FALSE)</f>
        <v>Human Resources</v>
      </c>
      <c r="G306" s="11">
        <f t="shared" si="4"/>
        <v>43160</v>
      </c>
      <c r="H306" t="str">
        <f>VLOOKUP(N306,Status[],2,FALSE)</f>
        <v>Full-Time</v>
      </c>
      <c r="J306" s="7">
        <v>1009</v>
      </c>
      <c r="K306">
        <v>16</v>
      </c>
      <c r="L306">
        <v>2018</v>
      </c>
      <c r="M306">
        <v>3</v>
      </c>
      <c r="N306">
        <v>1</v>
      </c>
    </row>
    <row r="307" spans="1:14" x14ac:dyDescent="0.25">
      <c r="A307" t="s">
        <v>2551</v>
      </c>
      <c r="B307" t="s">
        <v>482</v>
      </c>
      <c r="C307" t="s">
        <v>1336</v>
      </c>
      <c r="D307" t="str">
        <f>VLOOKUP(J307,Location[],2,FALSE)</f>
        <v>Oakland</v>
      </c>
      <c r="E307" t="str">
        <f>VLOOKUP(J307,Location[],3,FALSE)</f>
        <v> California</v>
      </c>
      <c r="F307" t="str">
        <f>VLOOKUP(K307,Dept[],2,FALSE)</f>
        <v>Assessment</v>
      </c>
      <c r="G307" s="11">
        <f t="shared" si="4"/>
        <v>43313</v>
      </c>
      <c r="H307" t="str">
        <f>VLOOKUP(N307,Status[],2,FALSE)</f>
        <v>Part-Time</v>
      </c>
      <c r="J307" s="7">
        <v>1045</v>
      </c>
      <c r="K307">
        <v>13</v>
      </c>
      <c r="L307">
        <v>2018</v>
      </c>
      <c r="M307">
        <v>8</v>
      </c>
      <c r="N307">
        <v>0</v>
      </c>
    </row>
    <row r="308" spans="1:14" x14ac:dyDescent="0.25">
      <c r="A308" t="s">
        <v>2552</v>
      </c>
      <c r="B308" t="s">
        <v>5</v>
      </c>
      <c r="C308" t="s">
        <v>242</v>
      </c>
      <c r="D308" t="str">
        <f>VLOOKUP(J308,Location[],2,FALSE)</f>
        <v>New York City</v>
      </c>
      <c r="E308" t="str">
        <f>VLOOKUP(J308,Location[],3,FALSE)</f>
        <v> New York</v>
      </c>
      <c r="F308" t="str">
        <f>VLOOKUP(K308,Dept[],2,FALSE)</f>
        <v>Accounting</v>
      </c>
      <c r="G308" s="11">
        <f t="shared" si="4"/>
        <v>42675</v>
      </c>
      <c r="H308" t="str">
        <f>VLOOKUP(N308,Status[],2,FALSE)</f>
        <v>Full-Time</v>
      </c>
      <c r="J308" s="7">
        <v>1001</v>
      </c>
      <c r="K308">
        <v>11</v>
      </c>
      <c r="L308">
        <v>2016</v>
      </c>
      <c r="M308">
        <v>11</v>
      </c>
      <c r="N308">
        <v>1</v>
      </c>
    </row>
    <row r="309" spans="1:14" x14ac:dyDescent="0.25">
      <c r="A309" t="s">
        <v>2553</v>
      </c>
      <c r="B309" t="s">
        <v>39</v>
      </c>
      <c r="C309" t="s">
        <v>1720</v>
      </c>
      <c r="D309" t="str">
        <f>VLOOKUP(J309,Location[],2,FALSE)</f>
        <v>Corpus Christi</v>
      </c>
      <c r="E309" t="str">
        <f>VLOOKUP(J309,Location[],3,FALSE)</f>
        <v> Texas</v>
      </c>
      <c r="F309" t="str">
        <f>VLOOKUP(K309,Dept[],2,FALSE)</f>
        <v>Accounting</v>
      </c>
      <c r="G309" s="11">
        <f t="shared" si="4"/>
        <v>42461</v>
      </c>
      <c r="H309" t="str">
        <f>VLOOKUP(N309,Status[],2,FALSE)</f>
        <v>Full-Time</v>
      </c>
      <c r="J309" s="7">
        <v>1059</v>
      </c>
      <c r="K309">
        <v>11</v>
      </c>
      <c r="L309">
        <v>2016</v>
      </c>
      <c r="M309">
        <v>4</v>
      </c>
      <c r="N309">
        <v>1</v>
      </c>
    </row>
    <row r="310" spans="1:14" x14ac:dyDescent="0.25">
      <c r="A310" t="s">
        <v>2554</v>
      </c>
      <c r="B310" t="s">
        <v>1170</v>
      </c>
      <c r="C310" t="s">
        <v>1171</v>
      </c>
      <c r="D310" t="str">
        <f>VLOOKUP(J310,Location[],2,FALSE)</f>
        <v>New York City</v>
      </c>
      <c r="E310" t="str">
        <f>VLOOKUP(J310,Location[],3,FALSE)</f>
        <v> New York</v>
      </c>
      <c r="F310" t="str">
        <f>VLOOKUP(K310,Dept[],2,FALSE)</f>
        <v>Finance</v>
      </c>
      <c r="G310" s="11">
        <f t="shared" si="4"/>
        <v>44317</v>
      </c>
      <c r="H310" t="str">
        <f>VLOOKUP(N310,Status[],2,FALSE)</f>
        <v>Part-Time</v>
      </c>
      <c r="J310" s="7">
        <v>1001</v>
      </c>
      <c r="K310">
        <v>15</v>
      </c>
      <c r="L310">
        <v>2021</v>
      </c>
      <c r="M310">
        <v>5</v>
      </c>
      <c r="N310">
        <v>0</v>
      </c>
    </row>
    <row r="311" spans="1:14" x14ac:dyDescent="0.25">
      <c r="A311" t="s">
        <v>2555</v>
      </c>
      <c r="B311" t="s">
        <v>71</v>
      </c>
      <c r="C311" t="s">
        <v>751</v>
      </c>
      <c r="D311" t="str">
        <f>VLOOKUP(J311,Location[],2,FALSE)</f>
        <v>San Antonio</v>
      </c>
      <c r="E311" t="str">
        <f>VLOOKUP(J311,Location[],3,FALSE)</f>
        <v> Texas</v>
      </c>
      <c r="F311" t="str">
        <f>VLOOKUP(K311,Dept[],2,FALSE)</f>
        <v>Administration</v>
      </c>
      <c r="G311" s="11">
        <f t="shared" si="4"/>
        <v>44287</v>
      </c>
      <c r="H311" t="str">
        <f>VLOOKUP(N311,Status[],2,FALSE)</f>
        <v>Full-Time</v>
      </c>
      <c r="J311" s="7">
        <v>1007</v>
      </c>
      <c r="K311">
        <v>12</v>
      </c>
      <c r="L311">
        <v>2021</v>
      </c>
      <c r="M311">
        <v>4</v>
      </c>
      <c r="N311">
        <v>1</v>
      </c>
    </row>
    <row r="312" spans="1:14" x14ac:dyDescent="0.25">
      <c r="A312" t="s">
        <v>2556</v>
      </c>
      <c r="B312" t="s">
        <v>1083</v>
      </c>
      <c r="C312" t="s">
        <v>751</v>
      </c>
      <c r="D312" t="str">
        <f>VLOOKUP(J312,Location[],2,FALSE)</f>
        <v>Los Angeles</v>
      </c>
      <c r="E312" t="str">
        <f>VLOOKUP(J312,Location[],3,FALSE)</f>
        <v> California</v>
      </c>
      <c r="F312" t="str">
        <f>VLOOKUP(K312,Dept[],2,FALSE)</f>
        <v>Customer Support</v>
      </c>
      <c r="G312" s="11">
        <f t="shared" si="4"/>
        <v>42430</v>
      </c>
      <c r="H312" t="str">
        <f>VLOOKUP(N312,Status[],2,FALSE)</f>
        <v>Full-Time</v>
      </c>
      <c r="J312" s="7">
        <v>1002</v>
      </c>
      <c r="K312">
        <v>14</v>
      </c>
      <c r="L312">
        <v>2016</v>
      </c>
      <c r="M312">
        <v>3</v>
      </c>
      <c r="N312">
        <v>1</v>
      </c>
    </row>
    <row r="313" spans="1:14" x14ac:dyDescent="0.25">
      <c r="A313" t="s">
        <v>2557</v>
      </c>
      <c r="B313" t="s">
        <v>256</v>
      </c>
      <c r="C313" t="s">
        <v>1162</v>
      </c>
      <c r="D313" t="str">
        <f>VLOOKUP(J313,Location[],2,FALSE)</f>
        <v>Bakersfield</v>
      </c>
      <c r="E313" t="str">
        <f>VLOOKUP(J313,Location[],3,FALSE)</f>
        <v> California</v>
      </c>
      <c r="F313" t="str">
        <f>VLOOKUP(K313,Dept[],2,FALSE)</f>
        <v>Shipping</v>
      </c>
      <c r="G313" s="11">
        <f t="shared" si="4"/>
        <v>41153</v>
      </c>
      <c r="H313" t="str">
        <f>VLOOKUP(N313,Status[],2,FALSE)</f>
        <v>Part-Time</v>
      </c>
      <c r="J313" s="7">
        <v>1053</v>
      </c>
      <c r="K313">
        <v>23</v>
      </c>
      <c r="L313">
        <v>2012</v>
      </c>
      <c r="M313">
        <v>9</v>
      </c>
      <c r="N313">
        <v>0</v>
      </c>
    </row>
    <row r="314" spans="1:14" x14ac:dyDescent="0.25">
      <c r="A314" t="s">
        <v>2558</v>
      </c>
      <c r="B314" t="s">
        <v>83</v>
      </c>
      <c r="C314" t="s">
        <v>19</v>
      </c>
      <c r="D314" t="str">
        <f>VLOOKUP(J314,Location[],2,FALSE)</f>
        <v>Lincoln</v>
      </c>
      <c r="E314" t="str">
        <f>VLOOKUP(J314,Location[],3,FALSE)</f>
        <v> Nebraska</v>
      </c>
      <c r="F314" t="str">
        <f>VLOOKUP(K314,Dept[],2,FALSE)</f>
        <v>Finance</v>
      </c>
      <c r="G314" s="11">
        <f t="shared" si="4"/>
        <v>42675</v>
      </c>
      <c r="H314" t="str">
        <f>VLOOKUP(N314,Status[],2,FALSE)</f>
        <v>Full-Time</v>
      </c>
      <c r="J314" s="7">
        <v>1071</v>
      </c>
      <c r="K314">
        <v>15</v>
      </c>
      <c r="L314">
        <v>2016</v>
      </c>
      <c r="M314">
        <v>11</v>
      </c>
      <c r="N314">
        <v>1</v>
      </c>
    </row>
    <row r="315" spans="1:14" x14ac:dyDescent="0.25">
      <c r="A315" t="s">
        <v>2559</v>
      </c>
      <c r="B315" t="s">
        <v>623</v>
      </c>
      <c r="C315" t="s">
        <v>624</v>
      </c>
      <c r="D315" t="str">
        <f>VLOOKUP(J315,Location[],2,FALSE)</f>
        <v>Los Angeles</v>
      </c>
      <c r="E315" t="str">
        <f>VLOOKUP(J315,Location[],3,FALSE)</f>
        <v> California</v>
      </c>
      <c r="F315" t="str">
        <f>VLOOKUP(K315,Dept[],2,FALSE)</f>
        <v>R&amp;D</v>
      </c>
      <c r="G315" s="11">
        <f t="shared" si="4"/>
        <v>43770</v>
      </c>
      <c r="H315" t="str">
        <f>VLOOKUP(N315,Status[],2,FALSE)</f>
        <v>Part-Time</v>
      </c>
      <c r="J315" s="7">
        <v>1002</v>
      </c>
      <c r="K315">
        <v>21</v>
      </c>
      <c r="L315">
        <v>2019</v>
      </c>
      <c r="M315">
        <v>11</v>
      </c>
      <c r="N315">
        <v>0</v>
      </c>
    </row>
    <row r="316" spans="1:14" x14ac:dyDescent="0.25">
      <c r="A316" t="s">
        <v>2560</v>
      </c>
      <c r="B316" t="s">
        <v>646</v>
      </c>
      <c r="C316" t="s">
        <v>647</v>
      </c>
      <c r="D316" t="str">
        <f>VLOOKUP(J316,Location[],2,FALSE)</f>
        <v>Newark</v>
      </c>
      <c r="E316" t="str">
        <f>VLOOKUP(J316,Location[],3,FALSE)</f>
        <v> New Jersey</v>
      </c>
      <c r="F316" t="str">
        <f>VLOOKUP(K316,Dept[],2,FALSE)</f>
        <v>IT</v>
      </c>
      <c r="G316" s="11">
        <f t="shared" si="4"/>
        <v>42767</v>
      </c>
      <c r="H316" t="str">
        <f>VLOOKUP(N316,Status[],2,FALSE)</f>
        <v>Full-Time</v>
      </c>
      <c r="J316" s="7">
        <v>1070</v>
      </c>
      <c r="K316">
        <v>17</v>
      </c>
      <c r="L316">
        <v>2017</v>
      </c>
      <c r="M316">
        <v>2</v>
      </c>
      <c r="N316">
        <v>1</v>
      </c>
    </row>
    <row r="317" spans="1:14" x14ac:dyDescent="0.25">
      <c r="A317" t="s">
        <v>2561</v>
      </c>
      <c r="B317" t="s">
        <v>288</v>
      </c>
      <c r="C317" t="s">
        <v>289</v>
      </c>
      <c r="D317" t="str">
        <f>VLOOKUP(J317,Location[],2,FALSE)</f>
        <v>Washington, D.C.</v>
      </c>
      <c r="E317" t="str">
        <f>VLOOKUP(J317,Location[],3,FALSE)</f>
        <v> District of Columbia</v>
      </c>
      <c r="F317" t="str">
        <f>VLOOKUP(K317,Dept[],2,FALSE)</f>
        <v>Assessment</v>
      </c>
      <c r="G317" s="11">
        <f t="shared" si="4"/>
        <v>40817</v>
      </c>
      <c r="H317" t="str">
        <f>VLOOKUP(N317,Status[],2,FALSE)</f>
        <v>Full-Time</v>
      </c>
      <c r="J317" s="7">
        <v>1020</v>
      </c>
      <c r="K317">
        <v>13</v>
      </c>
      <c r="L317">
        <v>2011</v>
      </c>
      <c r="M317">
        <v>10</v>
      </c>
      <c r="N317">
        <v>1</v>
      </c>
    </row>
    <row r="318" spans="1:14" x14ac:dyDescent="0.25">
      <c r="A318" t="s">
        <v>2562</v>
      </c>
      <c r="B318" t="s">
        <v>404</v>
      </c>
      <c r="C318" t="s">
        <v>1712</v>
      </c>
      <c r="D318" t="str">
        <f>VLOOKUP(J318,Location[],2,FALSE)</f>
        <v>Bakersfield</v>
      </c>
      <c r="E318" t="str">
        <f>VLOOKUP(J318,Location[],3,FALSE)</f>
        <v> California</v>
      </c>
      <c r="F318" t="str">
        <f>VLOOKUP(K318,Dept[],2,FALSE)</f>
        <v>Marketing</v>
      </c>
      <c r="G318" s="11">
        <f t="shared" si="4"/>
        <v>40848</v>
      </c>
      <c r="H318" t="str">
        <f>VLOOKUP(N318,Status[],2,FALSE)</f>
        <v>Full-Time</v>
      </c>
      <c r="J318" s="7">
        <v>1053</v>
      </c>
      <c r="K318">
        <v>19</v>
      </c>
      <c r="L318">
        <v>2011</v>
      </c>
      <c r="M318">
        <v>11</v>
      </c>
      <c r="N318">
        <v>1</v>
      </c>
    </row>
    <row r="319" spans="1:14" x14ac:dyDescent="0.25">
      <c r="A319" t="s">
        <v>2563</v>
      </c>
      <c r="B319" t="s">
        <v>1117</v>
      </c>
      <c r="C319" t="s">
        <v>637</v>
      </c>
      <c r="D319" t="str">
        <f>VLOOKUP(J319,Location[],2,FALSE)</f>
        <v>Anchorage</v>
      </c>
      <c r="E319" t="str">
        <f>VLOOKUP(J319,Location[],3,FALSE)</f>
        <v> Alaska</v>
      </c>
      <c r="F319" t="str">
        <f>VLOOKUP(K319,Dept[],2,FALSE)</f>
        <v>Accounting</v>
      </c>
      <c r="G319" s="11">
        <f t="shared" si="4"/>
        <v>43282</v>
      </c>
      <c r="H319" t="str">
        <f>VLOOKUP(N319,Status[],2,FALSE)</f>
        <v>Full-Time</v>
      </c>
      <c r="J319" s="7">
        <v>1067</v>
      </c>
      <c r="K319">
        <v>11</v>
      </c>
      <c r="L319">
        <v>2018</v>
      </c>
      <c r="M319">
        <v>7</v>
      </c>
      <c r="N319">
        <v>1</v>
      </c>
    </row>
    <row r="320" spans="1:14" x14ac:dyDescent="0.25">
      <c r="A320" t="s">
        <v>2564</v>
      </c>
      <c r="B320" t="s">
        <v>83</v>
      </c>
      <c r="C320" t="s">
        <v>637</v>
      </c>
      <c r="D320" t="str">
        <f>VLOOKUP(J320,Location[],2,FALSE)</f>
        <v>Tulsa</v>
      </c>
      <c r="E320" t="str">
        <f>VLOOKUP(J320,Location[],3,FALSE)</f>
        <v> Oklahoma</v>
      </c>
      <c r="F320" t="str">
        <f>VLOOKUP(K320,Dept[],2,FALSE)</f>
        <v>Legal</v>
      </c>
      <c r="G320" s="11">
        <f t="shared" si="4"/>
        <v>42614</v>
      </c>
      <c r="H320" t="str">
        <f>VLOOKUP(N320,Status[],2,FALSE)</f>
        <v>Full-Time</v>
      </c>
      <c r="J320" s="7">
        <v>1047</v>
      </c>
      <c r="K320">
        <v>18</v>
      </c>
      <c r="L320">
        <v>2016</v>
      </c>
      <c r="M320">
        <v>9</v>
      </c>
      <c r="N320">
        <v>1</v>
      </c>
    </row>
    <row r="321" spans="1:14" x14ac:dyDescent="0.25">
      <c r="A321" t="s">
        <v>2565</v>
      </c>
      <c r="B321" t="s">
        <v>484</v>
      </c>
      <c r="C321" t="s">
        <v>485</v>
      </c>
      <c r="D321" t="str">
        <f>VLOOKUP(J321,Location[],2,FALSE)</f>
        <v>Miami</v>
      </c>
      <c r="E321" t="str">
        <f>VLOOKUP(J321,Location[],3,FALSE)</f>
        <v> Florida</v>
      </c>
      <c r="F321" t="str">
        <f>VLOOKUP(K321,Dept[],2,FALSE)</f>
        <v>Assessment</v>
      </c>
      <c r="G321" s="11">
        <f t="shared" si="4"/>
        <v>41913</v>
      </c>
      <c r="H321" t="str">
        <f>VLOOKUP(N321,Status[],2,FALSE)</f>
        <v>Full-Time</v>
      </c>
      <c r="J321" s="7">
        <v>1043</v>
      </c>
      <c r="K321">
        <v>13</v>
      </c>
      <c r="L321">
        <v>2014</v>
      </c>
      <c r="M321">
        <v>10</v>
      </c>
      <c r="N321">
        <v>1</v>
      </c>
    </row>
    <row r="322" spans="1:14" x14ac:dyDescent="0.25">
      <c r="A322" t="s">
        <v>2566</v>
      </c>
      <c r="B322" t="s">
        <v>110</v>
      </c>
      <c r="C322" t="s">
        <v>111</v>
      </c>
      <c r="D322" t="str">
        <f>VLOOKUP(J322,Location[],2,FALSE)</f>
        <v>San Francisco</v>
      </c>
      <c r="E322" t="str">
        <f>VLOOKUP(J322,Location[],3,FALSE)</f>
        <v> California</v>
      </c>
      <c r="F322" t="str">
        <f>VLOOKUP(K322,Dept[],2,FALSE)</f>
        <v>Customer Support</v>
      </c>
      <c r="G322" s="11">
        <f t="shared" si="4"/>
        <v>43466</v>
      </c>
      <c r="H322" t="str">
        <f>VLOOKUP(N322,Status[],2,FALSE)</f>
        <v>Full-Time</v>
      </c>
      <c r="J322" s="7">
        <v>1013</v>
      </c>
      <c r="K322">
        <v>14</v>
      </c>
      <c r="L322">
        <v>2019</v>
      </c>
      <c r="M322">
        <v>1</v>
      </c>
      <c r="N322">
        <v>1</v>
      </c>
    </row>
    <row r="323" spans="1:14" x14ac:dyDescent="0.25">
      <c r="A323" t="s">
        <v>2567</v>
      </c>
      <c r="B323" t="s">
        <v>541</v>
      </c>
      <c r="C323" t="s">
        <v>1249</v>
      </c>
      <c r="D323" t="str">
        <f>VLOOKUP(J323,Location[],2,FALSE)</f>
        <v>New York City</v>
      </c>
      <c r="E323" t="str">
        <f>VLOOKUP(J323,Location[],3,FALSE)</f>
        <v> New York</v>
      </c>
      <c r="F323" t="str">
        <f>VLOOKUP(K323,Dept[],2,FALSE)</f>
        <v>Administration</v>
      </c>
      <c r="G323" s="11">
        <f t="shared" si="4"/>
        <v>41334</v>
      </c>
      <c r="H323" t="str">
        <f>VLOOKUP(N323,Status[],2,FALSE)</f>
        <v>Full-Time</v>
      </c>
      <c r="J323" s="7">
        <v>1001</v>
      </c>
      <c r="K323">
        <v>12</v>
      </c>
      <c r="L323">
        <v>2013</v>
      </c>
      <c r="M323">
        <v>3</v>
      </c>
      <c r="N323">
        <v>1</v>
      </c>
    </row>
    <row r="324" spans="1:14" x14ac:dyDescent="0.25">
      <c r="A324" t="s">
        <v>2568</v>
      </c>
      <c r="B324" t="s">
        <v>2010</v>
      </c>
      <c r="C324" t="s">
        <v>2011</v>
      </c>
      <c r="D324" t="str">
        <f>VLOOKUP(J324,Location[],2,FALSE)</f>
        <v>Sacramento</v>
      </c>
      <c r="E324" t="str">
        <f>VLOOKUP(J324,Location[],3,FALSE)</f>
        <v> California</v>
      </c>
      <c r="F324" t="str">
        <f>VLOOKUP(K324,Dept[],2,FALSE)</f>
        <v>Customer Support</v>
      </c>
      <c r="G324" s="11">
        <f t="shared" si="4"/>
        <v>42095</v>
      </c>
      <c r="H324" t="str">
        <f>VLOOKUP(N324,Status[],2,FALSE)</f>
        <v>Full-Time</v>
      </c>
      <c r="J324" s="7">
        <v>1035</v>
      </c>
      <c r="K324">
        <v>14</v>
      </c>
      <c r="L324">
        <v>2015</v>
      </c>
      <c r="M324">
        <v>4</v>
      </c>
      <c r="N324">
        <v>1</v>
      </c>
    </row>
    <row r="325" spans="1:14" x14ac:dyDescent="0.25">
      <c r="A325" t="s">
        <v>2569</v>
      </c>
      <c r="B325" t="s">
        <v>1222</v>
      </c>
      <c r="C325" t="s">
        <v>1223</v>
      </c>
      <c r="D325" t="str">
        <f>VLOOKUP(J325,Location[],2,FALSE)</f>
        <v>Charlotte</v>
      </c>
      <c r="E325" t="str">
        <f>VLOOKUP(J325,Location[],3,FALSE)</f>
        <v> North Carolina</v>
      </c>
      <c r="F325" t="str">
        <f>VLOOKUP(K325,Dept[],2,FALSE)</f>
        <v>Legal</v>
      </c>
      <c r="G325" s="11">
        <f t="shared" ref="G325:G388" si="5">DATE(L325,M325,1)</f>
        <v>43891</v>
      </c>
      <c r="H325" t="str">
        <f>VLOOKUP(N325,Status[],2,FALSE)</f>
        <v>Full-Time</v>
      </c>
      <c r="J325" s="7">
        <v>1017</v>
      </c>
      <c r="K325">
        <v>18</v>
      </c>
      <c r="L325">
        <v>2020</v>
      </c>
      <c r="M325">
        <v>3</v>
      </c>
      <c r="N325">
        <v>1</v>
      </c>
    </row>
    <row r="326" spans="1:14" x14ac:dyDescent="0.25">
      <c r="A326" t="s">
        <v>2570</v>
      </c>
      <c r="B326" t="s">
        <v>1998</v>
      </c>
      <c r="C326" t="s">
        <v>1999</v>
      </c>
      <c r="D326" t="str">
        <f>VLOOKUP(J326,Location[],2,FALSE)</f>
        <v>Albuquerque</v>
      </c>
      <c r="E326" t="str">
        <f>VLOOKUP(J326,Location[],3,FALSE)</f>
        <v> New Mexico</v>
      </c>
      <c r="F326" t="str">
        <f>VLOOKUP(K326,Dept[],2,FALSE)</f>
        <v>Accounting</v>
      </c>
      <c r="G326" s="11">
        <f t="shared" si="5"/>
        <v>42675</v>
      </c>
      <c r="H326" t="str">
        <f>VLOOKUP(N326,Status[],2,FALSE)</f>
        <v>Full-Time</v>
      </c>
      <c r="J326" s="7">
        <v>1032</v>
      </c>
      <c r="K326">
        <v>11</v>
      </c>
      <c r="L326">
        <v>2016</v>
      </c>
      <c r="M326">
        <v>11</v>
      </c>
      <c r="N326">
        <v>1</v>
      </c>
    </row>
    <row r="327" spans="1:14" x14ac:dyDescent="0.25">
      <c r="A327" t="s">
        <v>2571</v>
      </c>
      <c r="B327" t="s">
        <v>620</v>
      </c>
      <c r="C327" t="s">
        <v>621</v>
      </c>
      <c r="D327" t="str">
        <f>VLOOKUP(J327,Location[],2,FALSE)</f>
        <v>Minneapolis</v>
      </c>
      <c r="E327" t="str">
        <f>VLOOKUP(J327,Location[],3,FALSE)</f>
        <v> Minnesota</v>
      </c>
      <c r="F327" t="str">
        <f>VLOOKUP(K327,Dept[],2,FALSE)</f>
        <v>Shipping</v>
      </c>
      <c r="G327" s="11">
        <f t="shared" si="5"/>
        <v>42979</v>
      </c>
      <c r="H327" t="str">
        <f>VLOOKUP(N327,Status[],2,FALSE)</f>
        <v>Full-Time</v>
      </c>
      <c r="J327" s="7">
        <v>1046</v>
      </c>
      <c r="K327">
        <v>23</v>
      </c>
      <c r="L327">
        <v>2017</v>
      </c>
      <c r="M327">
        <v>9</v>
      </c>
      <c r="N327">
        <v>1</v>
      </c>
    </row>
    <row r="328" spans="1:14" x14ac:dyDescent="0.25">
      <c r="A328" t="s">
        <v>2572</v>
      </c>
      <c r="B328" t="s">
        <v>81</v>
      </c>
      <c r="C328" t="s">
        <v>1391</v>
      </c>
      <c r="D328" t="str">
        <f>VLOOKUP(J328,Location[],2,FALSE)</f>
        <v>San Diego</v>
      </c>
      <c r="E328" t="str">
        <f>VLOOKUP(J328,Location[],3,FALSE)</f>
        <v> California</v>
      </c>
      <c r="F328" t="str">
        <f>VLOOKUP(K328,Dept[],2,FALSE)</f>
        <v>Human Resources</v>
      </c>
      <c r="G328" s="11">
        <f t="shared" si="5"/>
        <v>43191</v>
      </c>
      <c r="H328" t="str">
        <f>VLOOKUP(N328,Status[],2,FALSE)</f>
        <v>Full-Time</v>
      </c>
      <c r="J328" s="7">
        <v>1008</v>
      </c>
      <c r="K328">
        <v>16</v>
      </c>
      <c r="L328">
        <v>2018</v>
      </c>
      <c r="M328">
        <v>4</v>
      </c>
      <c r="N328">
        <v>1</v>
      </c>
    </row>
    <row r="329" spans="1:14" x14ac:dyDescent="0.25">
      <c r="A329" t="s">
        <v>2573</v>
      </c>
      <c r="B329" t="s">
        <v>301</v>
      </c>
      <c r="C329" t="s">
        <v>302</v>
      </c>
      <c r="D329" t="str">
        <f>VLOOKUP(J329,Location[],2,FALSE)</f>
        <v>Henderson</v>
      </c>
      <c r="E329" t="str">
        <f>VLOOKUP(J329,Location[],3,FALSE)</f>
        <v> Nevada</v>
      </c>
      <c r="F329" t="str">
        <f>VLOOKUP(K329,Dept[],2,FALSE)</f>
        <v>Administration</v>
      </c>
      <c r="G329" s="11">
        <f t="shared" si="5"/>
        <v>44440</v>
      </c>
      <c r="H329" t="str">
        <f>VLOOKUP(N329,Status[],2,FALSE)</f>
        <v>Full-Time</v>
      </c>
      <c r="J329" s="7">
        <v>1064</v>
      </c>
      <c r="K329">
        <v>12</v>
      </c>
      <c r="L329">
        <v>2021</v>
      </c>
      <c r="M329">
        <v>9</v>
      </c>
      <c r="N329">
        <v>1</v>
      </c>
    </row>
    <row r="330" spans="1:14" x14ac:dyDescent="0.25">
      <c r="A330" t="s">
        <v>2574</v>
      </c>
      <c r="B330" t="s">
        <v>1598</v>
      </c>
      <c r="C330" t="s">
        <v>1135</v>
      </c>
      <c r="D330" t="str">
        <f>VLOOKUP(J330,Location[],2,FALSE)</f>
        <v>Chicago</v>
      </c>
      <c r="E330" t="str">
        <f>VLOOKUP(J330,Location[],3,FALSE)</f>
        <v> Illinois</v>
      </c>
      <c r="F330" t="str">
        <f>VLOOKUP(K330,Dept[],2,FALSE)</f>
        <v>Marketing</v>
      </c>
      <c r="G330" s="11">
        <f t="shared" si="5"/>
        <v>40634</v>
      </c>
      <c r="H330" t="str">
        <f>VLOOKUP(N330,Status[],2,FALSE)</f>
        <v>Full-Time</v>
      </c>
      <c r="J330" s="7">
        <v>1003</v>
      </c>
      <c r="K330">
        <v>19</v>
      </c>
      <c r="L330">
        <v>2011</v>
      </c>
      <c r="M330">
        <v>4</v>
      </c>
      <c r="N330">
        <v>1</v>
      </c>
    </row>
    <row r="331" spans="1:14" x14ac:dyDescent="0.25">
      <c r="A331" t="s">
        <v>2575</v>
      </c>
      <c r="B331" t="s">
        <v>606</v>
      </c>
      <c r="C331" t="s">
        <v>1135</v>
      </c>
      <c r="D331" t="str">
        <f>VLOOKUP(J331,Location[],2,FALSE)</f>
        <v>Los Angeles</v>
      </c>
      <c r="E331" t="str">
        <f>VLOOKUP(J331,Location[],3,FALSE)</f>
        <v> California</v>
      </c>
      <c r="F331" t="str">
        <f>VLOOKUP(K331,Dept[],2,FALSE)</f>
        <v>Customer Support</v>
      </c>
      <c r="G331" s="11">
        <f t="shared" si="5"/>
        <v>42979</v>
      </c>
      <c r="H331" t="str">
        <f>VLOOKUP(N331,Status[],2,FALSE)</f>
        <v>Full-Time</v>
      </c>
      <c r="J331" s="7">
        <v>1002</v>
      </c>
      <c r="K331">
        <v>14</v>
      </c>
      <c r="L331">
        <v>2017</v>
      </c>
      <c r="M331">
        <v>9</v>
      </c>
      <c r="N331">
        <v>1</v>
      </c>
    </row>
    <row r="332" spans="1:14" x14ac:dyDescent="0.25">
      <c r="A332" t="s">
        <v>2576</v>
      </c>
      <c r="B332" t="s">
        <v>690</v>
      </c>
      <c r="C332" t="s">
        <v>1135</v>
      </c>
      <c r="D332" t="str">
        <f>VLOOKUP(J332,Location[],2,FALSE)</f>
        <v>Chula Vista</v>
      </c>
      <c r="E332" t="str">
        <f>VLOOKUP(J332,Location[],3,FALSE)</f>
        <v> California</v>
      </c>
      <c r="F332" t="str">
        <f>VLOOKUP(K332,Dept[],2,FALSE)</f>
        <v>Assessment</v>
      </c>
      <c r="G332" s="11">
        <f t="shared" si="5"/>
        <v>44409</v>
      </c>
      <c r="H332" t="str">
        <f>VLOOKUP(N332,Status[],2,FALSE)</f>
        <v>Full-Time</v>
      </c>
      <c r="J332" s="7">
        <v>1076</v>
      </c>
      <c r="K332">
        <v>13</v>
      </c>
      <c r="L332">
        <v>2021</v>
      </c>
      <c r="M332">
        <v>8</v>
      </c>
      <c r="N332">
        <v>1</v>
      </c>
    </row>
    <row r="333" spans="1:14" x14ac:dyDescent="0.25">
      <c r="A333" t="s">
        <v>2577</v>
      </c>
      <c r="B333" t="s">
        <v>1520</v>
      </c>
      <c r="C333" t="s">
        <v>1135</v>
      </c>
      <c r="D333" t="str">
        <f>VLOOKUP(J333,Location[],2,FALSE)</f>
        <v>Minneapolis</v>
      </c>
      <c r="E333" t="str">
        <f>VLOOKUP(J333,Location[],3,FALSE)</f>
        <v> Minnesota</v>
      </c>
      <c r="F333" t="str">
        <f>VLOOKUP(K333,Dept[],2,FALSE)</f>
        <v>Assessment</v>
      </c>
      <c r="G333" s="11">
        <f t="shared" si="5"/>
        <v>44470</v>
      </c>
      <c r="H333" t="str">
        <f>VLOOKUP(N333,Status[],2,FALSE)</f>
        <v>Part-Time</v>
      </c>
      <c r="J333" s="7">
        <v>1046</v>
      </c>
      <c r="K333">
        <v>13</v>
      </c>
      <c r="L333">
        <v>2021</v>
      </c>
      <c r="M333">
        <v>10</v>
      </c>
      <c r="N333">
        <v>0</v>
      </c>
    </row>
    <row r="334" spans="1:14" x14ac:dyDescent="0.25">
      <c r="A334" t="s">
        <v>2578</v>
      </c>
      <c r="B334" t="s">
        <v>1195</v>
      </c>
      <c r="C334" t="s">
        <v>1444</v>
      </c>
      <c r="D334" t="str">
        <f>VLOOKUP(J334,Location[],2,FALSE)</f>
        <v>Tampa</v>
      </c>
      <c r="E334" t="str">
        <f>VLOOKUP(J334,Location[],3,FALSE)</f>
        <v> Florida</v>
      </c>
      <c r="F334" t="str">
        <f>VLOOKUP(K334,Dept[],2,FALSE)</f>
        <v>Customer Support</v>
      </c>
      <c r="G334" s="11">
        <f t="shared" si="5"/>
        <v>44774</v>
      </c>
      <c r="H334" t="str">
        <f>VLOOKUP(N334,Status[],2,FALSE)</f>
        <v>Full-Time</v>
      </c>
      <c r="J334" s="7">
        <v>1052</v>
      </c>
      <c r="K334">
        <v>14</v>
      </c>
      <c r="L334">
        <v>2022</v>
      </c>
      <c r="M334">
        <v>8</v>
      </c>
      <c r="N334">
        <v>1</v>
      </c>
    </row>
    <row r="335" spans="1:14" x14ac:dyDescent="0.25">
      <c r="A335" t="s">
        <v>2579</v>
      </c>
      <c r="B335" t="s">
        <v>1751</v>
      </c>
      <c r="C335" t="s">
        <v>1752</v>
      </c>
      <c r="D335" t="str">
        <f>VLOOKUP(J335,Location[],2,FALSE)</f>
        <v>Henderson</v>
      </c>
      <c r="E335" t="str">
        <f>VLOOKUP(J335,Location[],3,FALSE)</f>
        <v> Nevada</v>
      </c>
      <c r="F335" t="str">
        <f>VLOOKUP(K335,Dept[],2,FALSE)</f>
        <v>Accounting</v>
      </c>
      <c r="G335" s="11">
        <f t="shared" si="5"/>
        <v>42309</v>
      </c>
      <c r="H335" t="str">
        <f>VLOOKUP(N335,Status[],2,FALSE)</f>
        <v>Full-Time</v>
      </c>
      <c r="J335" s="7">
        <v>1064</v>
      </c>
      <c r="K335">
        <v>11</v>
      </c>
      <c r="L335">
        <v>2015</v>
      </c>
      <c r="M335">
        <v>11</v>
      </c>
      <c r="N335">
        <v>1</v>
      </c>
    </row>
    <row r="336" spans="1:14" x14ac:dyDescent="0.25">
      <c r="A336" t="s">
        <v>2580</v>
      </c>
      <c r="B336" t="s">
        <v>175</v>
      </c>
      <c r="C336" t="s">
        <v>612</v>
      </c>
      <c r="D336" t="str">
        <f>VLOOKUP(J336,Location[],2,FALSE)</f>
        <v>Columbus</v>
      </c>
      <c r="E336" t="str">
        <f>VLOOKUP(J336,Location[],3,FALSE)</f>
        <v> Ohio</v>
      </c>
      <c r="F336" t="str">
        <f>VLOOKUP(K336,Dept[],2,FALSE)</f>
        <v>Accounting</v>
      </c>
      <c r="G336" s="11">
        <f t="shared" si="5"/>
        <v>41730</v>
      </c>
      <c r="H336" t="str">
        <f>VLOOKUP(N336,Status[],2,FALSE)</f>
        <v>Full-Time</v>
      </c>
      <c r="J336" s="7">
        <v>1014</v>
      </c>
      <c r="K336">
        <v>11</v>
      </c>
      <c r="L336">
        <v>2014</v>
      </c>
      <c r="M336">
        <v>4</v>
      </c>
      <c r="N336">
        <v>1</v>
      </c>
    </row>
    <row r="337" spans="1:14" x14ac:dyDescent="0.25">
      <c r="A337" t="s">
        <v>2581</v>
      </c>
      <c r="B337" t="s">
        <v>1063</v>
      </c>
      <c r="C337" t="s">
        <v>1700</v>
      </c>
      <c r="D337" t="str">
        <f>VLOOKUP(J337,Location[],2,FALSE)</f>
        <v>New York City</v>
      </c>
      <c r="E337" t="str">
        <f>VLOOKUP(J337,Location[],3,FALSE)</f>
        <v> New York</v>
      </c>
      <c r="F337" t="str">
        <f>VLOOKUP(K337,Dept[],2,FALSE)</f>
        <v>IT</v>
      </c>
      <c r="G337" s="11">
        <f t="shared" si="5"/>
        <v>41791</v>
      </c>
      <c r="H337" t="str">
        <f>VLOOKUP(N337,Status[],2,FALSE)</f>
        <v>Full-Time</v>
      </c>
      <c r="J337" s="7">
        <v>1001</v>
      </c>
      <c r="K337">
        <v>17</v>
      </c>
      <c r="L337">
        <v>2014</v>
      </c>
      <c r="M337">
        <v>6</v>
      </c>
      <c r="N337">
        <v>1</v>
      </c>
    </row>
    <row r="338" spans="1:14" x14ac:dyDescent="0.25">
      <c r="A338" t="s">
        <v>2582</v>
      </c>
      <c r="B338" t="s">
        <v>1440</v>
      </c>
      <c r="C338" t="s">
        <v>1441</v>
      </c>
      <c r="D338" t="str">
        <f>VLOOKUP(J338,Location[],2,FALSE)</f>
        <v>San Diego</v>
      </c>
      <c r="E338" t="str">
        <f>VLOOKUP(J338,Location[],3,FALSE)</f>
        <v> California</v>
      </c>
      <c r="F338" t="str">
        <f>VLOOKUP(K338,Dept[],2,FALSE)</f>
        <v>Finance</v>
      </c>
      <c r="G338" s="11">
        <f t="shared" si="5"/>
        <v>41365</v>
      </c>
      <c r="H338" t="str">
        <f>VLOOKUP(N338,Status[],2,FALSE)</f>
        <v>Full-Time</v>
      </c>
      <c r="J338" s="7">
        <v>1008</v>
      </c>
      <c r="K338">
        <v>15</v>
      </c>
      <c r="L338">
        <v>2013</v>
      </c>
      <c r="M338">
        <v>4</v>
      </c>
      <c r="N338">
        <v>1</v>
      </c>
    </row>
    <row r="339" spans="1:14" x14ac:dyDescent="0.25">
      <c r="A339" t="s">
        <v>2583</v>
      </c>
      <c r="B339" t="s">
        <v>582</v>
      </c>
      <c r="C339" t="s">
        <v>583</v>
      </c>
      <c r="D339" t="str">
        <f>VLOOKUP(J339,Location[],2,FALSE)</f>
        <v>New York City</v>
      </c>
      <c r="E339" t="str">
        <f>VLOOKUP(J339,Location[],3,FALSE)</f>
        <v> New York</v>
      </c>
      <c r="F339" t="str">
        <f>VLOOKUP(K339,Dept[],2,FALSE)</f>
        <v>R&amp;D</v>
      </c>
      <c r="G339" s="11">
        <f t="shared" si="5"/>
        <v>43221</v>
      </c>
      <c r="H339" t="str">
        <f>VLOOKUP(N339,Status[],2,FALSE)</f>
        <v>Full-Time</v>
      </c>
      <c r="J339" s="7">
        <v>1001</v>
      </c>
      <c r="K339">
        <v>21</v>
      </c>
      <c r="L339">
        <v>2018</v>
      </c>
      <c r="M339">
        <v>5</v>
      </c>
      <c r="N339">
        <v>1</v>
      </c>
    </row>
    <row r="340" spans="1:14" x14ac:dyDescent="0.25">
      <c r="A340" t="s">
        <v>2584</v>
      </c>
      <c r="B340" t="s">
        <v>376</v>
      </c>
      <c r="C340" t="s">
        <v>377</v>
      </c>
      <c r="D340" t="str">
        <f>VLOOKUP(J340,Location[],2,FALSE)</f>
        <v>Los Angeles</v>
      </c>
      <c r="E340" t="str">
        <f>VLOOKUP(J340,Location[],3,FALSE)</f>
        <v> California</v>
      </c>
      <c r="F340" t="str">
        <f>VLOOKUP(K340,Dept[],2,FALSE)</f>
        <v>Assessment</v>
      </c>
      <c r="G340" s="11">
        <f t="shared" si="5"/>
        <v>41730</v>
      </c>
      <c r="H340" t="str">
        <f>VLOOKUP(N340,Status[],2,FALSE)</f>
        <v>Full-Time</v>
      </c>
      <c r="J340" s="7">
        <v>1002</v>
      </c>
      <c r="K340">
        <v>13</v>
      </c>
      <c r="L340">
        <v>2014</v>
      </c>
      <c r="M340">
        <v>4</v>
      </c>
      <c r="N340">
        <v>1</v>
      </c>
    </row>
    <row r="341" spans="1:14" x14ac:dyDescent="0.25">
      <c r="A341" t="s">
        <v>2585</v>
      </c>
      <c r="B341" t="s">
        <v>253</v>
      </c>
      <c r="C341" t="s">
        <v>377</v>
      </c>
      <c r="D341" t="str">
        <f>VLOOKUP(J341,Location[],2,FALSE)</f>
        <v>Oakland</v>
      </c>
      <c r="E341" t="str">
        <f>VLOOKUP(J341,Location[],3,FALSE)</f>
        <v> California</v>
      </c>
      <c r="F341" t="str">
        <f>VLOOKUP(K341,Dept[],2,FALSE)</f>
        <v>Administration</v>
      </c>
      <c r="G341" s="11">
        <f t="shared" si="5"/>
        <v>42795</v>
      </c>
      <c r="H341" t="str">
        <f>VLOOKUP(N341,Status[],2,FALSE)</f>
        <v>Full-Time</v>
      </c>
      <c r="J341" s="7">
        <v>1045</v>
      </c>
      <c r="K341">
        <v>12</v>
      </c>
      <c r="L341">
        <v>2017</v>
      </c>
      <c r="M341">
        <v>3</v>
      </c>
      <c r="N341">
        <v>1</v>
      </c>
    </row>
    <row r="342" spans="1:14" x14ac:dyDescent="0.25">
      <c r="A342" t="s">
        <v>2586</v>
      </c>
      <c r="B342" t="s">
        <v>507</v>
      </c>
      <c r="C342" t="s">
        <v>1881</v>
      </c>
      <c r="D342" t="str">
        <f>VLOOKUP(J342,Location[],2,FALSE)</f>
        <v>Indianapolis</v>
      </c>
      <c r="E342" t="str">
        <f>VLOOKUP(J342,Location[],3,FALSE)</f>
        <v> Indiana</v>
      </c>
      <c r="F342" t="str">
        <f>VLOOKUP(K342,Dept[],2,FALSE)</f>
        <v>Media</v>
      </c>
      <c r="G342" s="11">
        <f t="shared" si="5"/>
        <v>41579</v>
      </c>
      <c r="H342" t="str">
        <f>VLOOKUP(N342,Status[],2,FALSE)</f>
        <v>Part-Time</v>
      </c>
      <c r="J342" s="7">
        <v>1016</v>
      </c>
      <c r="K342">
        <v>20</v>
      </c>
      <c r="L342">
        <v>2013</v>
      </c>
      <c r="M342">
        <v>11</v>
      </c>
      <c r="N342">
        <v>0</v>
      </c>
    </row>
    <row r="343" spans="1:14" x14ac:dyDescent="0.25">
      <c r="A343" t="s">
        <v>2587</v>
      </c>
      <c r="B343" t="s">
        <v>315</v>
      </c>
      <c r="C343" t="s">
        <v>1735</v>
      </c>
      <c r="D343" t="str">
        <f>VLOOKUP(J343,Location[],2,FALSE)</f>
        <v>Philadelphia</v>
      </c>
      <c r="E343" t="str">
        <f>VLOOKUP(J343,Location[],3,FALSE)</f>
        <v> Pennsylvania</v>
      </c>
      <c r="F343" t="str">
        <f>VLOOKUP(K343,Dept[],2,FALSE)</f>
        <v>Legal</v>
      </c>
      <c r="G343" s="11">
        <f t="shared" si="5"/>
        <v>40725</v>
      </c>
      <c r="H343" t="str">
        <f>VLOOKUP(N343,Status[],2,FALSE)</f>
        <v>Full-Time</v>
      </c>
      <c r="J343" s="7">
        <v>1006</v>
      </c>
      <c r="K343">
        <v>18</v>
      </c>
      <c r="L343">
        <v>2011</v>
      </c>
      <c r="M343">
        <v>7</v>
      </c>
      <c r="N343">
        <v>1</v>
      </c>
    </row>
    <row r="344" spans="1:14" x14ac:dyDescent="0.25">
      <c r="A344" t="s">
        <v>2588</v>
      </c>
      <c r="B344" t="s">
        <v>1014</v>
      </c>
      <c r="C344" t="s">
        <v>1837</v>
      </c>
      <c r="D344" t="str">
        <f>VLOOKUP(J344,Location[],2,FALSE)</f>
        <v>Newark</v>
      </c>
      <c r="E344" t="str">
        <f>VLOOKUP(J344,Location[],3,FALSE)</f>
        <v> New Jersey</v>
      </c>
      <c r="F344" t="str">
        <f>VLOOKUP(K344,Dept[],2,FALSE)</f>
        <v>Sales</v>
      </c>
      <c r="G344" s="11">
        <f t="shared" si="5"/>
        <v>45170</v>
      </c>
      <c r="H344" t="str">
        <f>VLOOKUP(N344,Status[],2,FALSE)</f>
        <v>Full-Time</v>
      </c>
      <c r="J344" s="7">
        <v>1070</v>
      </c>
      <c r="K344">
        <v>22</v>
      </c>
      <c r="L344">
        <v>2023</v>
      </c>
      <c r="M344">
        <v>9</v>
      </c>
      <c r="N344">
        <v>1</v>
      </c>
    </row>
    <row r="345" spans="1:14" x14ac:dyDescent="0.25">
      <c r="A345" t="s">
        <v>2589</v>
      </c>
      <c r="B345" t="s">
        <v>788</v>
      </c>
      <c r="C345" t="s">
        <v>789</v>
      </c>
      <c r="D345" t="str">
        <f>VLOOKUP(J345,Location[],2,FALSE)</f>
        <v>Chicago</v>
      </c>
      <c r="E345" t="str">
        <f>VLOOKUP(J345,Location[],3,FALSE)</f>
        <v> Illinois</v>
      </c>
      <c r="F345" t="str">
        <f>VLOOKUP(K345,Dept[],2,FALSE)</f>
        <v>Human Resources</v>
      </c>
      <c r="G345" s="11">
        <f t="shared" si="5"/>
        <v>42125</v>
      </c>
      <c r="H345" t="str">
        <f>VLOOKUP(N345,Status[],2,FALSE)</f>
        <v>Full-Time</v>
      </c>
      <c r="J345" s="7">
        <v>1003</v>
      </c>
      <c r="K345">
        <v>16</v>
      </c>
      <c r="L345">
        <v>2015</v>
      </c>
      <c r="M345">
        <v>5</v>
      </c>
      <c r="N345">
        <v>1</v>
      </c>
    </row>
    <row r="346" spans="1:14" x14ac:dyDescent="0.25">
      <c r="A346" t="s">
        <v>2590</v>
      </c>
      <c r="B346" t="s">
        <v>1103</v>
      </c>
      <c r="C346" t="s">
        <v>1104</v>
      </c>
      <c r="D346" t="str">
        <f>VLOOKUP(J346,Location[],2,FALSE)</f>
        <v>Fort Worth</v>
      </c>
      <c r="E346" t="str">
        <f>VLOOKUP(J346,Location[],3,FALSE)</f>
        <v> Texas</v>
      </c>
      <c r="F346" t="str">
        <f>VLOOKUP(K346,Dept[],2,FALSE)</f>
        <v>Legal</v>
      </c>
      <c r="G346" s="11">
        <f t="shared" si="5"/>
        <v>43800</v>
      </c>
      <c r="H346" t="str">
        <f>VLOOKUP(N346,Status[],2,FALSE)</f>
        <v>Part-Time</v>
      </c>
      <c r="J346" s="7">
        <v>1015</v>
      </c>
      <c r="K346">
        <v>18</v>
      </c>
      <c r="L346">
        <v>2019</v>
      </c>
      <c r="M346">
        <v>12</v>
      </c>
      <c r="N346">
        <v>0</v>
      </c>
    </row>
    <row r="347" spans="1:14" x14ac:dyDescent="0.25">
      <c r="A347" t="s">
        <v>2591</v>
      </c>
      <c r="B347" t="s">
        <v>47</v>
      </c>
      <c r="C347" t="s">
        <v>610</v>
      </c>
      <c r="D347" t="str">
        <f>VLOOKUP(J347,Location[],2,FALSE)</f>
        <v>Chicago</v>
      </c>
      <c r="E347" t="str">
        <f>VLOOKUP(J347,Location[],3,FALSE)</f>
        <v> Illinois</v>
      </c>
      <c r="F347" t="str">
        <f>VLOOKUP(K347,Dept[],2,FALSE)</f>
        <v>Legal</v>
      </c>
      <c r="G347" s="11">
        <f t="shared" si="5"/>
        <v>41974</v>
      </c>
      <c r="H347" t="str">
        <f>VLOOKUP(N347,Status[],2,FALSE)</f>
        <v>Full-Time</v>
      </c>
      <c r="J347" s="7">
        <v>1003</v>
      </c>
      <c r="K347">
        <v>18</v>
      </c>
      <c r="L347">
        <v>2014</v>
      </c>
      <c r="M347">
        <v>12</v>
      </c>
      <c r="N347">
        <v>1</v>
      </c>
    </row>
    <row r="348" spans="1:14" x14ac:dyDescent="0.25">
      <c r="A348" t="s">
        <v>2592</v>
      </c>
      <c r="B348" t="s">
        <v>1683</v>
      </c>
      <c r="C348" t="s">
        <v>610</v>
      </c>
      <c r="D348" t="str">
        <f>VLOOKUP(J348,Location[],2,FALSE)</f>
        <v>San Francisco</v>
      </c>
      <c r="E348" t="str">
        <f>VLOOKUP(J348,Location[],3,FALSE)</f>
        <v> California</v>
      </c>
      <c r="F348" t="str">
        <f>VLOOKUP(K348,Dept[],2,FALSE)</f>
        <v>Media</v>
      </c>
      <c r="G348" s="11">
        <f t="shared" si="5"/>
        <v>44044</v>
      </c>
      <c r="H348" t="str">
        <f>VLOOKUP(N348,Status[],2,FALSE)</f>
        <v>Full-Time</v>
      </c>
      <c r="J348" s="7">
        <v>1013</v>
      </c>
      <c r="K348">
        <v>20</v>
      </c>
      <c r="L348">
        <v>2020</v>
      </c>
      <c r="M348">
        <v>8</v>
      </c>
      <c r="N348">
        <v>1</v>
      </c>
    </row>
    <row r="349" spans="1:14" x14ac:dyDescent="0.25">
      <c r="A349" t="s">
        <v>2593</v>
      </c>
      <c r="B349" t="s">
        <v>1708</v>
      </c>
      <c r="C349" t="s">
        <v>1709</v>
      </c>
      <c r="D349" t="str">
        <f>VLOOKUP(J349,Location[],2,FALSE)</f>
        <v>San Francisco</v>
      </c>
      <c r="E349" t="str">
        <f>VLOOKUP(J349,Location[],3,FALSE)</f>
        <v> California</v>
      </c>
      <c r="F349" t="str">
        <f>VLOOKUP(K349,Dept[],2,FALSE)</f>
        <v>Legal</v>
      </c>
      <c r="G349" s="11">
        <f t="shared" si="5"/>
        <v>41609</v>
      </c>
      <c r="H349" t="str">
        <f>VLOOKUP(N349,Status[],2,FALSE)</f>
        <v>Full-Time</v>
      </c>
      <c r="J349" s="7">
        <v>1013</v>
      </c>
      <c r="K349">
        <v>18</v>
      </c>
      <c r="L349">
        <v>2013</v>
      </c>
      <c r="M349">
        <v>12</v>
      </c>
      <c r="N349">
        <v>1</v>
      </c>
    </row>
    <row r="350" spans="1:14" x14ac:dyDescent="0.25">
      <c r="A350" t="s">
        <v>2594</v>
      </c>
      <c r="B350" t="s">
        <v>15</v>
      </c>
      <c r="C350" t="s">
        <v>257</v>
      </c>
      <c r="D350" t="str">
        <f>VLOOKUP(J350,Location[],2,FALSE)</f>
        <v>New York City</v>
      </c>
      <c r="E350" t="str">
        <f>VLOOKUP(J350,Location[],3,FALSE)</f>
        <v> New York</v>
      </c>
      <c r="F350" t="str">
        <f>VLOOKUP(K350,Dept[],2,FALSE)</f>
        <v>Customer Support</v>
      </c>
      <c r="G350" s="11">
        <f t="shared" si="5"/>
        <v>45047</v>
      </c>
      <c r="H350" t="str">
        <f>VLOOKUP(N350,Status[],2,FALSE)</f>
        <v>Full-Time</v>
      </c>
      <c r="J350" s="7">
        <v>1001</v>
      </c>
      <c r="K350">
        <v>14</v>
      </c>
      <c r="L350">
        <v>2023</v>
      </c>
      <c r="M350">
        <v>5</v>
      </c>
      <c r="N350">
        <v>1</v>
      </c>
    </row>
    <row r="351" spans="1:14" x14ac:dyDescent="0.25">
      <c r="A351" t="s">
        <v>2595</v>
      </c>
      <c r="B351" t="s">
        <v>110</v>
      </c>
      <c r="C351" t="s">
        <v>2071</v>
      </c>
      <c r="D351" t="str">
        <f>VLOOKUP(J351,Location[],2,FALSE)</f>
        <v>New York City</v>
      </c>
      <c r="E351" t="str">
        <f>VLOOKUP(J351,Location[],3,FALSE)</f>
        <v> New York</v>
      </c>
      <c r="F351" t="str">
        <f>VLOOKUP(K351,Dept[],2,FALSE)</f>
        <v>Accounting</v>
      </c>
      <c r="G351" s="11">
        <f t="shared" si="5"/>
        <v>40787</v>
      </c>
      <c r="H351" t="str">
        <f>VLOOKUP(N351,Status[],2,FALSE)</f>
        <v>Part-Time</v>
      </c>
      <c r="J351" s="7">
        <v>1001</v>
      </c>
      <c r="K351">
        <v>11</v>
      </c>
      <c r="L351">
        <v>2011</v>
      </c>
      <c r="M351">
        <v>9</v>
      </c>
      <c r="N351">
        <v>0</v>
      </c>
    </row>
    <row r="352" spans="1:14" x14ac:dyDescent="0.25">
      <c r="A352" t="s">
        <v>2596</v>
      </c>
      <c r="B352" t="s">
        <v>77</v>
      </c>
      <c r="C352" t="s">
        <v>2017</v>
      </c>
      <c r="D352" t="str">
        <f>VLOOKUP(J352,Location[],2,FALSE)</f>
        <v>Norfolk</v>
      </c>
      <c r="E352" t="str">
        <f>VLOOKUP(J352,Location[],3,FALSE)</f>
        <v> Virginia</v>
      </c>
      <c r="F352" t="str">
        <f>VLOOKUP(K352,Dept[],2,FALSE)</f>
        <v>Marketing</v>
      </c>
      <c r="G352" s="11">
        <f t="shared" si="5"/>
        <v>41306</v>
      </c>
      <c r="H352" t="str">
        <f>VLOOKUP(N352,Status[],2,FALSE)</f>
        <v>Part-Time</v>
      </c>
      <c r="J352" s="7">
        <v>1088</v>
      </c>
      <c r="K352">
        <v>19</v>
      </c>
      <c r="L352">
        <v>2013</v>
      </c>
      <c r="M352">
        <v>2</v>
      </c>
      <c r="N352">
        <v>0</v>
      </c>
    </row>
    <row r="353" spans="1:14" x14ac:dyDescent="0.25">
      <c r="A353" t="s">
        <v>2597</v>
      </c>
      <c r="B353" t="s">
        <v>182</v>
      </c>
      <c r="C353" t="s">
        <v>183</v>
      </c>
      <c r="D353" t="str">
        <f>VLOOKUP(J353,Location[],2,FALSE)</f>
        <v>El Paso</v>
      </c>
      <c r="E353" t="str">
        <f>VLOOKUP(J353,Location[],3,FALSE)</f>
        <v> Texas</v>
      </c>
      <c r="F353" t="str">
        <f>VLOOKUP(K353,Dept[],2,FALSE)</f>
        <v>Shipping</v>
      </c>
      <c r="G353" s="11">
        <f t="shared" si="5"/>
        <v>40817</v>
      </c>
      <c r="H353" t="str">
        <f>VLOOKUP(N353,Status[],2,FALSE)</f>
        <v>Full-Time</v>
      </c>
      <c r="J353" s="7">
        <v>1022</v>
      </c>
      <c r="K353">
        <v>23</v>
      </c>
      <c r="L353">
        <v>2011</v>
      </c>
      <c r="M353">
        <v>10</v>
      </c>
      <c r="N353">
        <v>1</v>
      </c>
    </row>
    <row r="354" spans="1:14" x14ac:dyDescent="0.25">
      <c r="A354" t="s">
        <v>2598</v>
      </c>
      <c r="B354" t="s">
        <v>690</v>
      </c>
      <c r="C354" t="s">
        <v>183</v>
      </c>
      <c r="D354" t="str">
        <f>VLOOKUP(J354,Location[],2,FALSE)</f>
        <v>Arlington</v>
      </c>
      <c r="E354" t="str">
        <f>VLOOKUP(J354,Location[],3,FALSE)</f>
        <v> Texas</v>
      </c>
      <c r="F354" t="str">
        <f>VLOOKUP(K354,Dept[],2,FALSE)</f>
        <v>Human Resources</v>
      </c>
      <c r="G354" s="11">
        <f t="shared" si="5"/>
        <v>44713</v>
      </c>
      <c r="H354" t="str">
        <f>VLOOKUP(N354,Status[],2,FALSE)</f>
        <v>Full-Time</v>
      </c>
      <c r="J354" s="7">
        <v>1048</v>
      </c>
      <c r="K354">
        <v>16</v>
      </c>
      <c r="L354">
        <v>2022</v>
      </c>
      <c r="M354">
        <v>6</v>
      </c>
      <c r="N354">
        <v>1</v>
      </c>
    </row>
    <row r="355" spans="1:14" x14ac:dyDescent="0.25">
      <c r="A355" t="s">
        <v>2599</v>
      </c>
      <c r="B355" t="s">
        <v>367</v>
      </c>
      <c r="C355" t="s">
        <v>529</v>
      </c>
      <c r="D355" t="str">
        <f>VLOOKUP(J355,Location[],2,FALSE)</f>
        <v>San Diego</v>
      </c>
      <c r="E355" t="str">
        <f>VLOOKUP(J355,Location[],3,FALSE)</f>
        <v> California</v>
      </c>
      <c r="F355" t="str">
        <f>VLOOKUP(K355,Dept[],2,FALSE)</f>
        <v>Customer Support</v>
      </c>
      <c r="G355" s="11">
        <f t="shared" si="5"/>
        <v>43586</v>
      </c>
      <c r="H355" t="str">
        <f>VLOOKUP(N355,Status[],2,FALSE)</f>
        <v>Full-Time</v>
      </c>
      <c r="J355" s="7">
        <v>1008</v>
      </c>
      <c r="K355">
        <v>14</v>
      </c>
      <c r="L355">
        <v>2019</v>
      </c>
      <c r="M355">
        <v>5</v>
      </c>
      <c r="N355">
        <v>1</v>
      </c>
    </row>
    <row r="356" spans="1:14" x14ac:dyDescent="0.25">
      <c r="A356" t="s">
        <v>2600</v>
      </c>
      <c r="B356" t="s">
        <v>790</v>
      </c>
      <c r="C356" t="s">
        <v>529</v>
      </c>
      <c r="D356" t="str">
        <f>VLOOKUP(J356,Location[],2,FALSE)</f>
        <v>Baltimore</v>
      </c>
      <c r="E356" t="str">
        <f>VLOOKUP(J356,Location[],3,FALSE)</f>
        <v> Maryland</v>
      </c>
      <c r="F356" t="str">
        <f>VLOOKUP(K356,Dept[],2,FALSE)</f>
        <v>Sales</v>
      </c>
      <c r="G356" s="11">
        <f t="shared" si="5"/>
        <v>44197</v>
      </c>
      <c r="H356" t="str">
        <f>VLOOKUP(N356,Status[],2,FALSE)</f>
        <v>Full-Time</v>
      </c>
      <c r="J356" s="7">
        <v>1030</v>
      </c>
      <c r="K356">
        <v>22</v>
      </c>
      <c r="L356">
        <v>2021</v>
      </c>
      <c r="M356">
        <v>1</v>
      </c>
      <c r="N356">
        <v>1</v>
      </c>
    </row>
    <row r="357" spans="1:14" x14ac:dyDescent="0.25">
      <c r="A357" t="s">
        <v>2601</v>
      </c>
      <c r="B357" t="s">
        <v>1368</v>
      </c>
      <c r="C357" t="s">
        <v>529</v>
      </c>
      <c r="D357" t="str">
        <f>VLOOKUP(J357,Location[],2,FALSE)</f>
        <v>New York City</v>
      </c>
      <c r="E357" t="str">
        <f>VLOOKUP(J357,Location[],3,FALSE)</f>
        <v> New York</v>
      </c>
      <c r="F357" t="str">
        <f>VLOOKUP(K357,Dept[],2,FALSE)</f>
        <v>Marketing</v>
      </c>
      <c r="G357" s="11">
        <f t="shared" si="5"/>
        <v>45108</v>
      </c>
      <c r="H357" t="str">
        <f>VLOOKUP(N357,Status[],2,FALSE)</f>
        <v>Full-Time</v>
      </c>
      <c r="J357" s="7">
        <v>1001</v>
      </c>
      <c r="K357">
        <v>19</v>
      </c>
      <c r="L357">
        <v>2023</v>
      </c>
      <c r="M357">
        <v>7</v>
      </c>
      <c r="N357">
        <v>1</v>
      </c>
    </row>
    <row r="358" spans="1:14" x14ac:dyDescent="0.25">
      <c r="A358" t="s">
        <v>2602</v>
      </c>
      <c r="B358" t="s">
        <v>705</v>
      </c>
      <c r="C358" t="s">
        <v>76</v>
      </c>
      <c r="D358" t="str">
        <f>VLOOKUP(J358,Location[],2,FALSE)</f>
        <v>Denver</v>
      </c>
      <c r="E358" t="str">
        <f>VLOOKUP(J358,Location[],3,FALSE)</f>
        <v> Colorado</v>
      </c>
      <c r="F358" t="str">
        <f>VLOOKUP(K358,Dept[],2,FALSE)</f>
        <v>Legal</v>
      </c>
      <c r="G358" s="11">
        <f t="shared" si="5"/>
        <v>42795</v>
      </c>
      <c r="H358" t="str">
        <f>VLOOKUP(N358,Status[],2,FALSE)</f>
        <v>Full-Time</v>
      </c>
      <c r="J358" s="7">
        <v>1019</v>
      </c>
      <c r="K358">
        <v>18</v>
      </c>
      <c r="L358">
        <v>2017</v>
      </c>
      <c r="M358">
        <v>3</v>
      </c>
      <c r="N358">
        <v>1</v>
      </c>
    </row>
    <row r="359" spans="1:14" x14ac:dyDescent="0.25">
      <c r="A359" t="s">
        <v>2603</v>
      </c>
      <c r="B359" t="s">
        <v>75</v>
      </c>
      <c r="C359" t="s">
        <v>76</v>
      </c>
      <c r="D359" t="str">
        <f>VLOOKUP(J359,Location[],2,FALSE)</f>
        <v>Memphis</v>
      </c>
      <c r="E359" t="str">
        <f>VLOOKUP(J359,Location[],3,FALSE)</f>
        <v> Tennessee</v>
      </c>
      <c r="F359" t="str">
        <f>VLOOKUP(K359,Dept[],2,FALSE)</f>
        <v>Finance</v>
      </c>
      <c r="G359" s="11">
        <f t="shared" si="5"/>
        <v>44531</v>
      </c>
      <c r="H359" t="str">
        <f>VLOOKUP(N359,Status[],2,FALSE)</f>
        <v>Full-Time</v>
      </c>
      <c r="J359" s="7">
        <v>1025</v>
      </c>
      <c r="K359">
        <v>15</v>
      </c>
      <c r="L359">
        <v>2021</v>
      </c>
      <c r="M359">
        <v>12</v>
      </c>
      <c r="N359">
        <v>1</v>
      </c>
    </row>
    <row r="360" spans="1:14" x14ac:dyDescent="0.25">
      <c r="A360" t="s">
        <v>2604</v>
      </c>
      <c r="B360" t="s">
        <v>1279</v>
      </c>
      <c r="C360" t="s">
        <v>1421</v>
      </c>
      <c r="D360" t="str">
        <f>VLOOKUP(J360,Location[],2,FALSE)</f>
        <v>Houston</v>
      </c>
      <c r="E360" t="str">
        <f>VLOOKUP(J360,Location[],3,FALSE)</f>
        <v> Texas</v>
      </c>
      <c r="F360" t="str">
        <f>VLOOKUP(K360,Dept[],2,FALSE)</f>
        <v>IT</v>
      </c>
      <c r="G360" s="11">
        <f t="shared" si="5"/>
        <v>41030</v>
      </c>
      <c r="H360" t="str">
        <f>VLOOKUP(N360,Status[],2,FALSE)</f>
        <v>Full-Time</v>
      </c>
      <c r="J360" s="7">
        <v>1004</v>
      </c>
      <c r="K360">
        <v>17</v>
      </c>
      <c r="L360">
        <v>2012</v>
      </c>
      <c r="M360">
        <v>5</v>
      </c>
      <c r="N360">
        <v>1</v>
      </c>
    </row>
    <row r="361" spans="1:14" x14ac:dyDescent="0.25">
      <c r="A361" t="s">
        <v>2605</v>
      </c>
      <c r="B361" t="s">
        <v>427</v>
      </c>
      <c r="C361" t="s">
        <v>1187</v>
      </c>
      <c r="D361" t="str">
        <f>VLOOKUP(J361,Location[],2,FALSE)</f>
        <v>Las Vegas</v>
      </c>
      <c r="E361" t="str">
        <f>VLOOKUP(J361,Location[],3,FALSE)</f>
        <v> Nevada</v>
      </c>
      <c r="F361" t="str">
        <f>VLOOKUP(K361,Dept[],2,FALSE)</f>
        <v>Finance</v>
      </c>
      <c r="G361" s="11">
        <f t="shared" si="5"/>
        <v>43374</v>
      </c>
      <c r="H361" t="str">
        <f>VLOOKUP(N361,Status[],2,FALSE)</f>
        <v>Full-Time</v>
      </c>
      <c r="J361" s="7">
        <v>1028</v>
      </c>
      <c r="K361">
        <v>15</v>
      </c>
      <c r="L361">
        <v>2018</v>
      </c>
      <c r="M361">
        <v>10</v>
      </c>
      <c r="N361">
        <v>1</v>
      </c>
    </row>
    <row r="362" spans="1:14" x14ac:dyDescent="0.25">
      <c r="A362" t="s">
        <v>2606</v>
      </c>
      <c r="B362" t="s">
        <v>347</v>
      </c>
      <c r="C362" t="s">
        <v>1457</v>
      </c>
      <c r="D362" t="str">
        <f>VLOOKUP(J362,Location[],2,FALSE)</f>
        <v>Columbus</v>
      </c>
      <c r="E362" t="str">
        <f>VLOOKUP(J362,Location[],3,FALSE)</f>
        <v> Ohio</v>
      </c>
      <c r="F362" t="str">
        <f>VLOOKUP(K362,Dept[],2,FALSE)</f>
        <v>R&amp;D</v>
      </c>
      <c r="G362" s="11">
        <f t="shared" si="5"/>
        <v>42795</v>
      </c>
      <c r="H362" t="str">
        <f>VLOOKUP(N362,Status[],2,FALSE)</f>
        <v>Part-Time</v>
      </c>
      <c r="J362" s="7">
        <v>1014</v>
      </c>
      <c r="K362">
        <v>21</v>
      </c>
      <c r="L362">
        <v>2017</v>
      </c>
      <c r="M362">
        <v>3</v>
      </c>
      <c r="N362">
        <v>0</v>
      </c>
    </row>
    <row r="363" spans="1:14" x14ac:dyDescent="0.25">
      <c r="A363" t="s">
        <v>2607</v>
      </c>
      <c r="B363" t="s">
        <v>623</v>
      </c>
      <c r="C363" t="s">
        <v>1705</v>
      </c>
      <c r="D363" t="str">
        <f>VLOOKUP(J363,Location[],2,FALSE)</f>
        <v>Fort Worth</v>
      </c>
      <c r="E363" t="str">
        <f>VLOOKUP(J363,Location[],3,FALSE)</f>
        <v> Texas</v>
      </c>
      <c r="F363" t="str">
        <f>VLOOKUP(K363,Dept[],2,FALSE)</f>
        <v>Assessment</v>
      </c>
      <c r="G363" s="11">
        <f t="shared" si="5"/>
        <v>44501</v>
      </c>
      <c r="H363" t="str">
        <f>VLOOKUP(N363,Status[],2,FALSE)</f>
        <v>Full-Time</v>
      </c>
      <c r="J363" s="7">
        <v>1015</v>
      </c>
      <c r="K363">
        <v>13</v>
      </c>
      <c r="L363">
        <v>2021</v>
      </c>
      <c r="M363">
        <v>11</v>
      </c>
      <c r="N363">
        <v>1</v>
      </c>
    </row>
    <row r="364" spans="1:14" x14ac:dyDescent="0.25">
      <c r="A364" t="s">
        <v>2608</v>
      </c>
      <c r="B364" t="s">
        <v>1369</v>
      </c>
      <c r="C364" t="s">
        <v>1886</v>
      </c>
      <c r="D364" t="str">
        <f>VLOOKUP(J364,Location[],2,FALSE)</f>
        <v>Kansas City</v>
      </c>
      <c r="E364" t="str">
        <f>VLOOKUP(J364,Location[],3,FALSE)</f>
        <v> Missouri</v>
      </c>
      <c r="F364" t="str">
        <f>VLOOKUP(K364,Dept[],2,FALSE)</f>
        <v>Human Resources</v>
      </c>
      <c r="G364" s="11">
        <f t="shared" si="5"/>
        <v>41122</v>
      </c>
      <c r="H364" t="str">
        <f>VLOOKUP(N364,Status[],2,FALSE)</f>
        <v>Full-Time</v>
      </c>
      <c r="J364" s="7">
        <v>1037</v>
      </c>
      <c r="K364">
        <v>16</v>
      </c>
      <c r="L364">
        <v>2012</v>
      </c>
      <c r="M364">
        <v>8</v>
      </c>
      <c r="N364">
        <v>1</v>
      </c>
    </row>
    <row r="365" spans="1:14" x14ac:dyDescent="0.25">
      <c r="A365" t="s">
        <v>2609</v>
      </c>
      <c r="B365" t="s">
        <v>482</v>
      </c>
      <c r="C365" t="s">
        <v>1591</v>
      </c>
      <c r="D365" t="str">
        <f>VLOOKUP(J365,Location[],2,FALSE)</f>
        <v>Columbus</v>
      </c>
      <c r="E365" t="str">
        <f>VLOOKUP(J365,Location[],3,FALSE)</f>
        <v> Ohio</v>
      </c>
      <c r="F365" t="str">
        <f>VLOOKUP(K365,Dept[],2,FALSE)</f>
        <v>Sales</v>
      </c>
      <c r="G365" s="11">
        <f t="shared" si="5"/>
        <v>43525</v>
      </c>
      <c r="H365" t="str">
        <f>VLOOKUP(N365,Status[],2,FALSE)</f>
        <v>Full-Time</v>
      </c>
      <c r="J365" s="7">
        <v>1014</v>
      </c>
      <c r="K365">
        <v>22</v>
      </c>
      <c r="L365">
        <v>2019</v>
      </c>
      <c r="M365">
        <v>3</v>
      </c>
      <c r="N365">
        <v>1</v>
      </c>
    </row>
    <row r="366" spans="1:14" x14ac:dyDescent="0.25">
      <c r="A366" t="s">
        <v>2610</v>
      </c>
      <c r="B366" t="s">
        <v>754</v>
      </c>
      <c r="C366" t="s">
        <v>1591</v>
      </c>
      <c r="D366" t="str">
        <f>VLOOKUP(J366,Location[],2,FALSE)</f>
        <v>Miami</v>
      </c>
      <c r="E366" t="str">
        <f>VLOOKUP(J366,Location[],3,FALSE)</f>
        <v> Florida</v>
      </c>
      <c r="F366" t="str">
        <f>VLOOKUP(K366,Dept[],2,FALSE)</f>
        <v>IT</v>
      </c>
      <c r="G366" s="11">
        <f t="shared" si="5"/>
        <v>41183</v>
      </c>
      <c r="H366" t="str">
        <f>VLOOKUP(N366,Status[],2,FALSE)</f>
        <v>Full-Time</v>
      </c>
      <c r="J366" s="7">
        <v>1043</v>
      </c>
      <c r="K366">
        <v>17</v>
      </c>
      <c r="L366">
        <v>2012</v>
      </c>
      <c r="M366">
        <v>10</v>
      </c>
      <c r="N366">
        <v>1</v>
      </c>
    </row>
    <row r="367" spans="1:14" x14ac:dyDescent="0.25">
      <c r="A367" t="s">
        <v>2611</v>
      </c>
      <c r="B367" t="s">
        <v>1966</v>
      </c>
      <c r="C367" t="s">
        <v>1591</v>
      </c>
      <c r="D367" t="str">
        <f>VLOOKUP(J367,Location[],2,FALSE)</f>
        <v>Chicago</v>
      </c>
      <c r="E367" t="str">
        <f>VLOOKUP(J367,Location[],3,FALSE)</f>
        <v> Illinois</v>
      </c>
      <c r="F367" t="str">
        <f>VLOOKUP(K367,Dept[],2,FALSE)</f>
        <v>Sales</v>
      </c>
      <c r="G367" s="11">
        <f t="shared" si="5"/>
        <v>43862</v>
      </c>
      <c r="H367" t="str">
        <f>VLOOKUP(N367,Status[],2,FALSE)</f>
        <v>Part-Time</v>
      </c>
      <c r="J367" s="7">
        <v>1003</v>
      </c>
      <c r="K367">
        <v>22</v>
      </c>
      <c r="L367">
        <v>2020</v>
      </c>
      <c r="M367">
        <v>2</v>
      </c>
      <c r="N367">
        <v>0</v>
      </c>
    </row>
    <row r="368" spans="1:14" x14ac:dyDescent="0.25">
      <c r="A368" t="s">
        <v>2612</v>
      </c>
      <c r="B368" t="s">
        <v>39</v>
      </c>
      <c r="C368" t="s">
        <v>638</v>
      </c>
      <c r="D368" t="str">
        <f>VLOOKUP(J368,Location[],2,FALSE)</f>
        <v>Irvine</v>
      </c>
      <c r="E368" t="str">
        <f>VLOOKUP(J368,Location[],3,FALSE)</f>
        <v> California</v>
      </c>
      <c r="F368" t="str">
        <f>VLOOKUP(K368,Dept[],2,FALSE)</f>
        <v>Sales</v>
      </c>
      <c r="G368" s="11">
        <f t="shared" si="5"/>
        <v>43678</v>
      </c>
      <c r="H368" t="str">
        <f>VLOOKUP(N368,Status[],2,FALSE)</f>
        <v>Full-Time</v>
      </c>
      <c r="J368" s="7">
        <v>1073</v>
      </c>
      <c r="K368">
        <v>22</v>
      </c>
      <c r="L368">
        <v>2019</v>
      </c>
      <c r="M368">
        <v>8</v>
      </c>
      <c r="N368">
        <v>1</v>
      </c>
    </row>
    <row r="369" spans="1:14" x14ac:dyDescent="0.25">
      <c r="A369" t="s">
        <v>2613</v>
      </c>
      <c r="B369" t="s">
        <v>373</v>
      </c>
      <c r="C369" t="s">
        <v>638</v>
      </c>
      <c r="D369" t="str">
        <f>VLOOKUP(J369,Location[],2,FALSE)</f>
        <v>Washington, D.C.</v>
      </c>
      <c r="E369" t="str">
        <f>VLOOKUP(J369,Location[],3,FALSE)</f>
        <v> District of Columbia</v>
      </c>
      <c r="F369" t="str">
        <f>VLOOKUP(K369,Dept[],2,FALSE)</f>
        <v>Legal</v>
      </c>
      <c r="G369" s="11">
        <f t="shared" si="5"/>
        <v>42461</v>
      </c>
      <c r="H369" t="str">
        <f>VLOOKUP(N369,Status[],2,FALSE)</f>
        <v>Full-Time</v>
      </c>
      <c r="J369" s="7">
        <v>1020</v>
      </c>
      <c r="K369">
        <v>18</v>
      </c>
      <c r="L369">
        <v>2016</v>
      </c>
      <c r="M369">
        <v>4</v>
      </c>
      <c r="N369">
        <v>1</v>
      </c>
    </row>
    <row r="370" spans="1:14" x14ac:dyDescent="0.25">
      <c r="A370" t="s">
        <v>2614</v>
      </c>
      <c r="B370" t="s">
        <v>423</v>
      </c>
      <c r="C370" t="s">
        <v>424</v>
      </c>
      <c r="D370" t="str">
        <f>VLOOKUP(J370,Location[],2,FALSE)</f>
        <v>Fresno</v>
      </c>
      <c r="E370" t="str">
        <f>VLOOKUP(J370,Location[],3,FALSE)</f>
        <v> California</v>
      </c>
      <c r="F370" t="str">
        <f>VLOOKUP(K370,Dept[],2,FALSE)</f>
        <v>Marketing</v>
      </c>
      <c r="G370" s="11">
        <f t="shared" si="5"/>
        <v>44044</v>
      </c>
      <c r="H370" t="str">
        <f>VLOOKUP(N370,Status[],2,FALSE)</f>
        <v>Full-Time</v>
      </c>
      <c r="J370" s="7">
        <v>1034</v>
      </c>
      <c r="K370">
        <v>19</v>
      </c>
      <c r="L370">
        <v>2020</v>
      </c>
      <c r="M370">
        <v>8</v>
      </c>
      <c r="N370">
        <v>1</v>
      </c>
    </row>
    <row r="371" spans="1:14" x14ac:dyDescent="0.25">
      <c r="A371" t="s">
        <v>2615</v>
      </c>
      <c r="B371" t="s">
        <v>2077</v>
      </c>
      <c r="C371" t="s">
        <v>2078</v>
      </c>
      <c r="D371" t="str">
        <f>VLOOKUP(J371,Location[],2,FALSE)</f>
        <v>St. Louis</v>
      </c>
      <c r="E371" t="str">
        <f>VLOOKUP(J371,Location[],3,FALSE)</f>
        <v> Missouri</v>
      </c>
      <c r="F371" t="str">
        <f>VLOOKUP(K371,Dept[],2,FALSE)</f>
        <v>Accounting</v>
      </c>
      <c r="G371" s="11">
        <f t="shared" si="5"/>
        <v>45200</v>
      </c>
      <c r="H371" t="str">
        <f>VLOOKUP(N371,Status[],2,FALSE)</f>
        <v>Full-Time</v>
      </c>
      <c r="J371" s="7">
        <v>1062</v>
      </c>
      <c r="K371">
        <v>11</v>
      </c>
      <c r="L371">
        <v>2023</v>
      </c>
      <c r="M371">
        <v>10</v>
      </c>
      <c r="N371">
        <v>1</v>
      </c>
    </row>
    <row r="372" spans="1:14" x14ac:dyDescent="0.25">
      <c r="A372" t="s">
        <v>2616</v>
      </c>
      <c r="B372" t="s">
        <v>79</v>
      </c>
      <c r="C372" t="s">
        <v>80</v>
      </c>
      <c r="D372" t="str">
        <f>VLOOKUP(J372,Location[],2,FALSE)</f>
        <v>Los Angeles</v>
      </c>
      <c r="E372" t="str">
        <f>VLOOKUP(J372,Location[],3,FALSE)</f>
        <v> California</v>
      </c>
      <c r="F372" t="str">
        <f>VLOOKUP(K372,Dept[],2,FALSE)</f>
        <v>Sales</v>
      </c>
      <c r="G372" s="11">
        <f t="shared" si="5"/>
        <v>42064</v>
      </c>
      <c r="H372" t="str">
        <f>VLOOKUP(N372,Status[],2,FALSE)</f>
        <v>Part-Time</v>
      </c>
      <c r="J372" s="7">
        <v>1002</v>
      </c>
      <c r="K372">
        <v>22</v>
      </c>
      <c r="L372">
        <v>2015</v>
      </c>
      <c r="M372">
        <v>3</v>
      </c>
      <c r="N372">
        <v>0</v>
      </c>
    </row>
    <row r="373" spans="1:14" x14ac:dyDescent="0.25">
      <c r="A373" t="s">
        <v>2617</v>
      </c>
      <c r="B373" t="s">
        <v>367</v>
      </c>
      <c r="C373" t="s">
        <v>709</v>
      </c>
      <c r="D373" t="str">
        <f>VLOOKUP(J373,Location[],2,FALSE)</f>
        <v>Jacksonville</v>
      </c>
      <c r="E373" t="str">
        <f>VLOOKUP(J373,Location[],3,FALSE)</f>
        <v> Florida</v>
      </c>
      <c r="F373" t="str">
        <f>VLOOKUP(K373,Dept[],2,FALSE)</f>
        <v>Sales</v>
      </c>
      <c r="G373" s="11">
        <f t="shared" si="5"/>
        <v>42917</v>
      </c>
      <c r="H373" t="str">
        <f>VLOOKUP(N373,Status[],2,FALSE)</f>
        <v>Full-Time</v>
      </c>
      <c r="J373" s="7">
        <v>1012</v>
      </c>
      <c r="K373">
        <v>22</v>
      </c>
      <c r="L373">
        <v>2017</v>
      </c>
      <c r="M373">
        <v>7</v>
      </c>
      <c r="N373">
        <v>1</v>
      </c>
    </row>
    <row r="374" spans="1:14" x14ac:dyDescent="0.25">
      <c r="A374" t="s">
        <v>2618</v>
      </c>
      <c r="B374" t="s">
        <v>331</v>
      </c>
      <c r="C374" t="s">
        <v>332</v>
      </c>
      <c r="D374" t="str">
        <f>VLOOKUP(J374,Location[],2,FALSE)</f>
        <v>Chicago</v>
      </c>
      <c r="E374" t="str">
        <f>VLOOKUP(J374,Location[],3,FALSE)</f>
        <v> Illinois</v>
      </c>
      <c r="F374" t="str">
        <f>VLOOKUP(K374,Dept[],2,FALSE)</f>
        <v>Accounting</v>
      </c>
      <c r="G374" s="11">
        <f t="shared" si="5"/>
        <v>42461</v>
      </c>
      <c r="H374" t="str">
        <f>VLOOKUP(N374,Status[],2,FALSE)</f>
        <v>Part-Time</v>
      </c>
      <c r="J374" s="7">
        <v>1003</v>
      </c>
      <c r="K374">
        <v>11</v>
      </c>
      <c r="L374">
        <v>2016</v>
      </c>
      <c r="M374">
        <v>4</v>
      </c>
      <c r="N374">
        <v>0</v>
      </c>
    </row>
    <row r="375" spans="1:14" x14ac:dyDescent="0.25">
      <c r="A375" t="s">
        <v>2619</v>
      </c>
      <c r="B375" t="s">
        <v>1152</v>
      </c>
      <c r="C375" t="s">
        <v>1153</v>
      </c>
      <c r="D375" t="str">
        <f>VLOOKUP(J375,Location[],2,FALSE)</f>
        <v>Boston</v>
      </c>
      <c r="E375" t="str">
        <f>VLOOKUP(J375,Location[],3,FALSE)</f>
        <v> Massachusetts</v>
      </c>
      <c r="F375" t="str">
        <f>VLOOKUP(K375,Dept[],2,FALSE)</f>
        <v>Administration</v>
      </c>
      <c r="G375" s="11">
        <f t="shared" si="5"/>
        <v>45200</v>
      </c>
      <c r="H375" t="str">
        <f>VLOOKUP(N375,Status[],2,FALSE)</f>
        <v>Full-Time</v>
      </c>
      <c r="J375" s="7">
        <v>1021</v>
      </c>
      <c r="K375">
        <v>12</v>
      </c>
      <c r="L375">
        <v>2023</v>
      </c>
      <c r="M375">
        <v>10</v>
      </c>
      <c r="N375">
        <v>1</v>
      </c>
    </row>
    <row r="376" spans="1:14" x14ac:dyDescent="0.25">
      <c r="A376" t="s">
        <v>2620</v>
      </c>
      <c r="B376" t="s">
        <v>527</v>
      </c>
      <c r="C376" t="s">
        <v>783</v>
      </c>
      <c r="D376" t="str">
        <f>VLOOKUP(J376,Location[],2,FALSE)</f>
        <v>New York City</v>
      </c>
      <c r="E376" t="str">
        <f>VLOOKUP(J376,Location[],3,FALSE)</f>
        <v> New York</v>
      </c>
      <c r="F376" t="str">
        <f>VLOOKUP(K376,Dept[],2,FALSE)</f>
        <v>Finance</v>
      </c>
      <c r="G376" s="11">
        <f t="shared" si="5"/>
        <v>43466</v>
      </c>
      <c r="H376" t="str">
        <f>VLOOKUP(N376,Status[],2,FALSE)</f>
        <v>Full-Time</v>
      </c>
      <c r="J376" s="7">
        <v>1001</v>
      </c>
      <c r="K376">
        <v>15</v>
      </c>
      <c r="L376">
        <v>2019</v>
      </c>
      <c r="M376">
        <v>1</v>
      </c>
      <c r="N376">
        <v>1</v>
      </c>
    </row>
    <row r="377" spans="1:14" x14ac:dyDescent="0.25">
      <c r="A377" t="s">
        <v>2621</v>
      </c>
      <c r="B377" t="s">
        <v>75</v>
      </c>
      <c r="C377" t="s">
        <v>783</v>
      </c>
      <c r="D377" t="str">
        <f>VLOOKUP(J377,Location[],2,FALSE)</f>
        <v>New York City</v>
      </c>
      <c r="E377" t="str">
        <f>VLOOKUP(J377,Location[],3,FALSE)</f>
        <v> New York</v>
      </c>
      <c r="F377" t="str">
        <f>VLOOKUP(K377,Dept[],2,FALSE)</f>
        <v>Shipping</v>
      </c>
      <c r="G377" s="11">
        <f t="shared" si="5"/>
        <v>41030</v>
      </c>
      <c r="H377" t="str">
        <f>VLOOKUP(N377,Status[],2,FALSE)</f>
        <v>Full-Time</v>
      </c>
      <c r="J377" s="7">
        <v>1001</v>
      </c>
      <c r="K377">
        <v>23</v>
      </c>
      <c r="L377">
        <v>2012</v>
      </c>
      <c r="M377">
        <v>5</v>
      </c>
      <c r="N377">
        <v>1</v>
      </c>
    </row>
    <row r="378" spans="1:14" x14ac:dyDescent="0.25">
      <c r="A378" t="s">
        <v>2622</v>
      </c>
      <c r="B378" t="s">
        <v>427</v>
      </c>
      <c r="C378" t="s">
        <v>1081</v>
      </c>
      <c r="D378" t="str">
        <f>VLOOKUP(J378,Location[],2,FALSE)</f>
        <v>New York City</v>
      </c>
      <c r="E378" t="str">
        <f>VLOOKUP(J378,Location[],3,FALSE)</f>
        <v> New York</v>
      </c>
      <c r="F378" t="str">
        <f>VLOOKUP(K378,Dept[],2,FALSE)</f>
        <v>Finance</v>
      </c>
      <c r="G378" s="11">
        <f t="shared" si="5"/>
        <v>40544</v>
      </c>
      <c r="H378" t="str">
        <f>VLOOKUP(N378,Status[],2,FALSE)</f>
        <v>Full-Time</v>
      </c>
      <c r="J378" s="7">
        <v>1001</v>
      </c>
      <c r="K378">
        <v>15</v>
      </c>
      <c r="L378">
        <v>2011</v>
      </c>
      <c r="M378">
        <v>1</v>
      </c>
      <c r="N378">
        <v>1</v>
      </c>
    </row>
    <row r="379" spans="1:14" x14ac:dyDescent="0.25">
      <c r="A379" t="s">
        <v>2623</v>
      </c>
      <c r="B379" t="s">
        <v>718</v>
      </c>
      <c r="C379" t="s">
        <v>719</v>
      </c>
      <c r="D379" t="str">
        <f>VLOOKUP(J379,Location[],2,FALSE)</f>
        <v>Buffalo</v>
      </c>
      <c r="E379" t="str">
        <f>VLOOKUP(J379,Location[],3,FALSE)</f>
        <v> New York</v>
      </c>
      <c r="F379" t="str">
        <f>VLOOKUP(K379,Dept[],2,FALSE)</f>
        <v>Shipping</v>
      </c>
      <c r="G379" s="11">
        <f t="shared" si="5"/>
        <v>42552</v>
      </c>
      <c r="H379" t="str">
        <f>VLOOKUP(N379,Status[],2,FALSE)</f>
        <v>Full-Time</v>
      </c>
      <c r="J379" s="7">
        <v>1081</v>
      </c>
      <c r="K379">
        <v>23</v>
      </c>
      <c r="L379">
        <v>2016</v>
      </c>
      <c r="M379">
        <v>7</v>
      </c>
      <c r="N379">
        <v>1</v>
      </c>
    </row>
    <row r="380" spans="1:14" x14ac:dyDescent="0.25">
      <c r="A380" t="s">
        <v>2624</v>
      </c>
      <c r="B380" t="s">
        <v>159</v>
      </c>
      <c r="C380" t="s">
        <v>1115</v>
      </c>
      <c r="D380" t="str">
        <f>VLOOKUP(J380,Location[],2,FALSE)</f>
        <v>San Diego</v>
      </c>
      <c r="E380" t="str">
        <f>VLOOKUP(J380,Location[],3,FALSE)</f>
        <v> California</v>
      </c>
      <c r="F380" t="str">
        <f>VLOOKUP(K380,Dept[],2,FALSE)</f>
        <v>Sales</v>
      </c>
      <c r="G380" s="11">
        <f t="shared" si="5"/>
        <v>44531</v>
      </c>
      <c r="H380" t="str">
        <f>VLOOKUP(N380,Status[],2,FALSE)</f>
        <v>Full-Time</v>
      </c>
      <c r="J380" s="7">
        <v>1008</v>
      </c>
      <c r="K380">
        <v>22</v>
      </c>
      <c r="L380">
        <v>2021</v>
      </c>
      <c r="M380">
        <v>12</v>
      </c>
      <c r="N380">
        <v>1</v>
      </c>
    </row>
    <row r="381" spans="1:14" x14ac:dyDescent="0.25">
      <c r="A381" t="s">
        <v>2625</v>
      </c>
      <c r="B381" t="s">
        <v>718</v>
      </c>
      <c r="C381" t="s">
        <v>1392</v>
      </c>
      <c r="D381" t="str">
        <f>VLOOKUP(J381,Location[],2,FALSE)</f>
        <v>Seattle</v>
      </c>
      <c r="E381" t="str">
        <f>VLOOKUP(J381,Location[],3,FALSE)</f>
        <v> Washington</v>
      </c>
      <c r="F381" t="str">
        <f>VLOOKUP(K381,Dept[],2,FALSE)</f>
        <v>Finance</v>
      </c>
      <c r="G381" s="11">
        <f t="shared" si="5"/>
        <v>43160</v>
      </c>
      <c r="H381" t="str">
        <f>VLOOKUP(N381,Status[],2,FALSE)</f>
        <v>Full-Time</v>
      </c>
      <c r="J381" s="7">
        <v>1018</v>
      </c>
      <c r="K381">
        <v>15</v>
      </c>
      <c r="L381">
        <v>2018</v>
      </c>
      <c r="M381">
        <v>3</v>
      </c>
      <c r="N381">
        <v>1</v>
      </c>
    </row>
    <row r="382" spans="1:14" x14ac:dyDescent="0.25">
      <c r="A382" t="s">
        <v>2626</v>
      </c>
      <c r="B382" t="s">
        <v>1314</v>
      </c>
      <c r="C382" t="s">
        <v>1315</v>
      </c>
      <c r="D382" t="str">
        <f>VLOOKUP(J382,Location[],2,FALSE)</f>
        <v>New York City</v>
      </c>
      <c r="E382" t="str">
        <f>VLOOKUP(J382,Location[],3,FALSE)</f>
        <v> New York</v>
      </c>
      <c r="F382" t="str">
        <f>VLOOKUP(K382,Dept[],2,FALSE)</f>
        <v>Assessment</v>
      </c>
      <c r="G382" s="11">
        <f t="shared" si="5"/>
        <v>43405</v>
      </c>
      <c r="H382" t="str">
        <f>VLOOKUP(N382,Status[],2,FALSE)</f>
        <v>Full-Time</v>
      </c>
      <c r="J382" s="7">
        <v>1001</v>
      </c>
      <c r="K382">
        <v>13</v>
      </c>
      <c r="L382">
        <v>2018</v>
      </c>
      <c r="M382">
        <v>11</v>
      </c>
      <c r="N382">
        <v>1</v>
      </c>
    </row>
    <row r="383" spans="1:14" x14ac:dyDescent="0.25">
      <c r="A383" t="s">
        <v>2627</v>
      </c>
      <c r="B383" t="s">
        <v>1210</v>
      </c>
      <c r="C383" t="s">
        <v>1315</v>
      </c>
      <c r="D383" t="str">
        <f>VLOOKUP(J383,Location[],2,FALSE)</f>
        <v>Dallas</v>
      </c>
      <c r="E383" t="str">
        <f>VLOOKUP(J383,Location[],3,FALSE)</f>
        <v> Texas</v>
      </c>
      <c r="F383" t="str">
        <f>VLOOKUP(K383,Dept[],2,FALSE)</f>
        <v>Media</v>
      </c>
      <c r="G383" s="11">
        <f t="shared" si="5"/>
        <v>42917</v>
      </c>
      <c r="H383" t="str">
        <f>VLOOKUP(N383,Status[],2,FALSE)</f>
        <v>Full-Time</v>
      </c>
      <c r="J383" s="7">
        <v>1009</v>
      </c>
      <c r="K383">
        <v>20</v>
      </c>
      <c r="L383">
        <v>2017</v>
      </c>
      <c r="M383">
        <v>7</v>
      </c>
      <c r="N383">
        <v>1</v>
      </c>
    </row>
    <row r="384" spans="1:14" x14ac:dyDescent="0.25">
      <c r="A384" t="s">
        <v>2628</v>
      </c>
      <c r="B384" t="s">
        <v>788</v>
      </c>
      <c r="C384" t="s">
        <v>1226</v>
      </c>
      <c r="D384" t="str">
        <f>VLOOKUP(J384,Location[],2,FALSE)</f>
        <v>Cincinnati</v>
      </c>
      <c r="E384" t="str">
        <f>VLOOKUP(J384,Location[],3,FALSE)</f>
        <v> Ohio</v>
      </c>
      <c r="F384" t="str">
        <f>VLOOKUP(K384,Dept[],2,FALSE)</f>
        <v>Human Resources</v>
      </c>
      <c r="G384" s="11">
        <f t="shared" si="5"/>
        <v>41214</v>
      </c>
      <c r="H384" t="str">
        <f>VLOOKUP(N384,Status[],2,FALSE)</f>
        <v>Full-Time</v>
      </c>
      <c r="J384" s="7">
        <v>1066</v>
      </c>
      <c r="K384">
        <v>16</v>
      </c>
      <c r="L384">
        <v>2012</v>
      </c>
      <c r="M384">
        <v>11</v>
      </c>
      <c r="N384">
        <v>1</v>
      </c>
    </row>
    <row r="385" spans="1:14" x14ac:dyDescent="0.25">
      <c r="A385" t="s">
        <v>2629</v>
      </c>
      <c r="B385" t="s">
        <v>131</v>
      </c>
      <c r="C385" t="s">
        <v>1763</v>
      </c>
      <c r="D385" t="str">
        <f>VLOOKUP(J385,Location[],2,FALSE)</f>
        <v>Los Angeles</v>
      </c>
      <c r="E385" t="str">
        <f>VLOOKUP(J385,Location[],3,FALSE)</f>
        <v> California</v>
      </c>
      <c r="F385" t="str">
        <f>VLOOKUP(K385,Dept[],2,FALSE)</f>
        <v>IT</v>
      </c>
      <c r="G385" s="11">
        <f t="shared" si="5"/>
        <v>43040</v>
      </c>
      <c r="H385" t="str">
        <f>VLOOKUP(N385,Status[],2,FALSE)</f>
        <v>Full-Time</v>
      </c>
      <c r="J385" s="7">
        <v>1002</v>
      </c>
      <c r="K385">
        <v>17</v>
      </c>
      <c r="L385">
        <v>2017</v>
      </c>
      <c r="M385">
        <v>11</v>
      </c>
      <c r="N385">
        <v>1</v>
      </c>
    </row>
    <row r="386" spans="1:14" x14ac:dyDescent="0.25">
      <c r="A386" t="s">
        <v>2630</v>
      </c>
      <c r="B386" t="s">
        <v>47</v>
      </c>
      <c r="C386" t="s">
        <v>284</v>
      </c>
      <c r="D386" t="str">
        <f>VLOOKUP(J386,Location[],2,FALSE)</f>
        <v>San Francisco</v>
      </c>
      <c r="E386" t="str">
        <f>VLOOKUP(J386,Location[],3,FALSE)</f>
        <v> California</v>
      </c>
      <c r="F386" t="str">
        <f>VLOOKUP(K386,Dept[],2,FALSE)</f>
        <v>Administration</v>
      </c>
      <c r="G386" s="11">
        <f t="shared" si="5"/>
        <v>41183</v>
      </c>
      <c r="H386" t="str">
        <f>VLOOKUP(N386,Status[],2,FALSE)</f>
        <v>Full-Time</v>
      </c>
      <c r="J386" s="7">
        <v>1013</v>
      </c>
      <c r="K386">
        <v>12</v>
      </c>
      <c r="L386">
        <v>2012</v>
      </c>
      <c r="M386">
        <v>10</v>
      </c>
      <c r="N386">
        <v>1</v>
      </c>
    </row>
    <row r="387" spans="1:14" x14ac:dyDescent="0.25">
      <c r="A387" t="s">
        <v>2631</v>
      </c>
      <c r="B387" t="s">
        <v>89</v>
      </c>
      <c r="C387" t="s">
        <v>284</v>
      </c>
      <c r="D387" t="str">
        <f>VLOOKUP(J387,Location[],2,FALSE)</f>
        <v>Houston</v>
      </c>
      <c r="E387" t="str">
        <f>VLOOKUP(J387,Location[],3,FALSE)</f>
        <v> Texas</v>
      </c>
      <c r="F387" t="str">
        <f>VLOOKUP(K387,Dept[],2,FALSE)</f>
        <v>Finance</v>
      </c>
      <c r="G387" s="11">
        <f t="shared" si="5"/>
        <v>40940</v>
      </c>
      <c r="H387" t="str">
        <f>VLOOKUP(N387,Status[],2,FALSE)</f>
        <v>Part-Time</v>
      </c>
      <c r="J387" s="7">
        <v>1004</v>
      </c>
      <c r="K387">
        <v>15</v>
      </c>
      <c r="L387">
        <v>2012</v>
      </c>
      <c r="M387">
        <v>2</v>
      </c>
      <c r="N387">
        <v>0</v>
      </c>
    </row>
    <row r="388" spans="1:14" x14ac:dyDescent="0.25">
      <c r="A388" t="s">
        <v>2632</v>
      </c>
      <c r="B388" t="s">
        <v>1866</v>
      </c>
      <c r="C388" t="s">
        <v>1867</v>
      </c>
      <c r="D388" t="str">
        <f>VLOOKUP(J388,Location[],2,FALSE)</f>
        <v>Indianapolis</v>
      </c>
      <c r="E388" t="str">
        <f>VLOOKUP(J388,Location[],3,FALSE)</f>
        <v> Indiana</v>
      </c>
      <c r="F388" t="str">
        <f>VLOOKUP(K388,Dept[],2,FALSE)</f>
        <v>Accounting</v>
      </c>
      <c r="G388" s="11">
        <f t="shared" si="5"/>
        <v>44927</v>
      </c>
      <c r="H388" t="str">
        <f>VLOOKUP(N388,Status[],2,FALSE)</f>
        <v>Part-Time</v>
      </c>
      <c r="J388" s="7">
        <v>1016</v>
      </c>
      <c r="K388">
        <v>11</v>
      </c>
      <c r="L388">
        <v>2023</v>
      </c>
      <c r="M388">
        <v>1</v>
      </c>
      <c r="N388">
        <v>0</v>
      </c>
    </row>
    <row r="389" spans="1:14" x14ac:dyDescent="0.25">
      <c r="A389" t="s">
        <v>2633</v>
      </c>
      <c r="B389" t="s">
        <v>326</v>
      </c>
      <c r="C389" t="s">
        <v>712</v>
      </c>
      <c r="D389" t="str">
        <f>VLOOKUP(J389,Location[],2,FALSE)</f>
        <v>Philadelphia</v>
      </c>
      <c r="E389" t="str">
        <f>VLOOKUP(J389,Location[],3,FALSE)</f>
        <v> Pennsylvania</v>
      </c>
      <c r="F389" t="str">
        <f>VLOOKUP(K389,Dept[],2,FALSE)</f>
        <v>Accounting</v>
      </c>
      <c r="G389" s="11">
        <f t="shared" ref="G389:G452" si="6">DATE(L389,M389,1)</f>
        <v>44348</v>
      </c>
      <c r="H389" t="str">
        <f>VLOOKUP(N389,Status[],2,FALSE)</f>
        <v>Full-Time</v>
      </c>
      <c r="J389" s="7">
        <v>1006</v>
      </c>
      <c r="K389">
        <v>11</v>
      </c>
      <c r="L389">
        <v>2021</v>
      </c>
      <c r="M389">
        <v>6</v>
      </c>
      <c r="N389">
        <v>1</v>
      </c>
    </row>
    <row r="390" spans="1:14" x14ac:dyDescent="0.25">
      <c r="A390" t="s">
        <v>2634</v>
      </c>
      <c r="B390" t="s">
        <v>455</v>
      </c>
      <c r="C390" t="s">
        <v>712</v>
      </c>
      <c r="D390" t="str">
        <f>VLOOKUP(J390,Location[],2,FALSE)</f>
        <v>Bakersfield</v>
      </c>
      <c r="E390" t="str">
        <f>VLOOKUP(J390,Location[],3,FALSE)</f>
        <v> California</v>
      </c>
      <c r="F390" t="str">
        <f>VLOOKUP(K390,Dept[],2,FALSE)</f>
        <v>Shipping</v>
      </c>
      <c r="G390" s="11">
        <f t="shared" si="6"/>
        <v>44136</v>
      </c>
      <c r="H390" t="str">
        <f>VLOOKUP(N390,Status[],2,FALSE)</f>
        <v>Full-Time</v>
      </c>
      <c r="J390" s="7">
        <v>1053</v>
      </c>
      <c r="K390">
        <v>23</v>
      </c>
      <c r="L390">
        <v>2020</v>
      </c>
      <c r="M390">
        <v>11</v>
      </c>
      <c r="N390">
        <v>1</v>
      </c>
    </row>
    <row r="391" spans="1:14" x14ac:dyDescent="0.25">
      <c r="A391" t="s">
        <v>2635</v>
      </c>
      <c r="B391" t="s">
        <v>339</v>
      </c>
      <c r="C391" t="s">
        <v>712</v>
      </c>
      <c r="D391" t="str">
        <f>VLOOKUP(J391,Location[],2,FALSE)</f>
        <v>San Antonio</v>
      </c>
      <c r="E391" t="str">
        <f>VLOOKUP(J391,Location[],3,FALSE)</f>
        <v> Texas</v>
      </c>
      <c r="F391" t="str">
        <f>VLOOKUP(K391,Dept[],2,FALSE)</f>
        <v>Accounting</v>
      </c>
      <c r="G391" s="11">
        <f t="shared" si="6"/>
        <v>42461</v>
      </c>
      <c r="H391" t="str">
        <f>VLOOKUP(N391,Status[],2,FALSE)</f>
        <v>Full-Time</v>
      </c>
      <c r="J391" s="7">
        <v>1007</v>
      </c>
      <c r="K391">
        <v>11</v>
      </c>
      <c r="L391">
        <v>2016</v>
      </c>
      <c r="M391">
        <v>4</v>
      </c>
      <c r="N391">
        <v>1</v>
      </c>
    </row>
    <row r="392" spans="1:14" x14ac:dyDescent="0.25">
      <c r="A392" t="s">
        <v>2636</v>
      </c>
      <c r="B392" t="s">
        <v>47</v>
      </c>
      <c r="C392" t="s">
        <v>712</v>
      </c>
      <c r="D392" t="str">
        <f>VLOOKUP(J392,Location[],2,FALSE)</f>
        <v>Seattle</v>
      </c>
      <c r="E392" t="str">
        <f>VLOOKUP(J392,Location[],3,FALSE)</f>
        <v> Washington</v>
      </c>
      <c r="F392" t="str">
        <f>VLOOKUP(K392,Dept[],2,FALSE)</f>
        <v>Administration</v>
      </c>
      <c r="G392" s="11">
        <f t="shared" si="6"/>
        <v>41518</v>
      </c>
      <c r="H392" t="str">
        <f>VLOOKUP(N392,Status[],2,FALSE)</f>
        <v>Full-Time</v>
      </c>
      <c r="J392" s="7">
        <v>1018</v>
      </c>
      <c r="K392">
        <v>12</v>
      </c>
      <c r="L392">
        <v>2013</v>
      </c>
      <c r="M392">
        <v>9</v>
      </c>
      <c r="N392">
        <v>1</v>
      </c>
    </row>
    <row r="393" spans="1:14" x14ac:dyDescent="0.25">
      <c r="A393" t="s">
        <v>2637</v>
      </c>
      <c r="B393" t="s">
        <v>379</v>
      </c>
      <c r="C393" t="s">
        <v>968</v>
      </c>
      <c r="D393" t="str">
        <f>VLOOKUP(J393,Location[],2,FALSE)</f>
        <v>Wichita</v>
      </c>
      <c r="E393" t="str">
        <f>VLOOKUP(J393,Location[],3,FALSE)</f>
        <v> Kansas</v>
      </c>
      <c r="F393" t="str">
        <f>VLOOKUP(K393,Dept[],2,FALSE)</f>
        <v>Media</v>
      </c>
      <c r="G393" s="11">
        <f t="shared" si="6"/>
        <v>41699</v>
      </c>
      <c r="H393" t="str">
        <f>VLOOKUP(N393,Status[],2,FALSE)</f>
        <v>Full-Time</v>
      </c>
      <c r="J393" s="7">
        <v>1050</v>
      </c>
      <c r="K393">
        <v>20</v>
      </c>
      <c r="L393">
        <v>2014</v>
      </c>
      <c r="M393">
        <v>3</v>
      </c>
      <c r="N393">
        <v>1</v>
      </c>
    </row>
    <row r="394" spans="1:14" x14ac:dyDescent="0.25">
      <c r="A394" t="s">
        <v>2638</v>
      </c>
      <c r="B394" t="s">
        <v>339</v>
      </c>
      <c r="C394" t="s">
        <v>1609</v>
      </c>
      <c r="D394" t="str">
        <f>VLOOKUP(J394,Location[],2,FALSE)</f>
        <v>Charlotte</v>
      </c>
      <c r="E394" t="str">
        <f>VLOOKUP(J394,Location[],3,FALSE)</f>
        <v> North Carolina</v>
      </c>
      <c r="F394" t="str">
        <f>VLOOKUP(K394,Dept[],2,FALSE)</f>
        <v>Media</v>
      </c>
      <c r="G394" s="11">
        <f t="shared" si="6"/>
        <v>41760</v>
      </c>
      <c r="H394" t="str">
        <f>VLOOKUP(N394,Status[],2,FALSE)</f>
        <v>Full-Time</v>
      </c>
      <c r="J394" s="7">
        <v>1017</v>
      </c>
      <c r="K394">
        <v>20</v>
      </c>
      <c r="L394">
        <v>2014</v>
      </c>
      <c r="M394">
        <v>5</v>
      </c>
      <c r="N394">
        <v>1</v>
      </c>
    </row>
    <row r="395" spans="1:14" x14ac:dyDescent="0.25">
      <c r="A395" t="s">
        <v>2639</v>
      </c>
      <c r="B395" t="s">
        <v>367</v>
      </c>
      <c r="C395" t="s">
        <v>953</v>
      </c>
      <c r="D395" t="str">
        <f>VLOOKUP(J395,Location[],2,FALSE)</f>
        <v>Indianapolis</v>
      </c>
      <c r="E395" t="str">
        <f>VLOOKUP(J395,Location[],3,FALSE)</f>
        <v> Indiana</v>
      </c>
      <c r="F395" t="str">
        <f>VLOOKUP(K395,Dept[],2,FALSE)</f>
        <v>Human Resources</v>
      </c>
      <c r="G395" s="11">
        <f t="shared" si="6"/>
        <v>40909</v>
      </c>
      <c r="H395" t="str">
        <f>VLOOKUP(N395,Status[],2,FALSE)</f>
        <v>Full-Time</v>
      </c>
      <c r="J395" s="7">
        <v>1016</v>
      </c>
      <c r="K395">
        <v>16</v>
      </c>
      <c r="L395">
        <v>2012</v>
      </c>
      <c r="M395">
        <v>1</v>
      </c>
      <c r="N395">
        <v>1</v>
      </c>
    </row>
    <row r="396" spans="1:14" x14ac:dyDescent="0.25">
      <c r="A396" t="s">
        <v>2640</v>
      </c>
      <c r="B396" t="s">
        <v>507</v>
      </c>
      <c r="C396" t="s">
        <v>1732</v>
      </c>
      <c r="D396" t="str">
        <f>VLOOKUP(J396,Location[],2,FALSE)</f>
        <v>New York City</v>
      </c>
      <c r="E396" t="str">
        <f>VLOOKUP(J396,Location[],3,FALSE)</f>
        <v> New York</v>
      </c>
      <c r="F396" t="str">
        <f>VLOOKUP(K396,Dept[],2,FALSE)</f>
        <v>Finance</v>
      </c>
      <c r="G396" s="11">
        <f t="shared" si="6"/>
        <v>40848</v>
      </c>
      <c r="H396" t="str">
        <f>VLOOKUP(N396,Status[],2,FALSE)</f>
        <v>Full-Time</v>
      </c>
      <c r="J396" s="7">
        <v>1001</v>
      </c>
      <c r="K396">
        <v>15</v>
      </c>
      <c r="L396">
        <v>2011</v>
      </c>
      <c r="M396">
        <v>11</v>
      </c>
      <c r="N396">
        <v>1</v>
      </c>
    </row>
    <row r="397" spans="1:14" x14ac:dyDescent="0.25">
      <c r="A397" t="s">
        <v>2641</v>
      </c>
      <c r="B397" t="s">
        <v>15</v>
      </c>
      <c r="C397" t="s">
        <v>16</v>
      </c>
      <c r="D397" t="str">
        <f>VLOOKUP(J397,Location[],2,FALSE)</f>
        <v>New York City</v>
      </c>
      <c r="E397" t="str">
        <f>VLOOKUP(J397,Location[],3,FALSE)</f>
        <v> New York</v>
      </c>
      <c r="F397" t="str">
        <f>VLOOKUP(K397,Dept[],2,FALSE)</f>
        <v>Accounting</v>
      </c>
      <c r="G397" s="11">
        <f t="shared" si="6"/>
        <v>44409</v>
      </c>
      <c r="H397" t="str">
        <f>VLOOKUP(N397,Status[],2,FALSE)</f>
        <v>Full-Time</v>
      </c>
      <c r="J397" s="7">
        <v>1001</v>
      </c>
      <c r="K397">
        <v>11</v>
      </c>
      <c r="L397">
        <v>2021</v>
      </c>
      <c r="M397">
        <v>8</v>
      </c>
      <c r="N397">
        <v>1</v>
      </c>
    </row>
    <row r="398" spans="1:14" x14ac:dyDescent="0.25">
      <c r="A398" t="s">
        <v>2642</v>
      </c>
      <c r="B398" t="s">
        <v>261</v>
      </c>
      <c r="C398" t="s">
        <v>16</v>
      </c>
      <c r="D398" t="str">
        <f>VLOOKUP(J398,Location[],2,FALSE)</f>
        <v>Las Vegas</v>
      </c>
      <c r="E398" t="str">
        <f>VLOOKUP(J398,Location[],3,FALSE)</f>
        <v> Nevada</v>
      </c>
      <c r="F398" t="str">
        <f>VLOOKUP(K398,Dept[],2,FALSE)</f>
        <v>IT</v>
      </c>
      <c r="G398" s="11">
        <f t="shared" si="6"/>
        <v>41852</v>
      </c>
      <c r="H398" t="str">
        <f>VLOOKUP(N398,Status[],2,FALSE)</f>
        <v>Full-Time</v>
      </c>
      <c r="J398" s="7">
        <v>1028</v>
      </c>
      <c r="K398">
        <v>17</v>
      </c>
      <c r="L398">
        <v>2014</v>
      </c>
      <c r="M398">
        <v>8</v>
      </c>
      <c r="N398">
        <v>1</v>
      </c>
    </row>
    <row r="399" spans="1:14" x14ac:dyDescent="0.25">
      <c r="A399" t="s">
        <v>2643</v>
      </c>
      <c r="B399" t="s">
        <v>198</v>
      </c>
      <c r="C399" t="s">
        <v>199</v>
      </c>
      <c r="D399" t="str">
        <f>VLOOKUP(J399,Location[],2,FALSE)</f>
        <v>Laredo</v>
      </c>
      <c r="E399" t="str">
        <f>VLOOKUP(J399,Location[],3,FALSE)</f>
        <v> Texas</v>
      </c>
      <c r="F399" t="str">
        <f>VLOOKUP(K399,Dept[],2,FALSE)</f>
        <v>Sales</v>
      </c>
      <c r="G399" s="11">
        <f t="shared" si="6"/>
        <v>44682</v>
      </c>
      <c r="H399" t="str">
        <f>VLOOKUP(N399,Status[],2,FALSE)</f>
        <v>Full-Time</v>
      </c>
      <c r="J399" s="7">
        <v>1080</v>
      </c>
      <c r="K399">
        <v>22</v>
      </c>
      <c r="L399">
        <v>2022</v>
      </c>
      <c r="M399">
        <v>5</v>
      </c>
      <c r="N399">
        <v>1</v>
      </c>
    </row>
    <row r="400" spans="1:14" x14ac:dyDescent="0.25">
      <c r="A400" t="s">
        <v>2644</v>
      </c>
      <c r="B400" t="s">
        <v>190</v>
      </c>
      <c r="C400" t="s">
        <v>199</v>
      </c>
      <c r="D400" t="str">
        <f>VLOOKUP(J400,Location[],2,FALSE)</f>
        <v>Philadelphia</v>
      </c>
      <c r="E400" t="str">
        <f>VLOOKUP(J400,Location[],3,FALSE)</f>
        <v> Pennsylvania</v>
      </c>
      <c r="F400" t="str">
        <f>VLOOKUP(K400,Dept[],2,FALSE)</f>
        <v>Administration</v>
      </c>
      <c r="G400" s="11">
        <f t="shared" si="6"/>
        <v>44652</v>
      </c>
      <c r="H400" t="str">
        <f>VLOOKUP(N400,Status[],2,FALSE)</f>
        <v>Full-Time</v>
      </c>
      <c r="J400" s="7">
        <v>1006</v>
      </c>
      <c r="K400">
        <v>12</v>
      </c>
      <c r="L400">
        <v>2022</v>
      </c>
      <c r="M400">
        <v>4</v>
      </c>
      <c r="N400">
        <v>1</v>
      </c>
    </row>
    <row r="401" spans="1:14" x14ac:dyDescent="0.25">
      <c r="A401" t="s">
        <v>2645</v>
      </c>
      <c r="B401" t="s">
        <v>531</v>
      </c>
      <c r="C401" t="s">
        <v>199</v>
      </c>
      <c r="D401" t="str">
        <f>VLOOKUP(J401,Location[],2,FALSE)</f>
        <v>Lincoln</v>
      </c>
      <c r="E401" t="str">
        <f>VLOOKUP(J401,Location[],3,FALSE)</f>
        <v> Nebraska</v>
      </c>
      <c r="F401" t="str">
        <f>VLOOKUP(K401,Dept[],2,FALSE)</f>
        <v>Administration</v>
      </c>
      <c r="G401" s="11">
        <f t="shared" si="6"/>
        <v>44044</v>
      </c>
      <c r="H401" t="str">
        <f>VLOOKUP(N401,Status[],2,FALSE)</f>
        <v>Full-Time</v>
      </c>
      <c r="J401" s="7">
        <v>1071</v>
      </c>
      <c r="K401">
        <v>12</v>
      </c>
      <c r="L401">
        <v>2020</v>
      </c>
      <c r="M401">
        <v>8</v>
      </c>
      <c r="N401">
        <v>1</v>
      </c>
    </row>
    <row r="402" spans="1:14" x14ac:dyDescent="0.25">
      <c r="A402" t="s">
        <v>2646</v>
      </c>
      <c r="B402" t="s">
        <v>83</v>
      </c>
      <c r="C402" t="s">
        <v>199</v>
      </c>
      <c r="D402" t="str">
        <f>VLOOKUP(J402,Location[],2,FALSE)</f>
        <v>Reno</v>
      </c>
      <c r="E402" t="str">
        <f>VLOOKUP(J402,Location[],3,FALSE)</f>
        <v> Nevada</v>
      </c>
      <c r="F402" t="str">
        <f>VLOOKUP(K402,Dept[],2,FALSE)</f>
        <v>Administration</v>
      </c>
      <c r="G402" s="11">
        <f t="shared" si="6"/>
        <v>41760</v>
      </c>
      <c r="H402" t="str">
        <f>VLOOKUP(N402,Status[],2,FALSE)</f>
        <v>Full-Time</v>
      </c>
      <c r="J402" s="7">
        <v>1086</v>
      </c>
      <c r="K402">
        <v>12</v>
      </c>
      <c r="L402">
        <v>2014</v>
      </c>
      <c r="M402">
        <v>5</v>
      </c>
      <c r="N402">
        <v>1</v>
      </c>
    </row>
    <row r="403" spans="1:14" x14ac:dyDescent="0.25">
      <c r="A403" t="s">
        <v>2647</v>
      </c>
      <c r="B403" t="s">
        <v>1126</v>
      </c>
      <c r="C403" t="s">
        <v>1127</v>
      </c>
      <c r="D403" t="str">
        <f>VLOOKUP(J403,Location[],2,FALSE)</f>
        <v>El Paso</v>
      </c>
      <c r="E403" t="str">
        <f>VLOOKUP(J403,Location[],3,FALSE)</f>
        <v> Texas</v>
      </c>
      <c r="F403" t="str">
        <f>VLOOKUP(K403,Dept[],2,FALSE)</f>
        <v>IT</v>
      </c>
      <c r="G403" s="11">
        <f t="shared" si="6"/>
        <v>41306</v>
      </c>
      <c r="H403" t="str">
        <f>VLOOKUP(N403,Status[],2,FALSE)</f>
        <v>Part-Time</v>
      </c>
      <c r="J403" s="7">
        <v>1022</v>
      </c>
      <c r="K403">
        <v>17</v>
      </c>
      <c r="L403">
        <v>2013</v>
      </c>
      <c r="M403">
        <v>2</v>
      </c>
      <c r="N403">
        <v>0</v>
      </c>
    </row>
    <row r="404" spans="1:14" x14ac:dyDescent="0.25">
      <c r="A404" t="s">
        <v>2648</v>
      </c>
      <c r="B404" t="s">
        <v>205</v>
      </c>
      <c r="C404" t="s">
        <v>409</v>
      </c>
      <c r="D404" t="str">
        <f>VLOOKUP(J404,Location[],2,FALSE)</f>
        <v>Tucson</v>
      </c>
      <c r="E404" t="str">
        <f>VLOOKUP(J404,Location[],3,FALSE)</f>
        <v> Arizona</v>
      </c>
      <c r="F404" t="str">
        <f>VLOOKUP(K404,Dept[],2,FALSE)</f>
        <v>Administration</v>
      </c>
      <c r="G404" s="11">
        <f t="shared" si="6"/>
        <v>41518</v>
      </c>
      <c r="H404" t="str">
        <f>VLOOKUP(N404,Status[],2,FALSE)</f>
        <v>Full-Time</v>
      </c>
      <c r="J404" s="7">
        <v>1033</v>
      </c>
      <c r="K404">
        <v>12</v>
      </c>
      <c r="L404">
        <v>2013</v>
      </c>
      <c r="M404">
        <v>9</v>
      </c>
      <c r="N404">
        <v>1</v>
      </c>
    </row>
    <row r="405" spans="1:14" x14ac:dyDescent="0.25">
      <c r="A405" t="s">
        <v>2649</v>
      </c>
      <c r="B405" t="s">
        <v>1292</v>
      </c>
      <c r="C405" t="s">
        <v>1293</v>
      </c>
      <c r="D405" t="str">
        <f>VLOOKUP(J405,Location[],2,FALSE)</f>
        <v>Chicago</v>
      </c>
      <c r="E405" t="str">
        <f>VLOOKUP(J405,Location[],3,FALSE)</f>
        <v> Illinois</v>
      </c>
      <c r="F405" t="str">
        <f>VLOOKUP(K405,Dept[],2,FALSE)</f>
        <v>Customer Support</v>
      </c>
      <c r="G405" s="11">
        <f t="shared" si="6"/>
        <v>43466</v>
      </c>
      <c r="H405" t="str">
        <f>VLOOKUP(N405,Status[],2,FALSE)</f>
        <v>Part-Time</v>
      </c>
      <c r="J405" s="7">
        <v>1003</v>
      </c>
      <c r="K405">
        <v>14</v>
      </c>
      <c r="L405">
        <v>2019</v>
      </c>
      <c r="M405">
        <v>1</v>
      </c>
      <c r="N405">
        <v>0</v>
      </c>
    </row>
    <row r="406" spans="1:14" x14ac:dyDescent="0.25">
      <c r="A406" t="s">
        <v>2650</v>
      </c>
      <c r="B406" t="s">
        <v>1297</v>
      </c>
      <c r="C406" t="s">
        <v>1556</v>
      </c>
      <c r="D406" t="str">
        <f>VLOOKUP(J406,Location[],2,FALSE)</f>
        <v>Miami</v>
      </c>
      <c r="E406" t="str">
        <f>VLOOKUP(J406,Location[],3,FALSE)</f>
        <v> Florida</v>
      </c>
      <c r="F406" t="str">
        <f>VLOOKUP(K406,Dept[],2,FALSE)</f>
        <v>Accounting</v>
      </c>
      <c r="G406" s="11">
        <f t="shared" si="6"/>
        <v>43983</v>
      </c>
      <c r="H406" t="str">
        <f>VLOOKUP(N406,Status[],2,FALSE)</f>
        <v>Full-Time</v>
      </c>
      <c r="J406" s="7">
        <v>1043</v>
      </c>
      <c r="K406">
        <v>11</v>
      </c>
      <c r="L406">
        <v>2020</v>
      </c>
      <c r="M406">
        <v>6</v>
      </c>
      <c r="N406">
        <v>1</v>
      </c>
    </row>
    <row r="407" spans="1:14" x14ac:dyDescent="0.25">
      <c r="A407" t="s">
        <v>2651</v>
      </c>
      <c r="B407" t="s">
        <v>1531</v>
      </c>
      <c r="C407" t="s">
        <v>1532</v>
      </c>
      <c r="D407" t="str">
        <f>VLOOKUP(J407,Location[],2,FALSE)</f>
        <v>Greensboro</v>
      </c>
      <c r="E407" t="str">
        <f>VLOOKUP(J407,Location[],3,FALSE)</f>
        <v> North Carolina</v>
      </c>
      <c r="F407" t="str">
        <f>VLOOKUP(K407,Dept[],2,FALSE)</f>
        <v>Legal</v>
      </c>
      <c r="G407" s="11">
        <f t="shared" si="6"/>
        <v>41852</v>
      </c>
      <c r="H407" t="str">
        <f>VLOOKUP(N407,Status[],2,FALSE)</f>
        <v>Full-Time</v>
      </c>
      <c r="J407" s="7">
        <v>1068</v>
      </c>
      <c r="K407">
        <v>18</v>
      </c>
      <c r="L407">
        <v>2014</v>
      </c>
      <c r="M407">
        <v>8</v>
      </c>
      <c r="N407">
        <v>1</v>
      </c>
    </row>
    <row r="408" spans="1:14" x14ac:dyDescent="0.25">
      <c r="A408" t="s">
        <v>2652</v>
      </c>
      <c r="B408" t="s">
        <v>35</v>
      </c>
      <c r="C408" t="s">
        <v>1331</v>
      </c>
      <c r="D408" t="str">
        <f>VLOOKUP(J408,Location[],2,FALSE)</f>
        <v>Portland</v>
      </c>
      <c r="E408" t="str">
        <f>VLOOKUP(J408,Location[],3,FALSE)</f>
        <v> Oregon</v>
      </c>
      <c r="F408" t="str">
        <f>VLOOKUP(K408,Dept[],2,FALSE)</f>
        <v>Customer Support</v>
      </c>
      <c r="G408" s="11">
        <f t="shared" si="6"/>
        <v>45139</v>
      </c>
      <c r="H408" t="str">
        <f>VLOOKUP(N408,Status[],2,FALSE)</f>
        <v>Full-Time</v>
      </c>
      <c r="J408" s="7">
        <v>1026</v>
      </c>
      <c r="K408">
        <v>14</v>
      </c>
      <c r="L408">
        <v>2023</v>
      </c>
      <c r="M408">
        <v>8</v>
      </c>
      <c r="N408">
        <v>1</v>
      </c>
    </row>
    <row r="409" spans="1:14" x14ac:dyDescent="0.25">
      <c r="A409" t="s">
        <v>2653</v>
      </c>
      <c r="B409" t="s">
        <v>85</v>
      </c>
      <c r="C409" t="s">
        <v>86</v>
      </c>
      <c r="D409" t="str">
        <f>VLOOKUP(J409,Location[],2,FALSE)</f>
        <v>Cincinnati</v>
      </c>
      <c r="E409" t="str">
        <f>VLOOKUP(J409,Location[],3,FALSE)</f>
        <v> Ohio</v>
      </c>
      <c r="F409" t="str">
        <f>VLOOKUP(K409,Dept[],2,FALSE)</f>
        <v>Human Resources</v>
      </c>
      <c r="G409" s="11">
        <f t="shared" si="6"/>
        <v>43132</v>
      </c>
      <c r="H409" t="str">
        <f>VLOOKUP(N409,Status[],2,FALSE)</f>
        <v>Full-Time</v>
      </c>
      <c r="J409" s="7">
        <v>1066</v>
      </c>
      <c r="K409">
        <v>16</v>
      </c>
      <c r="L409">
        <v>2018</v>
      </c>
      <c r="M409">
        <v>2</v>
      </c>
      <c r="N409">
        <v>1</v>
      </c>
    </row>
    <row r="410" spans="1:14" x14ac:dyDescent="0.25">
      <c r="A410" t="s">
        <v>2654</v>
      </c>
      <c r="B410" t="s">
        <v>936</v>
      </c>
      <c r="C410" t="s">
        <v>937</v>
      </c>
      <c r="D410" t="str">
        <f>VLOOKUP(J410,Location[],2,FALSE)</f>
        <v>Columbus</v>
      </c>
      <c r="E410" t="str">
        <f>VLOOKUP(J410,Location[],3,FALSE)</f>
        <v> Ohio</v>
      </c>
      <c r="F410" t="str">
        <f>VLOOKUP(K410,Dept[],2,FALSE)</f>
        <v>Customer Support</v>
      </c>
      <c r="G410" s="11">
        <f t="shared" si="6"/>
        <v>44501</v>
      </c>
      <c r="H410" t="str">
        <f>VLOOKUP(N410,Status[],2,FALSE)</f>
        <v>Full-Time</v>
      </c>
      <c r="J410" s="7">
        <v>1014</v>
      </c>
      <c r="K410">
        <v>14</v>
      </c>
      <c r="L410">
        <v>2021</v>
      </c>
      <c r="M410">
        <v>11</v>
      </c>
      <c r="N410">
        <v>1</v>
      </c>
    </row>
    <row r="411" spans="1:14" x14ac:dyDescent="0.25">
      <c r="A411" t="s">
        <v>2655</v>
      </c>
      <c r="B411" t="s">
        <v>1197</v>
      </c>
      <c r="C411" t="s">
        <v>1198</v>
      </c>
      <c r="D411" t="str">
        <f>VLOOKUP(J411,Location[],2,FALSE)</f>
        <v>Detroit</v>
      </c>
      <c r="E411" t="str">
        <f>VLOOKUP(J411,Location[],3,FALSE)</f>
        <v> Michigan</v>
      </c>
      <c r="F411" t="str">
        <f>VLOOKUP(K411,Dept[],2,FALSE)</f>
        <v>Finance</v>
      </c>
      <c r="G411" s="11">
        <f t="shared" si="6"/>
        <v>44896</v>
      </c>
      <c r="H411" t="str">
        <f>VLOOKUP(N411,Status[],2,FALSE)</f>
        <v>Full-Time</v>
      </c>
      <c r="J411" s="7">
        <v>1023</v>
      </c>
      <c r="K411">
        <v>15</v>
      </c>
      <c r="L411">
        <v>2022</v>
      </c>
      <c r="M411">
        <v>12</v>
      </c>
      <c r="N411">
        <v>1</v>
      </c>
    </row>
    <row r="412" spans="1:14" x14ac:dyDescent="0.25">
      <c r="A412" t="s">
        <v>2656</v>
      </c>
      <c r="B412" t="s">
        <v>1996</v>
      </c>
      <c r="C412" t="s">
        <v>1997</v>
      </c>
      <c r="D412" t="str">
        <f>VLOOKUP(J412,Location[],2,FALSE)</f>
        <v>New York City</v>
      </c>
      <c r="E412" t="str">
        <f>VLOOKUP(J412,Location[],3,FALSE)</f>
        <v> New York</v>
      </c>
      <c r="F412" t="str">
        <f>VLOOKUP(K412,Dept[],2,FALSE)</f>
        <v>Sales</v>
      </c>
      <c r="G412" s="11">
        <f t="shared" si="6"/>
        <v>42948</v>
      </c>
      <c r="H412" t="str">
        <f>VLOOKUP(N412,Status[],2,FALSE)</f>
        <v>Full-Time</v>
      </c>
      <c r="J412" s="7">
        <v>1001</v>
      </c>
      <c r="K412">
        <v>22</v>
      </c>
      <c r="L412">
        <v>2017</v>
      </c>
      <c r="M412">
        <v>8</v>
      </c>
      <c r="N412">
        <v>1</v>
      </c>
    </row>
    <row r="413" spans="1:14" x14ac:dyDescent="0.25">
      <c r="A413" t="s">
        <v>2657</v>
      </c>
      <c r="B413" t="s">
        <v>776</v>
      </c>
      <c r="C413" t="s">
        <v>777</v>
      </c>
      <c r="D413" t="str">
        <f>VLOOKUP(J413,Location[],2,FALSE)</f>
        <v>Raleigh</v>
      </c>
      <c r="E413" t="str">
        <f>VLOOKUP(J413,Location[],3,FALSE)</f>
        <v> North Carolina</v>
      </c>
      <c r="F413" t="str">
        <f>VLOOKUP(K413,Dept[],2,FALSE)</f>
        <v>Legal</v>
      </c>
      <c r="G413" s="11">
        <f t="shared" si="6"/>
        <v>41671</v>
      </c>
      <c r="H413" t="str">
        <f>VLOOKUP(N413,Status[],2,FALSE)</f>
        <v>Full-Time</v>
      </c>
      <c r="J413" s="7">
        <v>1041</v>
      </c>
      <c r="K413">
        <v>18</v>
      </c>
      <c r="L413">
        <v>2014</v>
      </c>
      <c r="M413">
        <v>2</v>
      </c>
      <c r="N413">
        <v>1</v>
      </c>
    </row>
    <row r="414" spans="1:14" x14ac:dyDescent="0.25">
      <c r="A414" t="s">
        <v>2658</v>
      </c>
      <c r="B414" t="s">
        <v>734</v>
      </c>
      <c r="C414" t="s">
        <v>735</v>
      </c>
      <c r="D414" t="str">
        <f>VLOOKUP(J414,Location[],2,FALSE)</f>
        <v>New York City</v>
      </c>
      <c r="E414" t="str">
        <f>VLOOKUP(J414,Location[],3,FALSE)</f>
        <v> New York</v>
      </c>
      <c r="F414" t="str">
        <f>VLOOKUP(K414,Dept[],2,FALSE)</f>
        <v>Finance</v>
      </c>
      <c r="G414" s="11">
        <f t="shared" si="6"/>
        <v>43040</v>
      </c>
      <c r="H414" t="str">
        <f>VLOOKUP(N414,Status[],2,FALSE)</f>
        <v>Full-Time</v>
      </c>
      <c r="J414" s="7">
        <v>1001</v>
      </c>
      <c r="K414">
        <v>15</v>
      </c>
      <c r="L414">
        <v>2017</v>
      </c>
      <c r="M414">
        <v>11</v>
      </c>
      <c r="N414">
        <v>1</v>
      </c>
    </row>
    <row r="415" spans="1:14" x14ac:dyDescent="0.25">
      <c r="A415" t="s">
        <v>2659</v>
      </c>
      <c r="B415" t="s">
        <v>5</v>
      </c>
      <c r="C415" t="s">
        <v>1840</v>
      </c>
      <c r="D415" t="str">
        <f>VLOOKUP(J415,Location[],2,FALSE)</f>
        <v>Houston</v>
      </c>
      <c r="E415" t="str">
        <f>VLOOKUP(J415,Location[],3,FALSE)</f>
        <v> Texas</v>
      </c>
      <c r="F415" t="str">
        <f>VLOOKUP(K415,Dept[],2,FALSE)</f>
        <v>Administration</v>
      </c>
      <c r="G415" s="11">
        <f t="shared" si="6"/>
        <v>41760</v>
      </c>
      <c r="H415" t="str">
        <f>VLOOKUP(N415,Status[],2,FALSE)</f>
        <v>Full-Time</v>
      </c>
      <c r="J415" s="7">
        <v>1004</v>
      </c>
      <c r="K415">
        <v>12</v>
      </c>
      <c r="L415">
        <v>2014</v>
      </c>
      <c r="M415">
        <v>5</v>
      </c>
      <c r="N415">
        <v>1</v>
      </c>
    </row>
    <row r="416" spans="1:14" x14ac:dyDescent="0.25">
      <c r="A416" t="s">
        <v>2660</v>
      </c>
      <c r="B416" t="s">
        <v>284</v>
      </c>
      <c r="C416" t="s">
        <v>615</v>
      </c>
      <c r="D416" t="str">
        <f>VLOOKUP(J416,Location[],2,FALSE)</f>
        <v>Chicago</v>
      </c>
      <c r="E416" t="str">
        <f>VLOOKUP(J416,Location[],3,FALSE)</f>
        <v> Illinois</v>
      </c>
      <c r="F416" t="str">
        <f>VLOOKUP(K416,Dept[],2,FALSE)</f>
        <v>Administration</v>
      </c>
      <c r="G416" s="11">
        <f t="shared" si="6"/>
        <v>44075</v>
      </c>
      <c r="H416" t="str">
        <f>VLOOKUP(N416,Status[],2,FALSE)</f>
        <v>Part-Time</v>
      </c>
      <c r="J416" s="7">
        <v>1003</v>
      </c>
      <c r="K416">
        <v>12</v>
      </c>
      <c r="L416">
        <v>2020</v>
      </c>
      <c r="M416">
        <v>9</v>
      </c>
      <c r="N416">
        <v>0</v>
      </c>
    </row>
    <row r="417" spans="1:14" x14ac:dyDescent="0.25">
      <c r="A417" t="s">
        <v>2661</v>
      </c>
      <c r="B417" t="s">
        <v>165</v>
      </c>
      <c r="C417" t="s">
        <v>969</v>
      </c>
      <c r="D417" t="str">
        <f>VLOOKUP(J417,Location[],2,FALSE)</f>
        <v>San Francisco</v>
      </c>
      <c r="E417" t="str">
        <f>VLOOKUP(J417,Location[],3,FALSE)</f>
        <v> California</v>
      </c>
      <c r="F417" t="str">
        <f>VLOOKUP(K417,Dept[],2,FALSE)</f>
        <v>Finance</v>
      </c>
      <c r="G417" s="11">
        <f t="shared" si="6"/>
        <v>41334</v>
      </c>
      <c r="H417" t="str">
        <f>VLOOKUP(N417,Status[],2,FALSE)</f>
        <v>Full-Time</v>
      </c>
      <c r="J417" s="7">
        <v>1013</v>
      </c>
      <c r="K417">
        <v>15</v>
      </c>
      <c r="L417">
        <v>2013</v>
      </c>
      <c r="M417">
        <v>3</v>
      </c>
      <c r="N417">
        <v>1</v>
      </c>
    </row>
    <row r="418" spans="1:14" x14ac:dyDescent="0.25">
      <c r="A418" t="s">
        <v>2662</v>
      </c>
      <c r="B418" t="s">
        <v>1184</v>
      </c>
      <c r="C418" t="s">
        <v>2098</v>
      </c>
      <c r="D418" t="str">
        <f>VLOOKUP(J418,Location[],2,FALSE)</f>
        <v>New York City</v>
      </c>
      <c r="E418" t="str">
        <f>VLOOKUP(J418,Location[],3,FALSE)</f>
        <v> New York</v>
      </c>
      <c r="F418" t="str">
        <f>VLOOKUP(K418,Dept[],2,FALSE)</f>
        <v>Administration</v>
      </c>
      <c r="G418" s="11">
        <f t="shared" si="6"/>
        <v>41000</v>
      </c>
      <c r="H418" t="str">
        <f>VLOOKUP(N418,Status[],2,FALSE)</f>
        <v>Full-Time</v>
      </c>
      <c r="J418" s="7">
        <v>1001</v>
      </c>
      <c r="K418">
        <v>12</v>
      </c>
      <c r="L418">
        <v>2012</v>
      </c>
      <c r="M418">
        <v>4</v>
      </c>
      <c r="N418">
        <v>1</v>
      </c>
    </row>
    <row r="419" spans="1:14" x14ac:dyDescent="0.25">
      <c r="A419" t="s">
        <v>2663</v>
      </c>
      <c r="B419" t="s">
        <v>578</v>
      </c>
      <c r="C419" t="s">
        <v>579</v>
      </c>
      <c r="D419" t="str">
        <f>VLOOKUP(J419,Location[],2,FALSE)</f>
        <v>Buffalo</v>
      </c>
      <c r="E419" t="str">
        <f>VLOOKUP(J419,Location[],3,FALSE)</f>
        <v> New York</v>
      </c>
      <c r="F419" t="str">
        <f>VLOOKUP(K419,Dept[],2,FALSE)</f>
        <v>Customer Support</v>
      </c>
      <c r="G419" s="11">
        <f t="shared" si="6"/>
        <v>44378</v>
      </c>
      <c r="H419" t="str">
        <f>VLOOKUP(N419,Status[],2,FALSE)</f>
        <v>Part-Time</v>
      </c>
      <c r="J419" s="7">
        <v>1081</v>
      </c>
      <c r="K419">
        <v>14</v>
      </c>
      <c r="L419">
        <v>2021</v>
      </c>
      <c r="M419">
        <v>7</v>
      </c>
      <c r="N419">
        <v>0</v>
      </c>
    </row>
    <row r="420" spans="1:14" x14ac:dyDescent="0.25">
      <c r="A420" t="s">
        <v>2664</v>
      </c>
      <c r="B420" t="s">
        <v>1063</v>
      </c>
      <c r="C420" t="s">
        <v>71</v>
      </c>
      <c r="D420" t="str">
        <f>VLOOKUP(J420,Location[],2,FALSE)</f>
        <v>Greensboro</v>
      </c>
      <c r="E420" t="str">
        <f>VLOOKUP(J420,Location[],3,FALSE)</f>
        <v> North Carolina</v>
      </c>
      <c r="F420" t="str">
        <f>VLOOKUP(K420,Dept[],2,FALSE)</f>
        <v>Legal</v>
      </c>
      <c r="G420" s="11">
        <f t="shared" si="6"/>
        <v>42064</v>
      </c>
      <c r="H420" t="str">
        <f>VLOOKUP(N420,Status[],2,FALSE)</f>
        <v>Part-Time</v>
      </c>
      <c r="J420" s="7">
        <v>1068</v>
      </c>
      <c r="K420">
        <v>18</v>
      </c>
      <c r="L420">
        <v>2015</v>
      </c>
      <c r="M420">
        <v>3</v>
      </c>
      <c r="N420">
        <v>0</v>
      </c>
    </row>
    <row r="421" spans="1:14" x14ac:dyDescent="0.25">
      <c r="A421" t="s">
        <v>2665</v>
      </c>
      <c r="B421" t="s">
        <v>108</v>
      </c>
      <c r="C421" t="s">
        <v>1183</v>
      </c>
      <c r="D421" t="str">
        <f>VLOOKUP(J421,Location[],2,FALSE)</f>
        <v>New York City</v>
      </c>
      <c r="E421" t="str">
        <f>VLOOKUP(J421,Location[],3,FALSE)</f>
        <v> New York</v>
      </c>
      <c r="F421" t="str">
        <f>VLOOKUP(K421,Dept[],2,FALSE)</f>
        <v>Sales</v>
      </c>
      <c r="G421" s="11">
        <f t="shared" si="6"/>
        <v>42005</v>
      </c>
      <c r="H421" t="str">
        <f>VLOOKUP(N421,Status[],2,FALSE)</f>
        <v>Full-Time</v>
      </c>
      <c r="J421" s="7">
        <v>1001</v>
      </c>
      <c r="K421">
        <v>22</v>
      </c>
      <c r="L421">
        <v>2015</v>
      </c>
      <c r="M421">
        <v>1</v>
      </c>
      <c r="N421">
        <v>1</v>
      </c>
    </row>
    <row r="422" spans="1:14" x14ac:dyDescent="0.25">
      <c r="A422" t="s">
        <v>2666</v>
      </c>
      <c r="B422" t="s">
        <v>1182</v>
      </c>
      <c r="C422" t="s">
        <v>1183</v>
      </c>
      <c r="D422" t="str">
        <f>VLOOKUP(J422,Location[],2,FALSE)</f>
        <v>San Jose</v>
      </c>
      <c r="E422" t="str">
        <f>VLOOKUP(J422,Location[],3,FALSE)</f>
        <v> California</v>
      </c>
      <c r="F422" t="str">
        <f>VLOOKUP(K422,Dept[],2,FALSE)</f>
        <v>Administration</v>
      </c>
      <c r="G422" s="11">
        <f t="shared" si="6"/>
        <v>41456</v>
      </c>
      <c r="H422" t="str">
        <f>VLOOKUP(N422,Status[],2,FALSE)</f>
        <v>Full-Time</v>
      </c>
      <c r="J422" s="7">
        <v>1010</v>
      </c>
      <c r="K422">
        <v>12</v>
      </c>
      <c r="L422">
        <v>2013</v>
      </c>
      <c r="M422">
        <v>7</v>
      </c>
      <c r="N422">
        <v>1</v>
      </c>
    </row>
    <row r="423" spans="1:14" x14ac:dyDescent="0.25">
      <c r="A423" t="s">
        <v>2667</v>
      </c>
      <c r="B423" t="s">
        <v>98</v>
      </c>
      <c r="C423" t="s">
        <v>1183</v>
      </c>
      <c r="D423" t="str">
        <f>VLOOKUP(J423,Location[],2,FALSE)</f>
        <v>Denver</v>
      </c>
      <c r="E423" t="str">
        <f>VLOOKUP(J423,Location[],3,FALSE)</f>
        <v> Colorado</v>
      </c>
      <c r="F423" t="str">
        <f>VLOOKUP(K423,Dept[],2,FALSE)</f>
        <v>Administration</v>
      </c>
      <c r="G423" s="11">
        <f t="shared" si="6"/>
        <v>43221</v>
      </c>
      <c r="H423" t="str">
        <f>VLOOKUP(N423,Status[],2,FALSE)</f>
        <v>Full-Time</v>
      </c>
      <c r="J423" s="7">
        <v>1019</v>
      </c>
      <c r="K423">
        <v>12</v>
      </c>
      <c r="L423">
        <v>2018</v>
      </c>
      <c r="M423">
        <v>5</v>
      </c>
      <c r="N423">
        <v>1</v>
      </c>
    </row>
    <row r="424" spans="1:14" x14ac:dyDescent="0.25">
      <c r="A424" t="s">
        <v>2668</v>
      </c>
      <c r="B424" t="s">
        <v>171</v>
      </c>
      <c r="C424" t="s">
        <v>770</v>
      </c>
      <c r="D424" t="str">
        <f>VLOOKUP(J424,Location[],2,FALSE)</f>
        <v>Omaha</v>
      </c>
      <c r="E424" t="str">
        <f>VLOOKUP(J424,Location[],3,FALSE)</f>
        <v> Nebraska</v>
      </c>
      <c r="F424" t="str">
        <f>VLOOKUP(K424,Dept[],2,FALSE)</f>
        <v>Accounting</v>
      </c>
      <c r="G424" s="11">
        <f t="shared" si="6"/>
        <v>44501</v>
      </c>
      <c r="H424" t="str">
        <f>VLOOKUP(N424,Status[],2,FALSE)</f>
        <v>Full-Time</v>
      </c>
      <c r="J424" s="7">
        <v>1040</v>
      </c>
      <c r="K424">
        <v>11</v>
      </c>
      <c r="L424">
        <v>2021</v>
      </c>
      <c r="M424">
        <v>11</v>
      </c>
      <c r="N424">
        <v>1</v>
      </c>
    </row>
    <row r="425" spans="1:14" x14ac:dyDescent="0.25">
      <c r="A425" t="s">
        <v>2669</v>
      </c>
      <c r="B425" t="s">
        <v>1440</v>
      </c>
      <c r="C425" t="s">
        <v>770</v>
      </c>
      <c r="D425" t="str">
        <f>VLOOKUP(J425,Location[],2,FALSE)</f>
        <v>Kansas City</v>
      </c>
      <c r="E425" t="str">
        <f>VLOOKUP(J425,Location[],3,FALSE)</f>
        <v> Missouri</v>
      </c>
      <c r="F425" t="str">
        <f>VLOOKUP(K425,Dept[],2,FALSE)</f>
        <v>Sales</v>
      </c>
      <c r="G425" s="11">
        <f t="shared" si="6"/>
        <v>41609</v>
      </c>
      <c r="H425" t="str">
        <f>VLOOKUP(N425,Status[],2,FALSE)</f>
        <v>Part-Time</v>
      </c>
      <c r="J425" s="7">
        <v>1037</v>
      </c>
      <c r="K425">
        <v>22</v>
      </c>
      <c r="L425">
        <v>2013</v>
      </c>
      <c r="M425">
        <v>12</v>
      </c>
      <c r="N425">
        <v>0</v>
      </c>
    </row>
    <row r="426" spans="1:14" x14ac:dyDescent="0.25">
      <c r="A426" t="s">
        <v>2670</v>
      </c>
      <c r="B426" t="s">
        <v>19</v>
      </c>
      <c r="C426" t="s">
        <v>770</v>
      </c>
      <c r="D426" t="str">
        <f>VLOOKUP(J426,Location[],2,FALSE)</f>
        <v>Chicago</v>
      </c>
      <c r="E426" t="str">
        <f>VLOOKUP(J426,Location[],3,FALSE)</f>
        <v> Illinois</v>
      </c>
      <c r="F426" t="str">
        <f>VLOOKUP(K426,Dept[],2,FALSE)</f>
        <v>Media</v>
      </c>
      <c r="G426" s="11">
        <f t="shared" si="6"/>
        <v>44652</v>
      </c>
      <c r="H426" t="str">
        <f>VLOOKUP(N426,Status[],2,FALSE)</f>
        <v>Full-Time</v>
      </c>
      <c r="J426" s="7">
        <v>1003</v>
      </c>
      <c r="K426">
        <v>20</v>
      </c>
      <c r="L426">
        <v>2022</v>
      </c>
      <c r="M426">
        <v>4</v>
      </c>
      <c r="N426">
        <v>1</v>
      </c>
    </row>
    <row r="427" spans="1:14" x14ac:dyDescent="0.25">
      <c r="A427" t="s">
        <v>2671</v>
      </c>
      <c r="B427" t="s">
        <v>1823</v>
      </c>
      <c r="C427" t="s">
        <v>770</v>
      </c>
      <c r="D427" t="str">
        <f>VLOOKUP(J427,Location[],2,FALSE)</f>
        <v>Santa Ana</v>
      </c>
      <c r="E427" t="str">
        <f>VLOOKUP(J427,Location[],3,FALSE)</f>
        <v> California</v>
      </c>
      <c r="F427" t="str">
        <f>VLOOKUP(K427,Dept[],2,FALSE)</f>
        <v>Accounting</v>
      </c>
      <c r="G427" s="11">
        <f t="shared" si="6"/>
        <v>45017</v>
      </c>
      <c r="H427" t="str">
        <f>VLOOKUP(N427,Status[],2,FALSE)</f>
        <v>Full-Time</v>
      </c>
      <c r="J427" s="7">
        <v>1057</v>
      </c>
      <c r="K427">
        <v>11</v>
      </c>
      <c r="L427">
        <v>2023</v>
      </c>
      <c r="M427">
        <v>4</v>
      </c>
      <c r="N427">
        <v>1</v>
      </c>
    </row>
    <row r="428" spans="1:14" x14ac:dyDescent="0.25">
      <c r="A428" t="s">
        <v>2672</v>
      </c>
      <c r="B428" t="s">
        <v>608</v>
      </c>
      <c r="C428" t="s">
        <v>770</v>
      </c>
      <c r="D428" t="str">
        <f>VLOOKUP(J428,Location[],2,FALSE)</f>
        <v>Henderson</v>
      </c>
      <c r="E428" t="str">
        <f>VLOOKUP(J428,Location[],3,FALSE)</f>
        <v> Nevada</v>
      </c>
      <c r="F428" t="str">
        <f>VLOOKUP(K428,Dept[],2,FALSE)</f>
        <v>Accounting</v>
      </c>
      <c r="G428" s="11">
        <f t="shared" si="6"/>
        <v>44136</v>
      </c>
      <c r="H428" t="str">
        <f>VLOOKUP(N428,Status[],2,FALSE)</f>
        <v>Full-Time</v>
      </c>
      <c r="J428" s="7">
        <v>1064</v>
      </c>
      <c r="K428">
        <v>11</v>
      </c>
      <c r="L428">
        <v>2020</v>
      </c>
      <c r="M428">
        <v>11</v>
      </c>
      <c r="N428">
        <v>1</v>
      </c>
    </row>
    <row r="429" spans="1:14" x14ac:dyDescent="0.25">
      <c r="A429" t="s">
        <v>2673</v>
      </c>
      <c r="B429" t="s">
        <v>27</v>
      </c>
      <c r="C429" t="s">
        <v>770</v>
      </c>
      <c r="D429" t="str">
        <f>VLOOKUP(J429,Location[],2,FALSE)</f>
        <v>Colorado Springs</v>
      </c>
      <c r="E429" t="str">
        <f>VLOOKUP(J429,Location[],3,FALSE)</f>
        <v> Colorado</v>
      </c>
      <c r="F429" t="str">
        <f>VLOOKUP(K429,Dept[],2,FALSE)</f>
        <v>Accounting</v>
      </c>
      <c r="G429" s="11">
        <f t="shared" si="6"/>
        <v>43344</v>
      </c>
      <c r="H429" t="str">
        <f>VLOOKUP(N429,Status[],2,FALSE)</f>
        <v>Part-Time</v>
      </c>
      <c r="J429" s="7">
        <v>1042</v>
      </c>
      <c r="K429">
        <v>11</v>
      </c>
      <c r="L429">
        <v>2018</v>
      </c>
      <c r="M429">
        <v>9</v>
      </c>
      <c r="N429">
        <v>0</v>
      </c>
    </row>
    <row r="430" spans="1:14" x14ac:dyDescent="0.25">
      <c r="A430" t="s">
        <v>2674</v>
      </c>
      <c r="B430" t="s">
        <v>253</v>
      </c>
      <c r="C430" t="s">
        <v>770</v>
      </c>
      <c r="D430" t="str">
        <f>VLOOKUP(J430,Location[],2,FALSE)</f>
        <v>Memphis</v>
      </c>
      <c r="E430" t="str">
        <f>VLOOKUP(J430,Location[],3,FALSE)</f>
        <v> Tennessee</v>
      </c>
      <c r="F430" t="str">
        <f>VLOOKUP(K430,Dept[],2,FALSE)</f>
        <v>Assessment</v>
      </c>
      <c r="G430" s="11">
        <f t="shared" si="6"/>
        <v>41609</v>
      </c>
      <c r="H430" t="str">
        <f>VLOOKUP(N430,Status[],2,FALSE)</f>
        <v>Full-Time</v>
      </c>
      <c r="J430" s="7">
        <v>1025</v>
      </c>
      <c r="K430">
        <v>13</v>
      </c>
      <c r="L430">
        <v>2013</v>
      </c>
      <c r="M430">
        <v>12</v>
      </c>
      <c r="N430">
        <v>1</v>
      </c>
    </row>
    <row r="431" spans="1:14" x14ac:dyDescent="0.25">
      <c r="A431" t="s">
        <v>2675</v>
      </c>
      <c r="B431" t="s">
        <v>1595</v>
      </c>
      <c r="C431" t="s">
        <v>770</v>
      </c>
      <c r="D431" t="str">
        <f>VLOOKUP(J431,Location[],2,FALSE)</f>
        <v>Charlotte</v>
      </c>
      <c r="E431" t="str">
        <f>VLOOKUP(J431,Location[],3,FALSE)</f>
        <v> North Carolina</v>
      </c>
      <c r="F431" t="str">
        <f>VLOOKUP(K431,Dept[],2,FALSE)</f>
        <v>R&amp;D</v>
      </c>
      <c r="G431" s="11">
        <f t="shared" si="6"/>
        <v>43009</v>
      </c>
      <c r="H431" t="str">
        <f>VLOOKUP(N431,Status[],2,FALSE)</f>
        <v>Full-Time</v>
      </c>
      <c r="J431" s="7">
        <v>1017</v>
      </c>
      <c r="K431">
        <v>21</v>
      </c>
      <c r="L431">
        <v>2017</v>
      </c>
      <c r="M431">
        <v>10</v>
      </c>
      <c r="N431">
        <v>1</v>
      </c>
    </row>
    <row r="432" spans="1:14" x14ac:dyDescent="0.25">
      <c r="A432" t="s">
        <v>2676</v>
      </c>
      <c r="B432" t="s">
        <v>1031</v>
      </c>
      <c r="C432" t="s">
        <v>770</v>
      </c>
      <c r="D432" t="str">
        <f>VLOOKUP(J432,Location[],2,FALSE)</f>
        <v>Jacksonville</v>
      </c>
      <c r="E432" t="str">
        <f>VLOOKUP(J432,Location[],3,FALSE)</f>
        <v> Florida</v>
      </c>
      <c r="F432" t="str">
        <f>VLOOKUP(K432,Dept[],2,FALSE)</f>
        <v>Accounting</v>
      </c>
      <c r="G432" s="11">
        <f t="shared" si="6"/>
        <v>41944</v>
      </c>
      <c r="H432" t="str">
        <f>VLOOKUP(N432,Status[],2,FALSE)</f>
        <v>Full-Time</v>
      </c>
      <c r="J432" s="7">
        <v>1012</v>
      </c>
      <c r="K432">
        <v>11</v>
      </c>
      <c r="L432">
        <v>2014</v>
      </c>
      <c r="M432">
        <v>11</v>
      </c>
      <c r="N432">
        <v>1</v>
      </c>
    </row>
    <row r="433" spans="1:14" x14ac:dyDescent="0.25">
      <c r="A433" t="s">
        <v>2677</v>
      </c>
      <c r="B433" t="s">
        <v>5</v>
      </c>
      <c r="C433" t="s">
        <v>770</v>
      </c>
      <c r="D433" t="str">
        <f>VLOOKUP(J433,Location[],2,FALSE)</f>
        <v>Fresno</v>
      </c>
      <c r="E433" t="str">
        <f>VLOOKUP(J433,Location[],3,FALSE)</f>
        <v> California</v>
      </c>
      <c r="F433" t="str">
        <f>VLOOKUP(K433,Dept[],2,FALSE)</f>
        <v>Finance</v>
      </c>
      <c r="G433" s="11">
        <f t="shared" si="6"/>
        <v>41640</v>
      </c>
      <c r="H433" t="str">
        <f>VLOOKUP(N433,Status[],2,FALSE)</f>
        <v>Full-Time</v>
      </c>
      <c r="J433" s="7">
        <v>1034</v>
      </c>
      <c r="K433">
        <v>15</v>
      </c>
      <c r="L433">
        <v>2014</v>
      </c>
      <c r="M433">
        <v>1</v>
      </c>
      <c r="N433">
        <v>1</v>
      </c>
    </row>
    <row r="434" spans="1:14" x14ac:dyDescent="0.25">
      <c r="A434" t="s">
        <v>2678</v>
      </c>
      <c r="B434" t="s">
        <v>152</v>
      </c>
      <c r="C434" t="s">
        <v>153</v>
      </c>
      <c r="D434" t="str">
        <f>VLOOKUP(J434,Location[],2,FALSE)</f>
        <v>Lexington</v>
      </c>
      <c r="E434" t="str">
        <f>VLOOKUP(J434,Location[],3,FALSE)</f>
        <v> Kentucky</v>
      </c>
      <c r="F434" t="str">
        <f>VLOOKUP(K434,Dept[],2,FALSE)</f>
        <v>Customer Support</v>
      </c>
      <c r="G434" s="11">
        <f t="shared" si="6"/>
        <v>42309</v>
      </c>
      <c r="H434" t="str">
        <f>VLOOKUP(N434,Status[],2,FALSE)</f>
        <v>Full-Time</v>
      </c>
      <c r="J434" s="7">
        <v>1060</v>
      </c>
      <c r="K434">
        <v>14</v>
      </c>
      <c r="L434">
        <v>2015</v>
      </c>
      <c r="M434">
        <v>11</v>
      </c>
      <c r="N434">
        <v>1</v>
      </c>
    </row>
    <row r="435" spans="1:14" x14ac:dyDescent="0.25">
      <c r="A435" t="s">
        <v>2679</v>
      </c>
      <c r="B435" t="s">
        <v>135</v>
      </c>
      <c r="C435" t="s">
        <v>153</v>
      </c>
      <c r="D435" t="str">
        <f>VLOOKUP(J435,Location[],2,FALSE)</f>
        <v>Sacramento</v>
      </c>
      <c r="E435" t="str">
        <f>VLOOKUP(J435,Location[],3,FALSE)</f>
        <v> California</v>
      </c>
      <c r="F435" t="str">
        <f>VLOOKUP(K435,Dept[],2,FALSE)</f>
        <v>Assessment</v>
      </c>
      <c r="G435" s="11">
        <f t="shared" si="6"/>
        <v>42339</v>
      </c>
      <c r="H435" t="str">
        <f>VLOOKUP(N435,Status[],2,FALSE)</f>
        <v>Full-Time</v>
      </c>
      <c r="J435" s="7">
        <v>1035</v>
      </c>
      <c r="K435">
        <v>13</v>
      </c>
      <c r="L435">
        <v>2015</v>
      </c>
      <c r="M435">
        <v>12</v>
      </c>
      <c r="N435">
        <v>1</v>
      </c>
    </row>
    <row r="436" spans="1:14" x14ac:dyDescent="0.25">
      <c r="A436" t="s">
        <v>2680</v>
      </c>
      <c r="B436" t="s">
        <v>95</v>
      </c>
      <c r="C436" t="s">
        <v>887</v>
      </c>
      <c r="D436" t="str">
        <f>VLOOKUP(J436,Location[],2,FALSE)</f>
        <v>Honolulu</v>
      </c>
      <c r="E436" t="str">
        <f>VLOOKUP(J436,Location[],3,FALSE)</f>
        <v> Hawaii</v>
      </c>
      <c r="F436" t="str">
        <f>VLOOKUP(K436,Dept[],2,FALSE)</f>
        <v>Shipping</v>
      </c>
      <c r="G436" s="11">
        <f t="shared" si="6"/>
        <v>44317</v>
      </c>
      <c r="H436" t="str">
        <f>VLOOKUP(N436,Status[],2,FALSE)</f>
        <v>Full-Time</v>
      </c>
      <c r="J436" s="7">
        <v>1056</v>
      </c>
      <c r="K436">
        <v>23</v>
      </c>
      <c r="L436">
        <v>2021</v>
      </c>
      <c r="M436">
        <v>5</v>
      </c>
      <c r="N436">
        <v>1</v>
      </c>
    </row>
    <row r="437" spans="1:14" x14ac:dyDescent="0.25">
      <c r="A437" t="s">
        <v>2681</v>
      </c>
      <c r="B437" t="s">
        <v>886</v>
      </c>
      <c r="C437" t="s">
        <v>887</v>
      </c>
      <c r="D437" t="str">
        <f>VLOOKUP(J437,Location[],2,FALSE)</f>
        <v>Omaha</v>
      </c>
      <c r="E437" t="str">
        <f>VLOOKUP(J437,Location[],3,FALSE)</f>
        <v> Nebraska</v>
      </c>
      <c r="F437" t="str">
        <f>VLOOKUP(K437,Dept[],2,FALSE)</f>
        <v>Customer Support</v>
      </c>
      <c r="G437" s="11">
        <f t="shared" si="6"/>
        <v>43160</v>
      </c>
      <c r="H437" t="str">
        <f>VLOOKUP(N437,Status[],2,FALSE)</f>
        <v>Full-Time</v>
      </c>
      <c r="J437" s="7">
        <v>1040</v>
      </c>
      <c r="K437">
        <v>14</v>
      </c>
      <c r="L437">
        <v>2018</v>
      </c>
      <c r="M437">
        <v>3</v>
      </c>
      <c r="N437">
        <v>1</v>
      </c>
    </row>
    <row r="438" spans="1:14" x14ac:dyDescent="0.25">
      <c r="A438" t="s">
        <v>2682</v>
      </c>
      <c r="B438" t="s">
        <v>25</v>
      </c>
      <c r="C438" t="s">
        <v>887</v>
      </c>
      <c r="D438" t="str">
        <f>VLOOKUP(J438,Location[],2,FALSE)</f>
        <v>Los Angeles</v>
      </c>
      <c r="E438" t="str">
        <f>VLOOKUP(J438,Location[],3,FALSE)</f>
        <v> California</v>
      </c>
      <c r="F438" t="str">
        <f>VLOOKUP(K438,Dept[],2,FALSE)</f>
        <v>Customer Support</v>
      </c>
      <c r="G438" s="11">
        <f t="shared" si="6"/>
        <v>44713</v>
      </c>
      <c r="H438" t="str">
        <f>VLOOKUP(N438,Status[],2,FALSE)</f>
        <v>Part-Time</v>
      </c>
      <c r="J438" s="7">
        <v>1002</v>
      </c>
      <c r="K438">
        <v>14</v>
      </c>
      <c r="L438">
        <v>2022</v>
      </c>
      <c r="M438">
        <v>6</v>
      </c>
      <c r="N438">
        <v>0</v>
      </c>
    </row>
    <row r="439" spans="1:14" x14ac:dyDescent="0.25">
      <c r="A439" t="s">
        <v>2683</v>
      </c>
      <c r="B439" t="s">
        <v>108</v>
      </c>
      <c r="C439" t="s">
        <v>904</v>
      </c>
      <c r="D439" t="str">
        <f>VLOOKUP(J439,Location[],2,FALSE)</f>
        <v>Oakland</v>
      </c>
      <c r="E439" t="str">
        <f>VLOOKUP(J439,Location[],3,FALSE)</f>
        <v> California</v>
      </c>
      <c r="F439" t="str">
        <f>VLOOKUP(K439,Dept[],2,FALSE)</f>
        <v>Accounting</v>
      </c>
      <c r="G439" s="11">
        <f t="shared" si="6"/>
        <v>42370</v>
      </c>
      <c r="H439" t="str">
        <f>VLOOKUP(N439,Status[],2,FALSE)</f>
        <v>Full-Time</v>
      </c>
      <c r="J439" s="7">
        <v>1045</v>
      </c>
      <c r="K439">
        <v>11</v>
      </c>
      <c r="L439">
        <v>2016</v>
      </c>
      <c r="M439">
        <v>1</v>
      </c>
      <c r="N439">
        <v>1</v>
      </c>
    </row>
    <row r="440" spans="1:14" x14ac:dyDescent="0.25">
      <c r="A440" t="s">
        <v>2684</v>
      </c>
      <c r="B440" t="s">
        <v>670</v>
      </c>
      <c r="C440" t="s">
        <v>904</v>
      </c>
      <c r="D440" t="str">
        <f>VLOOKUP(J440,Location[],2,FALSE)</f>
        <v>Norfolk</v>
      </c>
      <c r="E440" t="str">
        <f>VLOOKUP(J440,Location[],3,FALSE)</f>
        <v> Virginia</v>
      </c>
      <c r="F440" t="str">
        <f>VLOOKUP(K440,Dept[],2,FALSE)</f>
        <v>Human Resources</v>
      </c>
      <c r="G440" s="11">
        <f t="shared" si="6"/>
        <v>43191</v>
      </c>
      <c r="H440" t="str">
        <f>VLOOKUP(N440,Status[],2,FALSE)</f>
        <v>Full-Time</v>
      </c>
      <c r="J440" s="7">
        <v>1088</v>
      </c>
      <c r="K440">
        <v>16</v>
      </c>
      <c r="L440">
        <v>2018</v>
      </c>
      <c r="M440">
        <v>4</v>
      </c>
      <c r="N440">
        <v>1</v>
      </c>
    </row>
    <row r="441" spans="1:14" x14ac:dyDescent="0.25">
      <c r="A441" t="s">
        <v>2685</v>
      </c>
      <c r="B441" t="s">
        <v>1144</v>
      </c>
      <c r="C441" t="s">
        <v>904</v>
      </c>
      <c r="D441" t="str">
        <f>VLOOKUP(J441,Location[],2,FALSE)</f>
        <v>Santa Ana</v>
      </c>
      <c r="E441" t="str">
        <f>VLOOKUP(J441,Location[],3,FALSE)</f>
        <v> California</v>
      </c>
      <c r="F441" t="str">
        <f>VLOOKUP(K441,Dept[],2,FALSE)</f>
        <v>Media</v>
      </c>
      <c r="G441" s="11">
        <f t="shared" si="6"/>
        <v>41426</v>
      </c>
      <c r="H441" t="str">
        <f>VLOOKUP(N441,Status[],2,FALSE)</f>
        <v>Full-Time</v>
      </c>
      <c r="J441" s="7">
        <v>1057</v>
      </c>
      <c r="K441">
        <v>20</v>
      </c>
      <c r="L441">
        <v>2013</v>
      </c>
      <c r="M441">
        <v>6</v>
      </c>
      <c r="N441">
        <v>1</v>
      </c>
    </row>
    <row r="442" spans="1:14" x14ac:dyDescent="0.25">
      <c r="A442" t="s">
        <v>2686</v>
      </c>
      <c r="B442" t="s">
        <v>284</v>
      </c>
      <c r="C442" t="s">
        <v>1554</v>
      </c>
      <c r="D442" t="str">
        <f>VLOOKUP(J442,Location[],2,FALSE)</f>
        <v>Portland</v>
      </c>
      <c r="E442" t="str">
        <f>VLOOKUP(J442,Location[],3,FALSE)</f>
        <v> Oregon</v>
      </c>
      <c r="F442" t="str">
        <f>VLOOKUP(K442,Dept[],2,FALSE)</f>
        <v>Administration</v>
      </c>
      <c r="G442" s="11">
        <f t="shared" si="6"/>
        <v>43009</v>
      </c>
      <c r="H442" t="str">
        <f>VLOOKUP(N442,Status[],2,FALSE)</f>
        <v>Full-Time</v>
      </c>
      <c r="J442" s="7">
        <v>1026</v>
      </c>
      <c r="K442">
        <v>12</v>
      </c>
      <c r="L442">
        <v>2017</v>
      </c>
      <c r="M442">
        <v>10</v>
      </c>
      <c r="N442">
        <v>1</v>
      </c>
    </row>
    <row r="443" spans="1:14" x14ac:dyDescent="0.25">
      <c r="A443" t="s">
        <v>2687</v>
      </c>
      <c r="B443" t="s">
        <v>19</v>
      </c>
      <c r="C443" t="s">
        <v>316</v>
      </c>
      <c r="D443" t="str">
        <f>VLOOKUP(J443,Location[],2,FALSE)</f>
        <v>New York City</v>
      </c>
      <c r="E443" t="str">
        <f>VLOOKUP(J443,Location[],3,FALSE)</f>
        <v> New York</v>
      </c>
      <c r="F443" t="str">
        <f>VLOOKUP(K443,Dept[],2,FALSE)</f>
        <v>Legal</v>
      </c>
      <c r="G443" s="11">
        <f t="shared" si="6"/>
        <v>42644</v>
      </c>
      <c r="H443" t="str">
        <f>VLOOKUP(N443,Status[],2,FALSE)</f>
        <v>Full-Time</v>
      </c>
      <c r="J443" s="7">
        <v>1001</v>
      </c>
      <c r="K443">
        <v>18</v>
      </c>
      <c r="L443">
        <v>2016</v>
      </c>
      <c r="M443">
        <v>10</v>
      </c>
      <c r="N443">
        <v>1</v>
      </c>
    </row>
    <row r="444" spans="1:14" x14ac:dyDescent="0.25">
      <c r="A444" t="s">
        <v>2688</v>
      </c>
      <c r="B444" t="s">
        <v>339</v>
      </c>
      <c r="C444" t="s">
        <v>795</v>
      </c>
      <c r="D444" t="str">
        <f>VLOOKUP(J444,Location[],2,FALSE)</f>
        <v>Lubbock</v>
      </c>
      <c r="E444" t="str">
        <f>VLOOKUP(J444,Location[],3,FALSE)</f>
        <v> Texas</v>
      </c>
      <c r="F444" t="str">
        <f>VLOOKUP(K444,Dept[],2,FALSE)</f>
        <v>R&amp;D</v>
      </c>
      <c r="G444" s="11">
        <f t="shared" si="6"/>
        <v>40940</v>
      </c>
      <c r="H444" t="str">
        <f>VLOOKUP(N444,Status[],2,FALSE)</f>
        <v>Part-Time</v>
      </c>
      <c r="J444" s="7">
        <v>1083</v>
      </c>
      <c r="K444">
        <v>21</v>
      </c>
      <c r="L444">
        <v>2012</v>
      </c>
      <c r="M444">
        <v>2</v>
      </c>
      <c r="N444">
        <v>0</v>
      </c>
    </row>
    <row r="445" spans="1:14" x14ac:dyDescent="0.25">
      <c r="A445" t="s">
        <v>2689</v>
      </c>
      <c r="B445" t="s">
        <v>1227</v>
      </c>
      <c r="C445" t="s">
        <v>1668</v>
      </c>
      <c r="D445" t="str">
        <f>VLOOKUP(J445,Location[],2,FALSE)</f>
        <v>Charlotte</v>
      </c>
      <c r="E445" t="str">
        <f>VLOOKUP(J445,Location[],3,FALSE)</f>
        <v> North Carolina</v>
      </c>
      <c r="F445" t="str">
        <f>VLOOKUP(K445,Dept[],2,FALSE)</f>
        <v>Finance</v>
      </c>
      <c r="G445" s="11">
        <f t="shared" si="6"/>
        <v>41365</v>
      </c>
      <c r="H445" t="str">
        <f>VLOOKUP(N445,Status[],2,FALSE)</f>
        <v>Full-Time</v>
      </c>
      <c r="J445" s="7">
        <v>1017</v>
      </c>
      <c r="K445">
        <v>15</v>
      </c>
      <c r="L445">
        <v>2013</v>
      </c>
      <c r="M445">
        <v>4</v>
      </c>
      <c r="N445">
        <v>1</v>
      </c>
    </row>
    <row r="446" spans="1:14" x14ac:dyDescent="0.25">
      <c r="A446" t="s">
        <v>2690</v>
      </c>
      <c r="B446" t="s">
        <v>47</v>
      </c>
      <c r="C446" t="s">
        <v>1777</v>
      </c>
      <c r="D446" t="str">
        <f>VLOOKUP(J446,Location[],2,FALSE)</f>
        <v>El Paso</v>
      </c>
      <c r="E446" t="str">
        <f>VLOOKUP(J446,Location[],3,FALSE)</f>
        <v> Texas</v>
      </c>
      <c r="F446" t="str">
        <f>VLOOKUP(K446,Dept[],2,FALSE)</f>
        <v>Customer Support</v>
      </c>
      <c r="G446" s="11">
        <f t="shared" si="6"/>
        <v>44682</v>
      </c>
      <c r="H446" t="str">
        <f>VLOOKUP(N446,Status[],2,FALSE)</f>
        <v>Part-Time</v>
      </c>
      <c r="J446" s="7">
        <v>1022</v>
      </c>
      <c r="K446">
        <v>14</v>
      </c>
      <c r="L446">
        <v>2022</v>
      </c>
      <c r="M446">
        <v>5</v>
      </c>
      <c r="N446">
        <v>0</v>
      </c>
    </row>
    <row r="447" spans="1:14" x14ac:dyDescent="0.25">
      <c r="A447" t="s">
        <v>2691</v>
      </c>
      <c r="B447" t="s">
        <v>951</v>
      </c>
      <c r="C447" t="s">
        <v>952</v>
      </c>
      <c r="D447" t="str">
        <f>VLOOKUP(J447,Location[],2,FALSE)</f>
        <v>Plano</v>
      </c>
      <c r="E447" t="str">
        <f>VLOOKUP(J447,Location[],3,FALSE)</f>
        <v> Texas</v>
      </c>
      <c r="F447" t="str">
        <f>VLOOKUP(K447,Dept[],2,FALSE)</f>
        <v>Accounting</v>
      </c>
      <c r="G447" s="11">
        <f t="shared" si="6"/>
        <v>42826</v>
      </c>
      <c r="H447" t="str">
        <f>VLOOKUP(N447,Status[],2,FALSE)</f>
        <v>Part-Time</v>
      </c>
      <c r="J447" s="7">
        <v>1069</v>
      </c>
      <c r="K447">
        <v>11</v>
      </c>
      <c r="L447">
        <v>2017</v>
      </c>
      <c r="M447">
        <v>4</v>
      </c>
      <c r="N447">
        <v>0</v>
      </c>
    </row>
    <row r="448" spans="1:14" x14ac:dyDescent="0.25">
      <c r="A448" t="s">
        <v>2692</v>
      </c>
      <c r="B448" t="s">
        <v>786</v>
      </c>
      <c r="C448" t="s">
        <v>787</v>
      </c>
      <c r="D448" t="str">
        <f>VLOOKUP(J448,Location[],2,FALSE)</f>
        <v>San Francisco</v>
      </c>
      <c r="E448" t="str">
        <f>VLOOKUP(J448,Location[],3,FALSE)</f>
        <v> California</v>
      </c>
      <c r="F448" t="str">
        <f>VLOOKUP(K448,Dept[],2,FALSE)</f>
        <v>Media</v>
      </c>
      <c r="G448" s="11">
        <f t="shared" si="6"/>
        <v>41214</v>
      </c>
      <c r="H448" t="str">
        <f>VLOOKUP(N448,Status[],2,FALSE)</f>
        <v>Full-Time</v>
      </c>
      <c r="J448" s="7">
        <v>1013</v>
      </c>
      <c r="K448">
        <v>20</v>
      </c>
      <c r="L448">
        <v>2012</v>
      </c>
      <c r="M448">
        <v>11</v>
      </c>
      <c r="N448">
        <v>1</v>
      </c>
    </row>
    <row r="449" spans="1:14" x14ac:dyDescent="0.25">
      <c r="A449" t="s">
        <v>2693</v>
      </c>
      <c r="B449" t="s">
        <v>352</v>
      </c>
      <c r="C449" t="s">
        <v>1613</v>
      </c>
      <c r="D449" t="str">
        <f>VLOOKUP(J449,Location[],2,FALSE)</f>
        <v>Boston</v>
      </c>
      <c r="E449" t="str">
        <f>VLOOKUP(J449,Location[],3,FALSE)</f>
        <v> Massachusetts</v>
      </c>
      <c r="F449" t="str">
        <f>VLOOKUP(K449,Dept[],2,FALSE)</f>
        <v>Finance</v>
      </c>
      <c r="G449" s="11">
        <f t="shared" si="6"/>
        <v>44774</v>
      </c>
      <c r="H449" t="str">
        <f>VLOOKUP(N449,Status[],2,FALSE)</f>
        <v>Full-Time</v>
      </c>
      <c r="J449" s="7">
        <v>1021</v>
      </c>
      <c r="K449">
        <v>15</v>
      </c>
      <c r="L449">
        <v>2022</v>
      </c>
      <c r="M449">
        <v>8</v>
      </c>
      <c r="N449">
        <v>1</v>
      </c>
    </row>
    <row r="450" spans="1:14" x14ac:dyDescent="0.25">
      <c r="A450" t="s">
        <v>2694</v>
      </c>
      <c r="B450" t="s">
        <v>1937</v>
      </c>
      <c r="C450" t="s">
        <v>1938</v>
      </c>
      <c r="D450" t="str">
        <f>VLOOKUP(J450,Location[],2,FALSE)</f>
        <v>New York City</v>
      </c>
      <c r="E450" t="str">
        <f>VLOOKUP(J450,Location[],3,FALSE)</f>
        <v> New York</v>
      </c>
      <c r="F450" t="str">
        <f>VLOOKUP(K450,Dept[],2,FALSE)</f>
        <v>Sales</v>
      </c>
      <c r="G450" s="11">
        <f t="shared" si="6"/>
        <v>41579</v>
      </c>
      <c r="H450" t="str">
        <f>VLOOKUP(N450,Status[],2,FALSE)</f>
        <v>Full-Time</v>
      </c>
      <c r="J450" s="7">
        <v>1001</v>
      </c>
      <c r="K450">
        <v>22</v>
      </c>
      <c r="L450">
        <v>2013</v>
      </c>
      <c r="M450">
        <v>11</v>
      </c>
      <c r="N450">
        <v>1</v>
      </c>
    </row>
    <row r="451" spans="1:14" x14ac:dyDescent="0.25">
      <c r="A451" t="s">
        <v>2695</v>
      </c>
      <c r="B451" t="s">
        <v>429</v>
      </c>
      <c r="C451" t="s">
        <v>1433</v>
      </c>
      <c r="D451" t="str">
        <f>VLOOKUP(J451,Location[],2,FALSE)</f>
        <v>Oakland</v>
      </c>
      <c r="E451" t="str">
        <f>VLOOKUP(J451,Location[],3,FALSE)</f>
        <v> California</v>
      </c>
      <c r="F451" t="str">
        <f>VLOOKUP(K451,Dept[],2,FALSE)</f>
        <v>IT</v>
      </c>
      <c r="G451" s="11">
        <f t="shared" si="6"/>
        <v>42217</v>
      </c>
      <c r="H451" t="str">
        <f>VLOOKUP(N451,Status[],2,FALSE)</f>
        <v>Full-Time</v>
      </c>
      <c r="J451" s="7">
        <v>1045</v>
      </c>
      <c r="K451">
        <v>17</v>
      </c>
      <c r="L451">
        <v>2015</v>
      </c>
      <c r="M451">
        <v>8</v>
      </c>
      <c r="N451">
        <v>1</v>
      </c>
    </row>
    <row r="452" spans="1:14" x14ac:dyDescent="0.25">
      <c r="A452" t="s">
        <v>2696</v>
      </c>
      <c r="B452" t="s">
        <v>19</v>
      </c>
      <c r="C452" t="s">
        <v>596</v>
      </c>
      <c r="D452" t="str">
        <f>VLOOKUP(J452,Location[],2,FALSE)</f>
        <v>Indianapolis</v>
      </c>
      <c r="E452" t="str">
        <f>VLOOKUP(J452,Location[],3,FALSE)</f>
        <v> Indiana</v>
      </c>
      <c r="F452" t="str">
        <f>VLOOKUP(K452,Dept[],2,FALSE)</f>
        <v>Customer Support</v>
      </c>
      <c r="G452" s="11">
        <f t="shared" si="6"/>
        <v>41791</v>
      </c>
      <c r="H452" t="str">
        <f>VLOOKUP(N452,Status[],2,FALSE)</f>
        <v>Full-Time</v>
      </c>
      <c r="J452" s="7">
        <v>1016</v>
      </c>
      <c r="K452">
        <v>14</v>
      </c>
      <c r="L452">
        <v>2014</v>
      </c>
      <c r="M452">
        <v>6</v>
      </c>
      <c r="N452">
        <v>1</v>
      </c>
    </row>
    <row r="453" spans="1:14" x14ac:dyDescent="0.25">
      <c r="A453" t="s">
        <v>2697</v>
      </c>
      <c r="B453" t="s">
        <v>98</v>
      </c>
      <c r="C453" t="s">
        <v>387</v>
      </c>
      <c r="D453" t="str">
        <f>VLOOKUP(J453,Location[],2,FALSE)</f>
        <v>Houston</v>
      </c>
      <c r="E453" t="str">
        <f>VLOOKUP(J453,Location[],3,FALSE)</f>
        <v> Texas</v>
      </c>
      <c r="F453" t="str">
        <f>VLOOKUP(K453,Dept[],2,FALSE)</f>
        <v>Accounting</v>
      </c>
      <c r="G453" s="11">
        <f t="shared" ref="G453:G516" si="7">DATE(L453,M453,1)</f>
        <v>44774</v>
      </c>
      <c r="H453" t="str">
        <f>VLOOKUP(N453,Status[],2,FALSE)</f>
        <v>Full-Time</v>
      </c>
      <c r="J453" s="7">
        <v>1004</v>
      </c>
      <c r="K453">
        <v>11</v>
      </c>
      <c r="L453">
        <v>2022</v>
      </c>
      <c r="M453">
        <v>8</v>
      </c>
      <c r="N453">
        <v>1</v>
      </c>
    </row>
    <row r="454" spans="1:14" x14ac:dyDescent="0.25">
      <c r="A454" t="s">
        <v>2698</v>
      </c>
      <c r="B454" t="s">
        <v>482</v>
      </c>
      <c r="C454" t="s">
        <v>2069</v>
      </c>
      <c r="D454" t="str">
        <f>VLOOKUP(J454,Location[],2,FALSE)</f>
        <v>Indianapolis</v>
      </c>
      <c r="E454" t="str">
        <f>VLOOKUP(J454,Location[],3,FALSE)</f>
        <v> Indiana</v>
      </c>
      <c r="F454" t="str">
        <f>VLOOKUP(K454,Dept[],2,FALSE)</f>
        <v>Finance</v>
      </c>
      <c r="G454" s="11">
        <f t="shared" si="7"/>
        <v>42309</v>
      </c>
      <c r="H454" t="str">
        <f>VLOOKUP(N454,Status[],2,FALSE)</f>
        <v>Full-Time</v>
      </c>
      <c r="J454" s="7">
        <v>1016</v>
      </c>
      <c r="K454">
        <v>15</v>
      </c>
      <c r="L454">
        <v>2015</v>
      </c>
      <c r="M454">
        <v>11</v>
      </c>
      <c r="N454">
        <v>1</v>
      </c>
    </row>
    <row r="455" spans="1:14" x14ac:dyDescent="0.25">
      <c r="A455" t="s">
        <v>2699</v>
      </c>
      <c r="B455" t="s">
        <v>1662</v>
      </c>
      <c r="C455" t="s">
        <v>1663</v>
      </c>
      <c r="D455" t="str">
        <f>VLOOKUP(J455,Location[],2,FALSE)</f>
        <v>Indianapolis</v>
      </c>
      <c r="E455" t="str">
        <f>VLOOKUP(J455,Location[],3,FALSE)</f>
        <v> Indiana</v>
      </c>
      <c r="F455" t="str">
        <f>VLOOKUP(K455,Dept[],2,FALSE)</f>
        <v>Marketing</v>
      </c>
      <c r="G455" s="11">
        <f t="shared" si="7"/>
        <v>41913</v>
      </c>
      <c r="H455" t="str">
        <f>VLOOKUP(N455,Status[],2,FALSE)</f>
        <v>Part-Time</v>
      </c>
      <c r="J455" s="7">
        <v>1016</v>
      </c>
      <c r="K455">
        <v>19</v>
      </c>
      <c r="L455">
        <v>2014</v>
      </c>
      <c r="M455">
        <v>10</v>
      </c>
      <c r="N455">
        <v>0</v>
      </c>
    </row>
    <row r="456" spans="1:14" x14ac:dyDescent="0.25">
      <c r="A456" t="s">
        <v>2700</v>
      </c>
      <c r="B456" t="s">
        <v>108</v>
      </c>
      <c r="C456" t="s">
        <v>1663</v>
      </c>
      <c r="D456" t="str">
        <f>VLOOKUP(J456,Location[],2,FALSE)</f>
        <v>Los Angeles</v>
      </c>
      <c r="E456" t="str">
        <f>VLOOKUP(J456,Location[],3,FALSE)</f>
        <v> California</v>
      </c>
      <c r="F456" t="str">
        <f>VLOOKUP(K456,Dept[],2,FALSE)</f>
        <v>Finance</v>
      </c>
      <c r="G456" s="11">
        <f t="shared" si="7"/>
        <v>43070</v>
      </c>
      <c r="H456" t="str">
        <f>VLOOKUP(N456,Status[],2,FALSE)</f>
        <v>Full-Time</v>
      </c>
      <c r="J456" s="7">
        <v>1002</v>
      </c>
      <c r="K456">
        <v>15</v>
      </c>
      <c r="L456">
        <v>2017</v>
      </c>
      <c r="M456">
        <v>12</v>
      </c>
      <c r="N456">
        <v>1</v>
      </c>
    </row>
    <row r="457" spans="1:14" x14ac:dyDescent="0.25">
      <c r="A457" t="s">
        <v>2701</v>
      </c>
      <c r="B457" t="s">
        <v>1251</v>
      </c>
      <c r="C457" t="s">
        <v>1252</v>
      </c>
      <c r="D457" t="str">
        <f>VLOOKUP(J457,Location[],2,FALSE)</f>
        <v>Fort Worth</v>
      </c>
      <c r="E457" t="str">
        <f>VLOOKUP(J457,Location[],3,FALSE)</f>
        <v> Texas</v>
      </c>
      <c r="F457" t="str">
        <f>VLOOKUP(K457,Dept[],2,FALSE)</f>
        <v>Customer Support</v>
      </c>
      <c r="G457" s="11">
        <f t="shared" si="7"/>
        <v>42917</v>
      </c>
      <c r="H457" t="str">
        <f>VLOOKUP(N457,Status[],2,FALSE)</f>
        <v>Full-Time</v>
      </c>
      <c r="J457" s="7">
        <v>1015</v>
      </c>
      <c r="K457">
        <v>14</v>
      </c>
      <c r="L457">
        <v>2017</v>
      </c>
      <c r="M457">
        <v>7</v>
      </c>
      <c r="N457">
        <v>1</v>
      </c>
    </row>
    <row r="458" spans="1:14" x14ac:dyDescent="0.25">
      <c r="A458" t="s">
        <v>2702</v>
      </c>
      <c r="B458" t="s">
        <v>244</v>
      </c>
      <c r="C458" t="s">
        <v>245</v>
      </c>
      <c r="D458" t="str">
        <f>VLOOKUP(J458,Location[],2,FALSE)</f>
        <v>Milwaukee</v>
      </c>
      <c r="E458" t="str">
        <f>VLOOKUP(J458,Location[],3,FALSE)</f>
        <v> Wisconsin</v>
      </c>
      <c r="F458" t="str">
        <f>VLOOKUP(K458,Dept[],2,FALSE)</f>
        <v>Administration</v>
      </c>
      <c r="G458" s="11">
        <f t="shared" si="7"/>
        <v>44621</v>
      </c>
      <c r="H458" t="str">
        <f>VLOOKUP(N458,Status[],2,FALSE)</f>
        <v>Full-Time</v>
      </c>
      <c r="J458" s="7">
        <v>1031</v>
      </c>
      <c r="K458">
        <v>12</v>
      </c>
      <c r="L458">
        <v>2022</v>
      </c>
      <c r="M458">
        <v>3</v>
      </c>
      <c r="N458">
        <v>1</v>
      </c>
    </row>
    <row r="459" spans="1:14" x14ac:dyDescent="0.25">
      <c r="A459" t="s">
        <v>2703</v>
      </c>
      <c r="B459" t="s">
        <v>530</v>
      </c>
      <c r="C459" t="s">
        <v>774</v>
      </c>
      <c r="D459" t="str">
        <f>VLOOKUP(J459,Location[],2,FALSE)</f>
        <v>Milwaukee</v>
      </c>
      <c r="E459" t="str">
        <f>VLOOKUP(J459,Location[],3,FALSE)</f>
        <v> Wisconsin</v>
      </c>
      <c r="F459" t="str">
        <f>VLOOKUP(K459,Dept[],2,FALSE)</f>
        <v>Shipping</v>
      </c>
      <c r="G459" s="11">
        <f t="shared" si="7"/>
        <v>40634</v>
      </c>
      <c r="H459" t="str">
        <f>VLOOKUP(N459,Status[],2,FALSE)</f>
        <v>Full-Time</v>
      </c>
      <c r="J459" s="7">
        <v>1031</v>
      </c>
      <c r="K459">
        <v>23</v>
      </c>
      <c r="L459">
        <v>2011</v>
      </c>
      <c r="M459">
        <v>4</v>
      </c>
      <c r="N459">
        <v>1</v>
      </c>
    </row>
    <row r="460" spans="1:14" x14ac:dyDescent="0.25">
      <c r="A460" t="s">
        <v>2704</v>
      </c>
      <c r="B460" t="s">
        <v>676</v>
      </c>
      <c r="C460" t="s">
        <v>1836</v>
      </c>
      <c r="D460" t="str">
        <f>VLOOKUP(J460,Location[],2,FALSE)</f>
        <v>Durham</v>
      </c>
      <c r="E460" t="str">
        <f>VLOOKUP(J460,Location[],3,FALSE)</f>
        <v> North Carolina</v>
      </c>
      <c r="F460" t="str">
        <f>VLOOKUP(K460,Dept[],2,FALSE)</f>
        <v>Legal</v>
      </c>
      <c r="G460" s="11">
        <f t="shared" si="7"/>
        <v>40664</v>
      </c>
      <c r="H460" t="str">
        <f>VLOOKUP(N460,Status[],2,FALSE)</f>
        <v>Full-Time</v>
      </c>
      <c r="J460" s="7">
        <v>1077</v>
      </c>
      <c r="K460">
        <v>18</v>
      </c>
      <c r="L460">
        <v>2011</v>
      </c>
      <c r="M460">
        <v>5</v>
      </c>
      <c r="N460">
        <v>1</v>
      </c>
    </row>
    <row r="461" spans="1:14" x14ac:dyDescent="0.25">
      <c r="A461" t="s">
        <v>2705</v>
      </c>
      <c r="B461" t="s">
        <v>1666</v>
      </c>
      <c r="C461" t="s">
        <v>1667</v>
      </c>
      <c r="D461" t="str">
        <f>VLOOKUP(J461,Location[],2,FALSE)</f>
        <v>New York City</v>
      </c>
      <c r="E461" t="str">
        <f>VLOOKUP(J461,Location[],3,FALSE)</f>
        <v> New York</v>
      </c>
      <c r="F461" t="str">
        <f>VLOOKUP(K461,Dept[],2,FALSE)</f>
        <v>Accounting</v>
      </c>
      <c r="G461" s="11">
        <f t="shared" si="7"/>
        <v>42614</v>
      </c>
      <c r="H461" t="str">
        <f>VLOOKUP(N461,Status[],2,FALSE)</f>
        <v>Full-Time</v>
      </c>
      <c r="J461" s="7">
        <v>1001</v>
      </c>
      <c r="K461">
        <v>11</v>
      </c>
      <c r="L461">
        <v>2016</v>
      </c>
      <c r="M461">
        <v>9</v>
      </c>
      <c r="N461">
        <v>1</v>
      </c>
    </row>
    <row r="462" spans="1:14" x14ac:dyDescent="0.25">
      <c r="A462" t="s">
        <v>2706</v>
      </c>
      <c r="B462" t="s">
        <v>725</v>
      </c>
      <c r="C462" t="s">
        <v>726</v>
      </c>
      <c r="D462" t="str">
        <f>VLOOKUP(J462,Location[],2,FALSE)</f>
        <v>Washington, D.C.</v>
      </c>
      <c r="E462" t="str">
        <f>VLOOKUP(J462,Location[],3,FALSE)</f>
        <v> District of Columbia</v>
      </c>
      <c r="F462" t="str">
        <f>VLOOKUP(K462,Dept[],2,FALSE)</f>
        <v>Accounting</v>
      </c>
      <c r="G462" s="11">
        <f t="shared" si="7"/>
        <v>43831</v>
      </c>
      <c r="H462" t="str">
        <f>VLOOKUP(N462,Status[],2,FALSE)</f>
        <v>Full-Time</v>
      </c>
      <c r="J462" s="7">
        <v>1020</v>
      </c>
      <c r="K462">
        <v>11</v>
      </c>
      <c r="L462">
        <v>2020</v>
      </c>
      <c r="M462">
        <v>1</v>
      </c>
      <c r="N462">
        <v>1</v>
      </c>
    </row>
    <row r="463" spans="1:14" x14ac:dyDescent="0.25">
      <c r="A463" t="s">
        <v>2707</v>
      </c>
      <c r="B463" t="s">
        <v>1191</v>
      </c>
      <c r="C463" t="s">
        <v>726</v>
      </c>
      <c r="D463" t="str">
        <f>VLOOKUP(J463,Location[],2,FALSE)</f>
        <v>New York City</v>
      </c>
      <c r="E463" t="str">
        <f>VLOOKUP(J463,Location[],3,FALSE)</f>
        <v> New York</v>
      </c>
      <c r="F463" t="str">
        <f>VLOOKUP(K463,Dept[],2,FALSE)</f>
        <v>Marketing</v>
      </c>
      <c r="G463" s="11">
        <f t="shared" si="7"/>
        <v>42339</v>
      </c>
      <c r="H463" t="str">
        <f>VLOOKUP(N463,Status[],2,FALSE)</f>
        <v>Full-Time</v>
      </c>
      <c r="J463" s="7">
        <v>1001</v>
      </c>
      <c r="K463">
        <v>19</v>
      </c>
      <c r="L463">
        <v>2015</v>
      </c>
      <c r="M463">
        <v>12</v>
      </c>
      <c r="N463">
        <v>1</v>
      </c>
    </row>
    <row r="464" spans="1:14" x14ac:dyDescent="0.25">
      <c r="A464" t="s">
        <v>2708</v>
      </c>
      <c r="B464" t="s">
        <v>395</v>
      </c>
      <c r="C464" t="s">
        <v>726</v>
      </c>
      <c r="D464" t="str">
        <f>VLOOKUP(J464,Location[],2,FALSE)</f>
        <v>New York City</v>
      </c>
      <c r="E464" t="str">
        <f>VLOOKUP(J464,Location[],3,FALSE)</f>
        <v> New York</v>
      </c>
      <c r="F464" t="str">
        <f>VLOOKUP(K464,Dept[],2,FALSE)</f>
        <v>Assessment</v>
      </c>
      <c r="G464" s="11">
        <f t="shared" si="7"/>
        <v>42795</v>
      </c>
      <c r="H464" t="str">
        <f>VLOOKUP(N464,Status[],2,FALSE)</f>
        <v>Full-Time</v>
      </c>
      <c r="J464" s="7">
        <v>1001</v>
      </c>
      <c r="K464">
        <v>13</v>
      </c>
      <c r="L464">
        <v>2017</v>
      </c>
      <c r="M464">
        <v>3</v>
      </c>
      <c r="N464">
        <v>1</v>
      </c>
    </row>
    <row r="465" spans="1:14" x14ac:dyDescent="0.25">
      <c r="A465" t="s">
        <v>2709</v>
      </c>
      <c r="B465" t="s">
        <v>218</v>
      </c>
      <c r="C465" t="s">
        <v>219</v>
      </c>
      <c r="D465" t="str">
        <f>VLOOKUP(J465,Location[],2,FALSE)</f>
        <v>Lubbock</v>
      </c>
      <c r="E465" t="str">
        <f>VLOOKUP(J465,Location[],3,FALSE)</f>
        <v> Texas</v>
      </c>
      <c r="F465" t="str">
        <f>VLOOKUP(K465,Dept[],2,FALSE)</f>
        <v>Customer Support</v>
      </c>
      <c r="G465" s="11">
        <f t="shared" si="7"/>
        <v>44317</v>
      </c>
      <c r="H465" t="str">
        <f>VLOOKUP(N465,Status[],2,FALSE)</f>
        <v>Full-Time</v>
      </c>
      <c r="J465" s="7">
        <v>1083</v>
      </c>
      <c r="K465">
        <v>14</v>
      </c>
      <c r="L465">
        <v>2021</v>
      </c>
      <c r="M465">
        <v>5</v>
      </c>
      <c r="N465">
        <v>1</v>
      </c>
    </row>
    <row r="466" spans="1:14" x14ac:dyDescent="0.25">
      <c r="A466" t="s">
        <v>2710</v>
      </c>
      <c r="B466" t="s">
        <v>97</v>
      </c>
      <c r="C466" t="s">
        <v>2095</v>
      </c>
      <c r="D466" t="str">
        <f>VLOOKUP(J466,Location[],2,FALSE)</f>
        <v>Los Angeles</v>
      </c>
      <c r="E466" t="str">
        <f>VLOOKUP(J466,Location[],3,FALSE)</f>
        <v> California</v>
      </c>
      <c r="F466" t="str">
        <f>VLOOKUP(K466,Dept[],2,FALSE)</f>
        <v>Customer Support</v>
      </c>
      <c r="G466" s="11">
        <f t="shared" si="7"/>
        <v>41426</v>
      </c>
      <c r="H466" t="str">
        <f>VLOOKUP(N466,Status[],2,FALSE)</f>
        <v>Full-Time</v>
      </c>
      <c r="J466" s="7">
        <v>1002</v>
      </c>
      <c r="K466">
        <v>14</v>
      </c>
      <c r="L466">
        <v>2013</v>
      </c>
      <c r="M466">
        <v>6</v>
      </c>
      <c r="N466">
        <v>1</v>
      </c>
    </row>
    <row r="467" spans="1:14" x14ac:dyDescent="0.25">
      <c r="A467" t="s">
        <v>2711</v>
      </c>
      <c r="B467" t="s">
        <v>561</v>
      </c>
      <c r="C467" t="s">
        <v>1541</v>
      </c>
      <c r="D467" t="str">
        <f>VLOOKUP(J467,Location[],2,FALSE)</f>
        <v>Washington, D.C.</v>
      </c>
      <c r="E467" t="str">
        <f>VLOOKUP(J467,Location[],3,FALSE)</f>
        <v> District of Columbia</v>
      </c>
      <c r="F467" t="str">
        <f>VLOOKUP(K467,Dept[],2,FALSE)</f>
        <v>Human Resources</v>
      </c>
      <c r="G467" s="11">
        <f t="shared" si="7"/>
        <v>43497</v>
      </c>
      <c r="H467" t="str">
        <f>VLOOKUP(N467,Status[],2,FALSE)</f>
        <v>Full-Time</v>
      </c>
      <c r="J467" s="7">
        <v>1020</v>
      </c>
      <c r="K467">
        <v>16</v>
      </c>
      <c r="L467">
        <v>2019</v>
      </c>
      <c r="M467">
        <v>2</v>
      </c>
      <c r="N467">
        <v>1</v>
      </c>
    </row>
    <row r="468" spans="1:14" x14ac:dyDescent="0.25">
      <c r="A468" t="s">
        <v>2712</v>
      </c>
      <c r="B468" t="s">
        <v>149</v>
      </c>
      <c r="C468" t="s">
        <v>468</v>
      </c>
      <c r="D468" t="str">
        <f>VLOOKUP(J468,Location[],2,FALSE)</f>
        <v>Irvine</v>
      </c>
      <c r="E468" t="str">
        <f>VLOOKUP(J468,Location[],3,FALSE)</f>
        <v> California</v>
      </c>
      <c r="F468" t="str">
        <f>VLOOKUP(K468,Dept[],2,FALSE)</f>
        <v>Customer Support</v>
      </c>
      <c r="G468" s="11">
        <f t="shared" si="7"/>
        <v>40878</v>
      </c>
      <c r="H468" t="str">
        <f>VLOOKUP(N468,Status[],2,FALSE)</f>
        <v>Full-Time</v>
      </c>
      <c r="J468" s="7">
        <v>1073</v>
      </c>
      <c r="K468">
        <v>14</v>
      </c>
      <c r="L468">
        <v>2011</v>
      </c>
      <c r="M468">
        <v>12</v>
      </c>
      <c r="N468">
        <v>1</v>
      </c>
    </row>
    <row r="469" spans="1:14" x14ac:dyDescent="0.25">
      <c r="A469" t="s">
        <v>2713</v>
      </c>
      <c r="B469" t="s">
        <v>220</v>
      </c>
      <c r="C469" t="s">
        <v>974</v>
      </c>
      <c r="D469" t="str">
        <f>VLOOKUP(J469,Location[],2,FALSE)</f>
        <v>New York City</v>
      </c>
      <c r="E469" t="str">
        <f>VLOOKUP(J469,Location[],3,FALSE)</f>
        <v> New York</v>
      </c>
      <c r="F469" t="str">
        <f>VLOOKUP(K469,Dept[],2,FALSE)</f>
        <v>Customer Support</v>
      </c>
      <c r="G469" s="11">
        <f t="shared" si="7"/>
        <v>44774</v>
      </c>
      <c r="H469" t="str">
        <f>VLOOKUP(N469,Status[],2,FALSE)</f>
        <v>Full-Time</v>
      </c>
      <c r="J469" s="7">
        <v>1001</v>
      </c>
      <c r="K469">
        <v>14</v>
      </c>
      <c r="L469">
        <v>2022</v>
      </c>
      <c r="M469">
        <v>8</v>
      </c>
      <c r="N469">
        <v>1</v>
      </c>
    </row>
    <row r="470" spans="1:14" x14ac:dyDescent="0.25">
      <c r="A470" t="s">
        <v>2714</v>
      </c>
      <c r="B470" t="s">
        <v>53</v>
      </c>
      <c r="C470" t="s">
        <v>54</v>
      </c>
      <c r="D470" t="str">
        <f>VLOOKUP(J470,Location[],2,FALSE)</f>
        <v>Chula Vista</v>
      </c>
      <c r="E470" t="str">
        <f>VLOOKUP(J470,Location[],3,FALSE)</f>
        <v> California</v>
      </c>
      <c r="F470" t="str">
        <f>VLOOKUP(K470,Dept[],2,FALSE)</f>
        <v>IT</v>
      </c>
      <c r="G470" s="11">
        <f t="shared" si="7"/>
        <v>40848</v>
      </c>
      <c r="H470" t="str">
        <f>VLOOKUP(N470,Status[],2,FALSE)</f>
        <v>Full-Time</v>
      </c>
      <c r="J470" s="7">
        <v>1076</v>
      </c>
      <c r="K470">
        <v>17</v>
      </c>
      <c r="L470">
        <v>2011</v>
      </c>
      <c r="M470">
        <v>11</v>
      </c>
      <c r="N470">
        <v>1</v>
      </c>
    </row>
    <row r="471" spans="1:14" x14ac:dyDescent="0.25">
      <c r="A471" t="s">
        <v>2715</v>
      </c>
      <c r="B471" t="s">
        <v>253</v>
      </c>
      <c r="C471" t="s">
        <v>1022</v>
      </c>
      <c r="D471" t="str">
        <f>VLOOKUP(J471,Location[],2,FALSE)</f>
        <v>San Antonio</v>
      </c>
      <c r="E471" t="str">
        <f>VLOOKUP(J471,Location[],3,FALSE)</f>
        <v> Texas</v>
      </c>
      <c r="F471" t="str">
        <f>VLOOKUP(K471,Dept[],2,FALSE)</f>
        <v>Legal</v>
      </c>
      <c r="G471" s="11">
        <f t="shared" si="7"/>
        <v>44682</v>
      </c>
      <c r="H471" t="str">
        <f>VLOOKUP(N471,Status[],2,FALSE)</f>
        <v>Full-Time</v>
      </c>
      <c r="J471" s="7">
        <v>1007</v>
      </c>
      <c r="K471">
        <v>18</v>
      </c>
      <c r="L471">
        <v>2022</v>
      </c>
      <c r="M471">
        <v>5</v>
      </c>
      <c r="N471">
        <v>1</v>
      </c>
    </row>
    <row r="472" spans="1:14" x14ac:dyDescent="0.25">
      <c r="A472" t="s">
        <v>2716</v>
      </c>
      <c r="B472" t="s">
        <v>354</v>
      </c>
      <c r="C472" t="s">
        <v>355</v>
      </c>
      <c r="D472" t="str">
        <f>VLOOKUP(J472,Location[],2,FALSE)</f>
        <v>Virginia Beach</v>
      </c>
      <c r="E472" t="str">
        <f>VLOOKUP(J472,Location[],3,FALSE)</f>
        <v> Virginia</v>
      </c>
      <c r="F472" t="str">
        <f>VLOOKUP(K472,Dept[],2,FALSE)</f>
        <v>Legal</v>
      </c>
      <c r="G472" s="11">
        <f t="shared" si="7"/>
        <v>40634</v>
      </c>
      <c r="H472" t="str">
        <f>VLOOKUP(N472,Status[],2,FALSE)</f>
        <v>Full-Time</v>
      </c>
      <c r="J472" s="7">
        <v>1044</v>
      </c>
      <c r="K472">
        <v>18</v>
      </c>
      <c r="L472">
        <v>2011</v>
      </c>
      <c r="M472">
        <v>4</v>
      </c>
      <c r="N472">
        <v>1</v>
      </c>
    </row>
    <row r="473" spans="1:14" x14ac:dyDescent="0.25">
      <c r="A473" t="s">
        <v>2717</v>
      </c>
      <c r="B473" t="s">
        <v>763</v>
      </c>
      <c r="C473" t="s">
        <v>764</v>
      </c>
      <c r="D473" t="str">
        <f>VLOOKUP(J473,Location[],2,FALSE)</f>
        <v>Indianapolis</v>
      </c>
      <c r="E473" t="str">
        <f>VLOOKUP(J473,Location[],3,FALSE)</f>
        <v> Indiana</v>
      </c>
      <c r="F473" t="str">
        <f>VLOOKUP(K473,Dept[],2,FALSE)</f>
        <v>Legal</v>
      </c>
      <c r="G473" s="11">
        <f t="shared" si="7"/>
        <v>44958</v>
      </c>
      <c r="H473" t="str">
        <f>VLOOKUP(N473,Status[],2,FALSE)</f>
        <v>Full-Time</v>
      </c>
      <c r="J473" s="7">
        <v>1016</v>
      </c>
      <c r="K473">
        <v>18</v>
      </c>
      <c r="L473">
        <v>2023</v>
      </c>
      <c r="M473">
        <v>2</v>
      </c>
      <c r="N473">
        <v>1</v>
      </c>
    </row>
    <row r="474" spans="1:14" x14ac:dyDescent="0.25">
      <c r="A474" t="s">
        <v>2718</v>
      </c>
      <c r="B474" t="s">
        <v>35</v>
      </c>
      <c r="C474" t="s">
        <v>303</v>
      </c>
      <c r="D474" t="str">
        <f>VLOOKUP(J474,Location[],2,FALSE)</f>
        <v>Seattle</v>
      </c>
      <c r="E474" t="str">
        <f>VLOOKUP(J474,Location[],3,FALSE)</f>
        <v> Washington</v>
      </c>
      <c r="F474" t="str">
        <f>VLOOKUP(K474,Dept[],2,FALSE)</f>
        <v>Sales</v>
      </c>
      <c r="G474" s="11">
        <f t="shared" si="7"/>
        <v>42461</v>
      </c>
      <c r="H474" t="str">
        <f>VLOOKUP(N474,Status[],2,FALSE)</f>
        <v>Full-Time</v>
      </c>
      <c r="J474" s="7">
        <v>1018</v>
      </c>
      <c r="K474">
        <v>22</v>
      </c>
      <c r="L474">
        <v>2016</v>
      </c>
      <c r="M474">
        <v>4</v>
      </c>
      <c r="N474">
        <v>1</v>
      </c>
    </row>
    <row r="475" spans="1:14" x14ac:dyDescent="0.25">
      <c r="A475" t="s">
        <v>2719</v>
      </c>
      <c r="B475" t="s">
        <v>9</v>
      </c>
      <c r="C475" t="s">
        <v>959</v>
      </c>
      <c r="D475" t="str">
        <f>VLOOKUP(J475,Location[],2,FALSE)</f>
        <v>Chicago</v>
      </c>
      <c r="E475" t="str">
        <f>VLOOKUP(J475,Location[],3,FALSE)</f>
        <v> Illinois</v>
      </c>
      <c r="F475" t="str">
        <f>VLOOKUP(K475,Dept[],2,FALSE)</f>
        <v>Finance</v>
      </c>
      <c r="G475" s="11">
        <f t="shared" si="7"/>
        <v>40664</v>
      </c>
      <c r="H475" t="str">
        <f>VLOOKUP(N475,Status[],2,FALSE)</f>
        <v>Full-Time</v>
      </c>
      <c r="J475" s="7">
        <v>1003</v>
      </c>
      <c r="K475">
        <v>15</v>
      </c>
      <c r="L475">
        <v>2011</v>
      </c>
      <c r="M475">
        <v>5</v>
      </c>
      <c r="N475">
        <v>1</v>
      </c>
    </row>
    <row r="476" spans="1:14" x14ac:dyDescent="0.25">
      <c r="A476" t="s">
        <v>2720</v>
      </c>
      <c r="B476" t="s">
        <v>25</v>
      </c>
      <c r="C476" t="s">
        <v>26</v>
      </c>
      <c r="D476" t="str">
        <f>VLOOKUP(J476,Location[],2,FALSE)</f>
        <v>Omaha</v>
      </c>
      <c r="E476" t="str">
        <f>VLOOKUP(J476,Location[],3,FALSE)</f>
        <v> Nebraska</v>
      </c>
      <c r="F476" t="str">
        <f>VLOOKUP(K476,Dept[],2,FALSE)</f>
        <v>Administration</v>
      </c>
      <c r="G476" s="11">
        <f t="shared" si="7"/>
        <v>40787</v>
      </c>
      <c r="H476" t="str">
        <f>VLOOKUP(N476,Status[],2,FALSE)</f>
        <v>Part-Time</v>
      </c>
      <c r="J476" s="7">
        <v>1040</v>
      </c>
      <c r="K476">
        <v>12</v>
      </c>
      <c r="L476">
        <v>2011</v>
      </c>
      <c r="M476">
        <v>9</v>
      </c>
      <c r="N476">
        <v>0</v>
      </c>
    </row>
    <row r="477" spans="1:14" x14ac:dyDescent="0.25">
      <c r="A477" t="s">
        <v>2721</v>
      </c>
      <c r="B477" t="s">
        <v>2084</v>
      </c>
      <c r="C477" t="s">
        <v>408</v>
      </c>
      <c r="D477" t="str">
        <f>VLOOKUP(J477,Location[],2,FALSE)</f>
        <v>Albuquerque</v>
      </c>
      <c r="E477" t="str">
        <f>VLOOKUP(J477,Location[],3,FALSE)</f>
        <v> New Mexico</v>
      </c>
      <c r="F477" t="str">
        <f>VLOOKUP(K477,Dept[],2,FALSE)</f>
        <v>Assessment</v>
      </c>
      <c r="G477" s="11">
        <f t="shared" si="7"/>
        <v>45200</v>
      </c>
      <c r="H477" t="str">
        <f>VLOOKUP(N477,Status[],2,FALSE)</f>
        <v>Full-Time</v>
      </c>
      <c r="J477" s="7">
        <v>1032</v>
      </c>
      <c r="K477">
        <v>13</v>
      </c>
      <c r="L477">
        <v>2023</v>
      </c>
      <c r="M477">
        <v>10</v>
      </c>
      <c r="N477">
        <v>1</v>
      </c>
    </row>
    <row r="478" spans="1:14" x14ac:dyDescent="0.25">
      <c r="A478" t="s">
        <v>2722</v>
      </c>
      <c r="B478" t="s">
        <v>1533</v>
      </c>
      <c r="C478" t="s">
        <v>408</v>
      </c>
      <c r="D478" t="str">
        <f>VLOOKUP(J478,Location[],2,FALSE)</f>
        <v>Nashville</v>
      </c>
      <c r="E478" t="str">
        <f>VLOOKUP(J478,Location[],3,FALSE)</f>
        <v> Tennessee</v>
      </c>
      <c r="F478" t="str">
        <f>VLOOKUP(K478,Dept[],2,FALSE)</f>
        <v>Assessment</v>
      </c>
      <c r="G478" s="11">
        <f t="shared" si="7"/>
        <v>40575</v>
      </c>
      <c r="H478" t="str">
        <f>VLOOKUP(N478,Status[],2,FALSE)</f>
        <v>Part-Time</v>
      </c>
      <c r="J478" s="7">
        <v>1024</v>
      </c>
      <c r="K478">
        <v>13</v>
      </c>
      <c r="L478">
        <v>2011</v>
      </c>
      <c r="M478">
        <v>2</v>
      </c>
      <c r="N478">
        <v>0</v>
      </c>
    </row>
    <row r="479" spans="1:14" x14ac:dyDescent="0.25">
      <c r="A479" t="s">
        <v>2723</v>
      </c>
      <c r="B479" t="s">
        <v>1008</v>
      </c>
      <c r="C479" t="s">
        <v>1009</v>
      </c>
      <c r="D479" t="str">
        <f>VLOOKUP(J479,Location[],2,FALSE)</f>
        <v>Orlando</v>
      </c>
      <c r="E479" t="str">
        <f>VLOOKUP(J479,Location[],3,FALSE)</f>
        <v> Florida</v>
      </c>
      <c r="F479" t="str">
        <f>VLOOKUP(K479,Dept[],2,FALSE)</f>
        <v>Administration</v>
      </c>
      <c r="G479" s="11">
        <f t="shared" si="7"/>
        <v>43800</v>
      </c>
      <c r="H479" t="str">
        <f>VLOOKUP(N479,Status[],2,FALSE)</f>
        <v>Part-Time</v>
      </c>
      <c r="J479" s="7">
        <v>1072</v>
      </c>
      <c r="K479">
        <v>12</v>
      </c>
      <c r="L479">
        <v>2019</v>
      </c>
      <c r="M479">
        <v>12</v>
      </c>
      <c r="N479">
        <v>0</v>
      </c>
    </row>
    <row r="480" spans="1:14" x14ac:dyDescent="0.25">
      <c r="A480" t="s">
        <v>2724</v>
      </c>
      <c r="B480" t="s">
        <v>200</v>
      </c>
      <c r="C480" t="s">
        <v>201</v>
      </c>
      <c r="D480" t="str">
        <f>VLOOKUP(J480,Location[],2,FALSE)</f>
        <v>Portland</v>
      </c>
      <c r="E480" t="str">
        <f>VLOOKUP(J480,Location[],3,FALSE)</f>
        <v> Oregon</v>
      </c>
      <c r="F480" t="str">
        <f>VLOOKUP(K480,Dept[],2,FALSE)</f>
        <v>Sales</v>
      </c>
      <c r="G480" s="11">
        <f t="shared" si="7"/>
        <v>43132</v>
      </c>
      <c r="H480" t="str">
        <f>VLOOKUP(N480,Status[],2,FALSE)</f>
        <v>Full-Time</v>
      </c>
      <c r="J480" s="7">
        <v>1026</v>
      </c>
      <c r="K480">
        <v>22</v>
      </c>
      <c r="L480">
        <v>2018</v>
      </c>
      <c r="M480">
        <v>2</v>
      </c>
      <c r="N480">
        <v>1</v>
      </c>
    </row>
    <row r="481" spans="1:14" x14ac:dyDescent="0.25">
      <c r="A481" t="s">
        <v>2725</v>
      </c>
      <c r="B481" t="s">
        <v>1380</v>
      </c>
      <c r="C481" t="s">
        <v>1381</v>
      </c>
      <c r="D481" t="str">
        <f>VLOOKUP(J481,Location[],2,FALSE)</f>
        <v>Raleigh</v>
      </c>
      <c r="E481" t="str">
        <f>VLOOKUP(J481,Location[],3,FALSE)</f>
        <v> North Carolina</v>
      </c>
      <c r="F481" t="str">
        <f>VLOOKUP(K481,Dept[],2,FALSE)</f>
        <v>Human Resources</v>
      </c>
      <c r="G481" s="11">
        <f t="shared" si="7"/>
        <v>44501</v>
      </c>
      <c r="H481" t="str">
        <f>VLOOKUP(N481,Status[],2,FALSE)</f>
        <v>Full-Time</v>
      </c>
      <c r="J481" s="7">
        <v>1041</v>
      </c>
      <c r="K481">
        <v>16</v>
      </c>
      <c r="L481">
        <v>2021</v>
      </c>
      <c r="M481">
        <v>11</v>
      </c>
      <c r="N481">
        <v>1</v>
      </c>
    </row>
    <row r="482" spans="1:14" x14ac:dyDescent="0.25">
      <c r="A482" t="s">
        <v>2726</v>
      </c>
      <c r="B482" t="s">
        <v>964</v>
      </c>
      <c r="C482" t="s">
        <v>965</v>
      </c>
      <c r="D482" t="str">
        <f>VLOOKUP(J482,Location[],2,FALSE)</f>
        <v>Austin</v>
      </c>
      <c r="E482" t="str">
        <f>VLOOKUP(J482,Location[],3,FALSE)</f>
        <v> Texas</v>
      </c>
      <c r="F482" t="str">
        <f>VLOOKUP(K482,Dept[],2,FALSE)</f>
        <v>Customer Support</v>
      </c>
      <c r="G482" s="11">
        <f t="shared" si="7"/>
        <v>43739</v>
      </c>
      <c r="H482" t="str">
        <f>VLOOKUP(N482,Status[],2,FALSE)</f>
        <v>Part-Time</v>
      </c>
      <c r="J482" s="7">
        <v>1011</v>
      </c>
      <c r="K482">
        <v>14</v>
      </c>
      <c r="L482">
        <v>2019</v>
      </c>
      <c r="M482">
        <v>10</v>
      </c>
      <c r="N482">
        <v>0</v>
      </c>
    </row>
    <row r="483" spans="1:14" x14ac:dyDescent="0.25">
      <c r="A483" t="s">
        <v>2727</v>
      </c>
      <c r="B483" t="s">
        <v>1369</v>
      </c>
      <c r="C483" t="s">
        <v>2054</v>
      </c>
      <c r="D483" t="str">
        <f>VLOOKUP(J483,Location[],2,FALSE)</f>
        <v>Charlotte</v>
      </c>
      <c r="E483" t="str">
        <f>VLOOKUP(J483,Location[],3,FALSE)</f>
        <v> North Carolina</v>
      </c>
      <c r="F483" t="str">
        <f>VLOOKUP(K483,Dept[],2,FALSE)</f>
        <v>Legal</v>
      </c>
      <c r="G483" s="11">
        <f t="shared" si="7"/>
        <v>41944</v>
      </c>
      <c r="H483" t="str">
        <f>VLOOKUP(N483,Status[],2,FALSE)</f>
        <v>Full-Time</v>
      </c>
      <c r="J483" s="7">
        <v>1017</v>
      </c>
      <c r="K483">
        <v>18</v>
      </c>
      <c r="L483">
        <v>2014</v>
      </c>
      <c r="M483">
        <v>11</v>
      </c>
      <c r="N483">
        <v>1</v>
      </c>
    </row>
    <row r="484" spans="1:14" x14ac:dyDescent="0.25">
      <c r="A484" t="s">
        <v>2728</v>
      </c>
      <c r="B484" t="s">
        <v>321</v>
      </c>
      <c r="C484" t="s">
        <v>1985</v>
      </c>
      <c r="D484" t="str">
        <f>VLOOKUP(J484,Location[],2,FALSE)</f>
        <v>Milwaukee</v>
      </c>
      <c r="E484" t="str">
        <f>VLOOKUP(J484,Location[],3,FALSE)</f>
        <v> Wisconsin</v>
      </c>
      <c r="F484" t="str">
        <f>VLOOKUP(K484,Dept[],2,FALSE)</f>
        <v>Legal</v>
      </c>
      <c r="G484" s="11">
        <f t="shared" si="7"/>
        <v>44927</v>
      </c>
      <c r="H484" t="str">
        <f>VLOOKUP(N484,Status[],2,FALSE)</f>
        <v>Full-Time</v>
      </c>
      <c r="J484" s="7">
        <v>1031</v>
      </c>
      <c r="K484">
        <v>18</v>
      </c>
      <c r="L484">
        <v>2023</v>
      </c>
      <c r="M484">
        <v>1</v>
      </c>
      <c r="N484">
        <v>1</v>
      </c>
    </row>
    <row r="485" spans="1:14" x14ac:dyDescent="0.25">
      <c r="A485" t="s">
        <v>2729</v>
      </c>
      <c r="B485" t="s">
        <v>85</v>
      </c>
      <c r="C485" t="s">
        <v>1657</v>
      </c>
      <c r="D485" t="str">
        <f>VLOOKUP(J485,Location[],2,FALSE)</f>
        <v>New York City</v>
      </c>
      <c r="E485" t="str">
        <f>VLOOKUP(J485,Location[],3,FALSE)</f>
        <v> New York</v>
      </c>
      <c r="F485" t="str">
        <f>VLOOKUP(K485,Dept[],2,FALSE)</f>
        <v>Assessment</v>
      </c>
      <c r="G485" s="11">
        <f t="shared" si="7"/>
        <v>44562</v>
      </c>
      <c r="H485" t="str">
        <f>VLOOKUP(N485,Status[],2,FALSE)</f>
        <v>Full-Time</v>
      </c>
      <c r="J485" s="7">
        <v>1001</v>
      </c>
      <c r="K485">
        <v>13</v>
      </c>
      <c r="L485">
        <v>2022</v>
      </c>
      <c r="M485">
        <v>1</v>
      </c>
      <c r="N485">
        <v>1</v>
      </c>
    </row>
    <row r="486" spans="1:14" x14ac:dyDescent="0.25">
      <c r="A486" t="s">
        <v>2730</v>
      </c>
      <c r="B486" t="s">
        <v>59</v>
      </c>
      <c r="C486" t="s">
        <v>1647</v>
      </c>
      <c r="D486" t="str">
        <f>VLOOKUP(J486,Location[],2,FALSE)</f>
        <v>Seattle</v>
      </c>
      <c r="E486" t="str">
        <f>VLOOKUP(J486,Location[],3,FALSE)</f>
        <v> Washington</v>
      </c>
      <c r="F486" t="str">
        <f>VLOOKUP(K486,Dept[],2,FALSE)</f>
        <v>Administration</v>
      </c>
      <c r="G486" s="11">
        <f t="shared" si="7"/>
        <v>43160</v>
      </c>
      <c r="H486" t="str">
        <f>VLOOKUP(N486,Status[],2,FALSE)</f>
        <v>Full-Time</v>
      </c>
      <c r="J486" s="7">
        <v>1018</v>
      </c>
      <c r="K486">
        <v>12</v>
      </c>
      <c r="L486">
        <v>2018</v>
      </c>
      <c r="M486">
        <v>3</v>
      </c>
      <c r="N486">
        <v>1</v>
      </c>
    </row>
    <row r="487" spans="1:14" x14ac:dyDescent="0.25">
      <c r="A487" t="s">
        <v>2731</v>
      </c>
      <c r="B487" t="s">
        <v>39</v>
      </c>
      <c r="C487" t="s">
        <v>1987</v>
      </c>
      <c r="D487" t="str">
        <f>VLOOKUP(J487,Location[],2,FALSE)</f>
        <v>Houston</v>
      </c>
      <c r="E487" t="str">
        <f>VLOOKUP(J487,Location[],3,FALSE)</f>
        <v> Texas</v>
      </c>
      <c r="F487" t="str">
        <f>VLOOKUP(K487,Dept[],2,FALSE)</f>
        <v>Administration</v>
      </c>
      <c r="G487" s="11">
        <f t="shared" si="7"/>
        <v>40878</v>
      </c>
      <c r="H487" t="str">
        <f>VLOOKUP(N487,Status[],2,FALSE)</f>
        <v>Full-Time</v>
      </c>
      <c r="J487" s="7">
        <v>1004</v>
      </c>
      <c r="K487">
        <v>12</v>
      </c>
      <c r="L487">
        <v>2011</v>
      </c>
      <c r="M487">
        <v>12</v>
      </c>
      <c r="N487">
        <v>1</v>
      </c>
    </row>
    <row r="488" spans="1:14" x14ac:dyDescent="0.25">
      <c r="A488" t="s">
        <v>2732</v>
      </c>
      <c r="B488" t="s">
        <v>505</v>
      </c>
      <c r="C488" t="s">
        <v>545</v>
      </c>
      <c r="D488" t="str">
        <f>VLOOKUP(J488,Location[],2,FALSE)</f>
        <v>Houston</v>
      </c>
      <c r="E488" t="str">
        <f>VLOOKUP(J488,Location[],3,FALSE)</f>
        <v> Texas</v>
      </c>
      <c r="F488" t="str">
        <f>VLOOKUP(K488,Dept[],2,FALSE)</f>
        <v>Media</v>
      </c>
      <c r="G488" s="11">
        <f t="shared" si="7"/>
        <v>44440</v>
      </c>
      <c r="H488" t="str">
        <f>VLOOKUP(N488,Status[],2,FALSE)</f>
        <v>Full-Time</v>
      </c>
      <c r="J488" s="7">
        <v>1004</v>
      </c>
      <c r="K488">
        <v>20</v>
      </c>
      <c r="L488">
        <v>2021</v>
      </c>
      <c r="M488">
        <v>9</v>
      </c>
      <c r="N488">
        <v>1</v>
      </c>
    </row>
    <row r="489" spans="1:14" x14ac:dyDescent="0.25">
      <c r="A489" t="s">
        <v>2733</v>
      </c>
      <c r="B489" t="s">
        <v>337</v>
      </c>
      <c r="C489" t="s">
        <v>545</v>
      </c>
      <c r="D489" t="str">
        <f>VLOOKUP(J489,Location[],2,FALSE)</f>
        <v>Honolulu</v>
      </c>
      <c r="E489" t="str">
        <f>VLOOKUP(J489,Location[],3,FALSE)</f>
        <v> Hawaii</v>
      </c>
      <c r="F489" t="str">
        <f>VLOOKUP(K489,Dept[],2,FALSE)</f>
        <v>Customer Support</v>
      </c>
      <c r="G489" s="11">
        <f t="shared" si="7"/>
        <v>43101</v>
      </c>
      <c r="H489" t="str">
        <f>VLOOKUP(N489,Status[],2,FALSE)</f>
        <v>Full-Time</v>
      </c>
      <c r="J489" s="7">
        <v>1056</v>
      </c>
      <c r="K489">
        <v>14</v>
      </c>
      <c r="L489">
        <v>2018</v>
      </c>
      <c r="M489">
        <v>1</v>
      </c>
      <c r="N489">
        <v>1</v>
      </c>
    </row>
    <row r="490" spans="1:14" x14ac:dyDescent="0.25">
      <c r="A490" t="s">
        <v>2734</v>
      </c>
      <c r="B490" t="s">
        <v>1697</v>
      </c>
      <c r="C490" t="s">
        <v>1970</v>
      </c>
      <c r="D490" t="str">
        <f>VLOOKUP(J490,Location[],2,FALSE)</f>
        <v>Albuquerque</v>
      </c>
      <c r="E490" t="str">
        <f>VLOOKUP(J490,Location[],3,FALSE)</f>
        <v> New Mexico</v>
      </c>
      <c r="F490" t="str">
        <f>VLOOKUP(K490,Dept[],2,FALSE)</f>
        <v>Human Resources</v>
      </c>
      <c r="G490" s="11">
        <f t="shared" si="7"/>
        <v>43435</v>
      </c>
      <c r="H490" t="str">
        <f>VLOOKUP(N490,Status[],2,FALSE)</f>
        <v>Full-Time</v>
      </c>
      <c r="J490" s="7">
        <v>1032</v>
      </c>
      <c r="K490">
        <v>16</v>
      </c>
      <c r="L490">
        <v>2018</v>
      </c>
      <c r="M490">
        <v>12</v>
      </c>
      <c r="N490">
        <v>1</v>
      </c>
    </row>
    <row r="491" spans="1:14" x14ac:dyDescent="0.25">
      <c r="A491" t="s">
        <v>2735</v>
      </c>
      <c r="B491" t="s">
        <v>239</v>
      </c>
      <c r="C491" t="s">
        <v>447</v>
      </c>
      <c r="D491" t="str">
        <f>VLOOKUP(J491,Location[],2,FALSE)</f>
        <v>New Orleans</v>
      </c>
      <c r="E491" t="str">
        <f>VLOOKUP(J491,Location[],3,FALSE)</f>
        <v> Louisiana</v>
      </c>
      <c r="F491" t="str">
        <f>VLOOKUP(K491,Dept[],2,FALSE)</f>
        <v>Marketing</v>
      </c>
      <c r="G491" s="11">
        <f t="shared" si="7"/>
        <v>42979</v>
      </c>
      <c r="H491" t="str">
        <f>VLOOKUP(N491,Status[],2,FALSE)</f>
        <v>Full-Time</v>
      </c>
      <c r="J491" s="7">
        <v>1049</v>
      </c>
      <c r="K491">
        <v>19</v>
      </c>
      <c r="L491">
        <v>2017</v>
      </c>
      <c r="M491">
        <v>9</v>
      </c>
      <c r="N491">
        <v>1</v>
      </c>
    </row>
    <row r="492" spans="1:14" x14ac:dyDescent="0.25">
      <c r="A492" t="s">
        <v>2736</v>
      </c>
      <c r="B492" t="s">
        <v>713</v>
      </c>
      <c r="C492" t="s">
        <v>714</v>
      </c>
      <c r="D492" t="str">
        <f>VLOOKUP(J492,Location[],2,FALSE)</f>
        <v>Los Angeles</v>
      </c>
      <c r="E492" t="str">
        <f>VLOOKUP(J492,Location[],3,FALSE)</f>
        <v> California</v>
      </c>
      <c r="F492" t="str">
        <f>VLOOKUP(K492,Dept[],2,FALSE)</f>
        <v>Media</v>
      </c>
      <c r="G492" s="11">
        <f t="shared" si="7"/>
        <v>42125</v>
      </c>
      <c r="H492" t="str">
        <f>VLOOKUP(N492,Status[],2,FALSE)</f>
        <v>Full-Time</v>
      </c>
      <c r="J492" s="7">
        <v>1002</v>
      </c>
      <c r="K492">
        <v>20</v>
      </c>
      <c r="L492">
        <v>2015</v>
      </c>
      <c r="M492">
        <v>5</v>
      </c>
      <c r="N492">
        <v>1</v>
      </c>
    </row>
    <row r="493" spans="1:14" x14ac:dyDescent="0.25">
      <c r="A493" t="s">
        <v>2737</v>
      </c>
      <c r="B493" t="s">
        <v>1377</v>
      </c>
      <c r="C493" t="s">
        <v>1378</v>
      </c>
      <c r="D493" t="str">
        <f>VLOOKUP(J493,Location[],2,FALSE)</f>
        <v>Fresno</v>
      </c>
      <c r="E493" t="str">
        <f>VLOOKUP(J493,Location[],3,FALSE)</f>
        <v> California</v>
      </c>
      <c r="F493" t="str">
        <f>VLOOKUP(K493,Dept[],2,FALSE)</f>
        <v>Marketing</v>
      </c>
      <c r="G493" s="11">
        <f t="shared" si="7"/>
        <v>40969</v>
      </c>
      <c r="H493" t="str">
        <f>VLOOKUP(N493,Status[],2,FALSE)</f>
        <v>Part-Time</v>
      </c>
      <c r="J493" s="7">
        <v>1034</v>
      </c>
      <c r="K493">
        <v>19</v>
      </c>
      <c r="L493">
        <v>2012</v>
      </c>
      <c r="M493">
        <v>3</v>
      </c>
      <c r="N493">
        <v>0</v>
      </c>
    </row>
    <row r="494" spans="1:14" x14ac:dyDescent="0.25">
      <c r="A494" t="s">
        <v>2659</v>
      </c>
      <c r="B494" t="s">
        <v>5</v>
      </c>
      <c r="C494" t="s">
        <v>6</v>
      </c>
      <c r="D494" t="str">
        <f>VLOOKUP(J494,Location[],2,FALSE)</f>
        <v>Houston</v>
      </c>
      <c r="E494" t="str">
        <f>VLOOKUP(J494,Location[],3,FALSE)</f>
        <v> Texas</v>
      </c>
      <c r="F494" t="str">
        <f>VLOOKUP(K494,Dept[],2,FALSE)</f>
        <v>Administration</v>
      </c>
      <c r="G494" s="11">
        <f t="shared" si="7"/>
        <v>41760</v>
      </c>
      <c r="H494" t="str">
        <f>VLOOKUP(N494,Status[],2,FALSE)</f>
        <v>Full-Time</v>
      </c>
      <c r="J494" s="7">
        <v>1004</v>
      </c>
      <c r="K494">
        <v>12</v>
      </c>
      <c r="L494">
        <v>2014</v>
      </c>
      <c r="M494">
        <v>5</v>
      </c>
      <c r="N494">
        <v>1</v>
      </c>
    </row>
    <row r="495" spans="1:14" x14ac:dyDescent="0.25">
      <c r="A495" t="s">
        <v>2738</v>
      </c>
      <c r="B495" t="s">
        <v>85</v>
      </c>
      <c r="C495" t="s">
        <v>461</v>
      </c>
      <c r="D495" t="str">
        <f>VLOOKUP(J495,Location[],2,FALSE)</f>
        <v>Raleigh</v>
      </c>
      <c r="E495" t="str">
        <f>VLOOKUP(J495,Location[],3,FALSE)</f>
        <v> North Carolina</v>
      </c>
      <c r="F495" t="str">
        <f>VLOOKUP(K495,Dept[],2,FALSE)</f>
        <v>Administration</v>
      </c>
      <c r="G495" s="11">
        <f t="shared" si="7"/>
        <v>44835</v>
      </c>
      <c r="H495" t="str">
        <f>VLOOKUP(N495,Status[],2,FALSE)</f>
        <v>Part-Time</v>
      </c>
      <c r="J495" s="7">
        <v>1041</v>
      </c>
      <c r="K495">
        <v>12</v>
      </c>
      <c r="L495">
        <v>2022</v>
      </c>
      <c r="M495">
        <v>10</v>
      </c>
      <c r="N495">
        <v>0</v>
      </c>
    </row>
    <row r="496" spans="1:14" x14ac:dyDescent="0.25">
      <c r="A496" t="s">
        <v>2739</v>
      </c>
      <c r="B496" t="s">
        <v>1277</v>
      </c>
      <c r="C496" t="s">
        <v>1278</v>
      </c>
      <c r="D496" t="str">
        <f>VLOOKUP(J496,Location[],2,FALSE)</f>
        <v>Charlotte</v>
      </c>
      <c r="E496" t="str">
        <f>VLOOKUP(J496,Location[],3,FALSE)</f>
        <v> North Carolina</v>
      </c>
      <c r="F496" t="str">
        <f>VLOOKUP(K496,Dept[],2,FALSE)</f>
        <v>Legal</v>
      </c>
      <c r="G496" s="11">
        <f t="shared" si="7"/>
        <v>40817</v>
      </c>
      <c r="H496" t="str">
        <f>VLOOKUP(N496,Status[],2,FALSE)</f>
        <v>Full-Time</v>
      </c>
      <c r="J496" s="7">
        <v>1017</v>
      </c>
      <c r="K496">
        <v>18</v>
      </c>
      <c r="L496">
        <v>2011</v>
      </c>
      <c r="M496">
        <v>10</v>
      </c>
      <c r="N496">
        <v>1</v>
      </c>
    </row>
    <row r="497" spans="1:14" x14ac:dyDescent="0.25">
      <c r="A497" t="s">
        <v>2740</v>
      </c>
      <c r="B497" t="s">
        <v>339</v>
      </c>
      <c r="C497" t="s">
        <v>994</v>
      </c>
      <c r="D497" t="str">
        <f>VLOOKUP(J497,Location[],2,FALSE)</f>
        <v>Albuquerque</v>
      </c>
      <c r="E497" t="str">
        <f>VLOOKUP(J497,Location[],3,FALSE)</f>
        <v> New Mexico</v>
      </c>
      <c r="F497" t="str">
        <f>VLOOKUP(K497,Dept[],2,FALSE)</f>
        <v>Legal</v>
      </c>
      <c r="G497" s="11">
        <f t="shared" si="7"/>
        <v>42036</v>
      </c>
      <c r="H497" t="str">
        <f>VLOOKUP(N497,Status[],2,FALSE)</f>
        <v>Part-Time</v>
      </c>
      <c r="J497" s="7">
        <v>1032</v>
      </c>
      <c r="K497">
        <v>18</v>
      </c>
      <c r="L497">
        <v>2015</v>
      </c>
      <c r="M497">
        <v>2</v>
      </c>
      <c r="N497">
        <v>0</v>
      </c>
    </row>
    <row r="498" spans="1:14" x14ac:dyDescent="0.25">
      <c r="A498" t="s">
        <v>2741</v>
      </c>
      <c r="B498" t="s">
        <v>1173</v>
      </c>
      <c r="C498" t="s">
        <v>1201</v>
      </c>
      <c r="D498" t="str">
        <f>VLOOKUP(J498,Location[],2,FALSE)</f>
        <v>Los Angeles</v>
      </c>
      <c r="E498" t="str">
        <f>VLOOKUP(J498,Location[],3,FALSE)</f>
        <v> California</v>
      </c>
      <c r="F498" t="str">
        <f>VLOOKUP(K498,Dept[],2,FALSE)</f>
        <v>Customer Support</v>
      </c>
      <c r="G498" s="11">
        <f t="shared" si="7"/>
        <v>44378</v>
      </c>
      <c r="H498" t="str">
        <f>VLOOKUP(N498,Status[],2,FALSE)</f>
        <v>Full-Time</v>
      </c>
      <c r="J498" s="7">
        <v>1002</v>
      </c>
      <c r="K498">
        <v>14</v>
      </c>
      <c r="L498">
        <v>2021</v>
      </c>
      <c r="M498">
        <v>7</v>
      </c>
      <c r="N498">
        <v>1</v>
      </c>
    </row>
    <row r="499" spans="1:14" x14ac:dyDescent="0.25">
      <c r="A499" t="s">
        <v>2742</v>
      </c>
      <c r="B499" t="s">
        <v>212</v>
      </c>
      <c r="C499" t="s">
        <v>1588</v>
      </c>
      <c r="D499" t="str">
        <f>VLOOKUP(J499,Location[],2,FALSE)</f>
        <v>San Francisco</v>
      </c>
      <c r="E499" t="str">
        <f>VLOOKUP(J499,Location[],3,FALSE)</f>
        <v> California</v>
      </c>
      <c r="F499" t="str">
        <f>VLOOKUP(K499,Dept[],2,FALSE)</f>
        <v>Assessment</v>
      </c>
      <c r="G499" s="11">
        <f t="shared" si="7"/>
        <v>42064</v>
      </c>
      <c r="H499" t="str">
        <f>VLOOKUP(N499,Status[],2,FALSE)</f>
        <v>Full-Time</v>
      </c>
      <c r="J499" s="7">
        <v>1013</v>
      </c>
      <c r="K499">
        <v>13</v>
      </c>
      <c r="L499">
        <v>2015</v>
      </c>
      <c r="M499">
        <v>3</v>
      </c>
      <c r="N499">
        <v>1</v>
      </c>
    </row>
    <row r="500" spans="1:14" x14ac:dyDescent="0.25">
      <c r="A500" t="s">
        <v>2743</v>
      </c>
      <c r="B500" t="s">
        <v>384</v>
      </c>
      <c r="C500" t="s">
        <v>206</v>
      </c>
      <c r="D500" t="str">
        <f>VLOOKUP(J500,Location[],2,FALSE)</f>
        <v>San Francisco</v>
      </c>
      <c r="E500" t="str">
        <f>VLOOKUP(J500,Location[],3,FALSE)</f>
        <v> California</v>
      </c>
      <c r="F500" t="str">
        <f>VLOOKUP(K500,Dept[],2,FALSE)</f>
        <v>Accounting</v>
      </c>
      <c r="G500" s="11">
        <f t="shared" si="7"/>
        <v>41974</v>
      </c>
      <c r="H500" t="str">
        <f>VLOOKUP(N500,Status[],2,FALSE)</f>
        <v>Part-Time</v>
      </c>
      <c r="J500" s="7">
        <v>1013</v>
      </c>
      <c r="K500">
        <v>11</v>
      </c>
      <c r="L500">
        <v>2014</v>
      </c>
      <c r="M500">
        <v>12</v>
      </c>
      <c r="N500">
        <v>0</v>
      </c>
    </row>
    <row r="501" spans="1:14" x14ac:dyDescent="0.25">
      <c r="A501" t="s">
        <v>2744</v>
      </c>
      <c r="B501" t="s">
        <v>1193</v>
      </c>
      <c r="C501" t="s">
        <v>206</v>
      </c>
      <c r="D501" t="str">
        <f>VLOOKUP(J501,Location[],2,FALSE)</f>
        <v>Fort Worth</v>
      </c>
      <c r="E501" t="str">
        <f>VLOOKUP(J501,Location[],3,FALSE)</f>
        <v> Texas</v>
      </c>
      <c r="F501" t="str">
        <f>VLOOKUP(K501,Dept[],2,FALSE)</f>
        <v>Sales</v>
      </c>
      <c r="G501" s="11">
        <f t="shared" si="7"/>
        <v>42948</v>
      </c>
      <c r="H501" t="str">
        <f>VLOOKUP(N501,Status[],2,FALSE)</f>
        <v>Full-Time</v>
      </c>
      <c r="J501" s="7">
        <v>1015</v>
      </c>
      <c r="K501">
        <v>22</v>
      </c>
      <c r="L501">
        <v>2017</v>
      </c>
      <c r="M501">
        <v>8</v>
      </c>
      <c r="N501">
        <v>1</v>
      </c>
    </row>
    <row r="502" spans="1:14" x14ac:dyDescent="0.25">
      <c r="A502" t="s">
        <v>2745</v>
      </c>
      <c r="B502" t="s">
        <v>55</v>
      </c>
      <c r="C502" t="s">
        <v>206</v>
      </c>
      <c r="D502" t="str">
        <f>VLOOKUP(J502,Location[],2,FALSE)</f>
        <v>Colorado Springs</v>
      </c>
      <c r="E502" t="str">
        <f>VLOOKUP(J502,Location[],3,FALSE)</f>
        <v> Colorado</v>
      </c>
      <c r="F502" t="str">
        <f>VLOOKUP(K502,Dept[],2,FALSE)</f>
        <v>Finance</v>
      </c>
      <c r="G502" s="11">
        <f t="shared" si="7"/>
        <v>42826</v>
      </c>
      <c r="H502" t="str">
        <f>VLOOKUP(N502,Status[],2,FALSE)</f>
        <v>Full-Time</v>
      </c>
      <c r="J502" s="7">
        <v>1042</v>
      </c>
      <c r="K502">
        <v>15</v>
      </c>
      <c r="L502">
        <v>2017</v>
      </c>
      <c r="M502">
        <v>4</v>
      </c>
      <c r="N502">
        <v>1</v>
      </c>
    </row>
    <row r="503" spans="1:14" x14ac:dyDescent="0.25">
      <c r="A503" t="s">
        <v>2746</v>
      </c>
      <c r="B503" t="s">
        <v>205</v>
      </c>
      <c r="C503" t="s">
        <v>206</v>
      </c>
      <c r="D503" t="str">
        <f>VLOOKUP(J503,Location[],2,FALSE)</f>
        <v>Chicago</v>
      </c>
      <c r="E503" t="str">
        <f>VLOOKUP(J503,Location[],3,FALSE)</f>
        <v> Illinois</v>
      </c>
      <c r="F503" t="str">
        <f>VLOOKUP(K503,Dept[],2,FALSE)</f>
        <v>Customer Support</v>
      </c>
      <c r="G503" s="11">
        <f t="shared" si="7"/>
        <v>42522</v>
      </c>
      <c r="H503" t="str">
        <f>VLOOKUP(N503,Status[],2,FALSE)</f>
        <v>Full-Time</v>
      </c>
      <c r="J503" s="7">
        <v>1003</v>
      </c>
      <c r="K503">
        <v>14</v>
      </c>
      <c r="L503">
        <v>2016</v>
      </c>
      <c r="M503">
        <v>6</v>
      </c>
      <c r="N503">
        <v>1</v>
      </c>
    </row>
    <row r="504" spans="1:14" x14ac:dyDescent="0.25">
      <c r="A504" t="s">
        <v>2747</v>
      </c>
      <c r="B504" t="s">
        <v>721</v>
      </c>
      <c r="C504" t="s">
        <v>206</v>
      </c>
      <c r="D504" t="str">
        <f>VLOOKUP(J504,Location[],2,FALSE)</f>
        <v>Charlotte</v>
      </c>
      <c r="E504" t="str">
        <f>VLOOKUP(J504,Location[],3,FALSE)</f>
        <v> North Carolina</v>
      </c>
      <c r="F504" t="str">
        <f>VLOOKUP(K504,Dept[],2,FALSE)</f>
        <v>Marketing</v>
      </c>
      <c r="G504" s="11">
        <f t="shared" si="7"/>
        <v>43891</v>
      </c>
      <c r="H504" t="str">
        <f>VLOOKUP(N504,Status[],2,FALSE)</f>
        <v>Full-Time</v>
      </c>
      <c r="J504" s="7">
        <v>1017</v>
      </c>
      <c r="K504">
        <v>19</v>
      </c>
      <c r="L504">
        <v>2020</v>
      </c>
      <c r="M504">
        <v>3</v>
      </c>
      <c r="N504">
        <v>1</v>
      </c>
    </row>
    <row r="505" spans="1:14" x14ac:dyDescent="0.25">
      <c r="A505" t="s">
        <v>2748</v>
      </c>
      <c r="B505" t="s">
        <v>270</v>
      </c>
      <c r="C505" t="s">
        <v>437</v>
      </c>
      <c r="D505" t="str">
        <f>VLOOKUP(J505,Location[],2,FALSE)</f>
        <v>Fort Worth</v>
      </c>
      <c r="E505" t="str">
        <f>VLOOKUP(J505,Location[],3,FALSE)</f>
        <v> Texas</v>
      </c>
      <c r="F505" t="str">
        <f>VLOOKUP(K505,Dept[],2,FALSE)</f>
        <v>Media</v>
      </c>
      <c r="G505" s="11">
        <f t="shared" si="7"/>
        <v>41334</v>
      </c>
      <c r="H505" t="str">
        <f>VLOOKUP(N505,Status[],2,FALSE)</f>
        <v>Full-Time</v>
      </c>
      <c r="J505" s="7">
        <v>1015</v>
      </c>
      <c r="K505">
        <v>20</v>
      </c>
      <c r="L505">
        <v>2013</v>
      </c>
      <c r="M505">
        <v>3</v>
      </c>
      <c r="N505">
        <v>1</v>
      </c>
    </row>
    <row r="506" spans="1:14" x14ac:dyDescent="0.25">
      <c r="A506" t="s">
        <v>2749</v>
      </c>
      <c r="B506" t="s">
        <v>83</v>
      </c>
      <c r="C506" t="s">
        <v>437</v>
      </c>
      <c r="D506" t="str">
        <f>VLOOKUP(J506,Location[],2,FALSE)</f>
        <v>Jacksonville</v>
      </c>
      <c r="E506" t="str">
        <f>VLOOKUP(J506,Location[],3,FALSE)</f>
        <v> Florida</v>
      </c>
      <c r="F506" t="str">
        <f>VLOOKUP(K506,Dept[],2,FALSE)</f>
        <v>Accounting</v>
      </c>
      <c r="G506" s="11">
        <f t="shared" si="7"/>
        <v>41548</v>
      </c>
      <c r="H506" t="str">
        <f>VLOOKUP(N506,Status[],2,FALSE)</f>
        <v>Full-Time</v>
      </c>
      <c r="J506" s="7">
        <v>1012</v>
      </c>
      <c r="K506">
        <v>11</v>
      </c>
      <c r="L506">
        <v>2013</v>
      </c>
      <c r="M506">
        <v>10</v>
      </c>
      <c r="N506">
        <v>1</v>
      </c>
    </row>
    <row r="507" spans="1:14" x14ac:dyDescent="0.25">
      <c r="A507" t="s">
        <v>2750</v>
      </c>
      <c r="B507" t="s">
        <v>21</v>
      </c>
      <c r="C507" t="s">
        <v>1459</v>
      </c>
      <c r="D507" t="str">
        <f>VLOOKUP(J507,Location[],2,FALSE)</f>
        <v>Plano</v>
      </c>
      <c r="E507" t="str">
        <f>VLOOKUP(J507,Location[],3,FALSE)</f>
        <v> Texas</v>
      </c>
      <c r="F507" t="str">
        <f>VLOOKUP(K507,Dept[],2,FALSE)</f>
        <v>Assessment</v>
      </c>
      <c r="G507" s="11">
        <f t="shared" si="7"/>
        <v>44440</v>
      </c>
      <c r="H507" t="str">
        <f>VLOOKUP(N507,Status[],2,FALSE)</f>
        <v>Full-Time</v>
      </c>
      <c r="J507" s="7">
        <v>1069</v>
      </c>
      <c r="K507">
        <v>13</v>
      </c>
      <c r="L507">
        <v>2021</v>
      </c>
      <c r="M507">
        <v>9</v>
      </c>
      <c r="N507">
        <v>1</v>
      </c>
    </row>
    <row r="508" spans="1:14" x14ac:dyDescent="0.25">
      <c r="A508" t="s">
        <v>2751</v>
      </c>
      <c r="B508" t="s">
        <v>1353</v>
      </c>
      <c r="C508" t="s">
        <v>1354</v>
      </c>
      <c r="D508" t="str">
        <f>VLOOKUP(J508,Location[],2,FALSE)</f>
        <v>Buffalo</v>
      </c>
      <c r="E508" t="str">
        <f>VLOOKUP(J508,Location[],3,FALSE)</f>
        <v> New York</v>
      </c>
      <c r="F508" t="str">
        <f>VLOOKUP(K508,Dept[],2,FALSE)</f>
        <v>Sales</v>
      </c>
      <c r="G508" s="11">
        <f t="shared" si="7"/>
        <v>42795</v>
      </c>
      <c r="H508" t="str">
        <f>VLOOKUP(N508,Status[],2,FALSE)</f>
        <v>Part-Time</v>
      </c>
      <c r="J508" s="7">
        <v>1081</v>
      </c>
      <c r="K508">
        <v>22</v>
      </c>
      <c r="L508">
        <v>2017</v>
      </c>
      <c r="M508">
        <v>3</v>
      </c>
      <c r="N508">
        <v>0</v>
      </c>
    </row>
    <row r="509" spans="1:14" x14ac:dyDescent="0.25">
      <c r="A509" t="s">
        <v>2752</v>
      </c>
      <c r="B509" t="s">
        <v>307</v>
      </c>
      <c r="C509" t="s">
        <v>1951</v>
      </c>
      <c r="D509" t="str">
        <f>VLOOKUP(J509,Location[],2,FALSE)</f>
        <v>Houston</v>
      </c>
      <c r="E509" t="str">
        <f>VLOOKUP(J509,Location[],3,FALSE)</f>
        <v> Texas</v>
      </c>
      <c r="F509" t="str">
        <f>VLOOKUP(K509,Dept[],2,FALSE)</f>
        <v>Accounting</v>
      </c>
      <c r="G509" s="11">
        <f t="shared" si="7"/>
        <v>45078</v>
      </c>
      <c r="H509" t="str">
        <f>VLOOKUP(N509,Status[],2,FALSE)</f>
        <v>Full-Time</v>
      </c>
      <c r="J509" s="7">
        <v>1004</v>
      </c>
      <c r="K509">
        <v>11</v>
      </c>
      <c r="L509">
        <v>2023</v>
      </c>
      <c r="M509">
        <v>6</v>
      </c>
      <c r="N509">
        <v>1</v>
      </c>
    </row>
    <row r="510" spans="1:14" x14ac:dyDescent="0.25">
      <c r="A510" t="s">
        <v>2753</v>
      </c>
      <c r="B510" t="s">
        <v>938</v>
      </c>
      <c r="C510" t="s">
        <v>711</v>
      </c>
      <c r="D510" t="str">
        <f>VLOOKUP(J510,Location[],2,FALSE)</f>
        <v>Chicago</v>
      </c>
      <c r="E510" t="str">
        <f>VLOOKUP(J510,Location[],3,FALSE)</f>
        <v> Illinois</v>
      </c>
      <c r="F510" t="str">
        <f>VLOOKUP(K510,Dept[],2,FALSE)</f>
        <v>Administration</v>
      </c>
      <c r="G510" s="11">
        <f t="shared" si="7"/>
        <v>44013</v>
      </c>
      <c r="H510" t="str">
        <f>VLOOKUP(N510,Status[],2,FALSE)</f>
        <v>Full-Time</v>
      </c>
      <c r="J510" s="7">
        <v>1003</v>
      </c>
      <c r="K510">
        <v>12</v>
      </c>
      <c r="L510">
        <v>2020</v>
      </c>
      <c r="M510">
        <v>7</v>
      </c>
      <c r="N510">
        <v>1</v>
      </c>
    </row>
    <row r="511" spans="1:14" x14ac:dyDescent="0.25">
      <c r="A511" t="s">
        <v>2754</v>
      </c>
      <c r="B511" t="s">
        <v>83</v>
      </c>
      <c r="C511" t="s">
        <v>711</v>
      </c>
      <c r="D511" t="str">
        <f>VLOOKUP(J511,Location[],2,FALSE)</f>
        <v>Raleigh</v>
      </c>
      <c r="E511" t="str">
        <f>VLOOKUP(J511,Location[],3,FALSE)</f>
        <v> North Carolina</v>
      </c>
      <c r="F511" t="str">
        <f>VLOOKUP(K511,Dept[],2,FALSE)</f>
        <v>Customer Support</v>
      </c>
      <c r="G511" s="11">
        <f t="shared" si="7"/>
        <v>40787</v>
      </c>
      <c r="H511" t="str">
        <f>VLOOKUP(N511,Status[],2,FALSE)</f>
        <v>Full-Time</v>
      </c>
      <c r="J511" s="7">
        <v>1041</v>
      </c>
      <c r="K511">
        <v>14</v>
      </c>
      <c r="L511">
        <v>2011</v>
      </c>
      <c r="M511">
        <v>9</v>
      </c>
      <c r="N511">
        <v>1</v>
      </c>
    </row>
    <row r="512" spans="1:14" x14ac:dyDescent="0.25">
      <c r="A512" t="s">
        <v>2755</v>
      </c>
      <c r="B512" t="s">
        <v>1069</v>
      </c>
      <c r="C512" t="s">
        <v>1070</v>
      </c>
      <c r="D512" t="str">
        <f>VLOOKUP(J512,Location[],2,FALSE)</f>
        <v>Saint Paul</v>
      </c>
      <c r="E512" t="str">
        <f>VLOOKUP(J512,Location[],3,FALSE)</f>
        <v> Minnesota</v>
      </c>
      <c r="F512" t="str">
        <f>VLOOKUP(K512,Dept[],2,FALSE)</f>
        <v>IT</v>
      </c>
      <c r="G512" s="11">
        <f t="shared" si="7"/>
        <v>43983</v>
      </c>
      <c r="H512" t="str">
        <f>VLOOKUP(N512,Status[],2,FALSE)</f>
        <v>Full-Time</v>
      </c>
      <c r="J512" s="7">
        <v>1063</v>
      </c>
      <c r="K512">
        <v>17</v>
      </c>
      <c r="L512">
        <v>2020</v>
      </c>
      <c r="M512">
        <v>6</v>
      </c>
      <c r="N512">
        <v>1</v>
      </c>
    </row>
    <row r="513" spans="1:14" x14ac:dyDescent="0.25">
      <c r="A513" t="s">
        <v>2756</v>
      </c>
      <c r="B513" t="s">
        <v>81</v>
      </c>
      <c r="C513" t="s">
        <v>1070</v>
      </c>
      <c r="D513" t="str">
        <f>VLOOKUP(J513,Location[],2,FALSE)</f>
        <v>Cleveland</v>
      </c>
      <c r="E513" t="str">
        <f>VLOOKUP(J513,Location[],3,FALSE)</f>
        <v> Ohio</v>
      </c>
      <c r="F513" t="str">
        <f>VLOOKUP(K513,Dept[],2,FALSE)</f>
        <v>Accounting</v>
      </c>
      <c r="G513" s="11">
        <f t="shared" si="7"/>
        <v>42064</v>
      </c>
      <c r="H513" t="str">
        <f>VLOOKUP(N513,Status[],2,FALSE)</f>
        <v>Full-Time</v>
      </c>
      <c r="J513" s="7">
        <v>1051</v>
      </c>
      <c r="K513">
        <v>11</v>
      </c>
      <c r="L513">
        <v>2015</v>
      </c>
      <c r="M513">
        <v>3</v>
      </c>
      <c r="N513">
        <v>1</v>
      </c>
    </row>
    <row r="514" spans="1:14" x14ac:dyDescent="0.25">
      <c r="A514" t="s">
        <v>2757</v>
      </c>
      <c r="B514" t="s">
        <v>1088</v>
      </c>
      <c r="C514" t="s">
        <v>559</v>
      </c>
      <c r="D514" t="str">
        <f>VLOOKUP(J514,Location[],2,FALSE)</f>
        <v>St. Louis</v>
      </c>
      <c r="E514" t="str">
        <f>VLOOKUP(J514,Location[],3,FALSE)</f>
        <v> Missouri</v>
      </c>
      <c r="F514" t="str">
        <f>VLOOKUP(K514,Dept[],2,FALSE)</f>
        <v>Customer Support</v>
      </c>
      <c r="G514" s="11">
        <f t="shared" si="7"/>
        <v>43556</v>
      </c>
      <c r="H514" t="str">
        <f>VLOOKUP(N514,Status[],2,FALSE)</f>
        <v>Full-Time</v>
      </c>
      <c r="J514" s="7">
        <v>1062</v>
      </c>
      <c r="K514">
        <v>14</v>
      </c>
      <c r="L514">
        <v>2019</v>
      </c>
      <c r="M514">
        <v>4</v>
      </c>
      <c r="N514">
        <v>1</v>
      </c>
    </row>
    <row r="515" spans="1:14" x14ac:dyDescent="0.25">
      <c r="A515" t="s">
        <v>2758</v>
      </c>
      <c r="B515" t="s">
        <v>558</v>
      </c>
      <c r="C515" t="s">
        <v>559</v>
      </c>
      <c r="D515" t="str">
        <f>VLOOKUP(J515,Location[],2,FALSE)</f>
        <v>Philadelphia</v>
      </c>
      <c r="E515" t="str">
        <f>VLOOKUP(J515,Location[],3,FALSE)</f>
        <v> Pennsylvania</v>
      </c>
      <c r="F515" t="str">
        <f>VLOOKUP(K515,Dept[],2,FALSE)</f>
        <v>Marketing</v>
      </c>
      <c r="G515" s="11">
        <f t="shared" si="7"/>
        <v>41426</v>
      </c>
      <c r="H515" t="str">
        <f>VLOOKUP(N515,Status[],2,FALSE)</f>
        <v>Full-Time</v>
      </c>
      <c r="J515" s="7">
        <v>1006</v>
      </c>
      <c r="K515">
        <v>19</v>
      </c>
      <c r="L515">
        <v>2013</v>
      </c>
      <c r="M515">
        <v>6</v>
      </c>
      <c r="N515">
        <v>1</v>
      </c>
    </row>
    <row r="516" spans="1:14" x14ac:dyDescent="0.25">
      <c r="A516" t="s">
        <v>2759</v>
      </c>
      <c r="B516" t="s">
        <v>817</v>
      </c>
      <c r="C516" t="s">
        <v>559</v>
      </c>
      <c r="D516" t="str">
        <f>VLOOKUP(J516,Location[],2,FALSE)</f>
        <v>Phoenix</v>
      </c>
      <c r="E516" t="str">
        <f>VLOOKUP(J516,Location[],3,FALSE)</f>
        <v> Arizona</v>
      </c>
      <c r="F516" t="str">
        <f>VLOOKUP(K516,Dept[],2,FALSE)</f>
        <v>Legal</v>
      </c>
      <c r="G516" s="11">
        <f t="shared" si="7"/>
        <v>44166</v>
      </c>
      <c r="H516" t="str">
        <f>VLOOKUP(N516,Status[],2,FALSE)</f>
        <v>Full-Time</v>
      </c>
      <c r="J516" s="7">
        <v>1005</v>
      </c>
      <c r="K516">
        <v>18</v>
      </c>
      <c r="L516">
        <v>2020</v>
      </c>
      <c r="M516">
        <v>12</v>
      </c>
      <c r="N516">
        <v>1</v>
      </c>
    </row>
    <row r="517" spans="1:14" x14ac:dyDescent="0.25">
      <c r="A517" t="s">
        <v>2760</v>
      </c>
      <c r="B517" t="s">
        <v>1173</v>
      </c>
      <c r="C517" t="s">
        <v>1542</v>
      </c>
      <c r="D517" t="str">
        <f>VLOOKUP(J517,Location[],2,FALSE)</f>
        <v>Aurora</v>
      </c>
      <c r="E517" t="str">
        <f>VLOOKUP(J517,Location[],3,FALSE)</f>
        <v> Colorado</v>
      </c>
      <c r="F517" t="str">
        <f>VLOOKUP(K517,Dept[],2,FALSE)</f>
        <v>Finance</v>
      </c>
      <c r="G517" s="11">
        <f t="shared" ref="G517:G580" si="8">DATE(L517,M517,1)</f>
        <v>42614</v>
      </c>
      <c r="H517" t="str">
        <f>VLOOKUP(N517,Status[],2,FALSE)</f>
        <v>Full-Time</v>
      </c>
      <c r="J517" s="7">
        <v>1054</v>
      </c>
      <c r="K517">
        <v>15</v>
      </c>
      <c r="L517">
        <v>2016</v>
      </c>
      <c r="M517">
        <v>9</v>
      </c>
      <c r="N517">
        <v>1</v>
      </c>
    </row>
    <row r="518" spans="1:14" x14ac:dyDescent="0.25">
      <c r="A518" t="s">
        <v>2761</v>
      </c>
      <c r="B518" t="s">
        <v>67</v>
      </c>
      <c r="C518" t="s">
        <v>68</v>
      </c>
      <c r="D518" t="str">
        <f>VLOOKUP(J518,Location[],2,FALSE)</f>
        <v>Portland</v>
      </c>
      <c r="E518" t="str">
        <f>VLOOKUP(J518,Location[],3,FALSE)</f>
        <v> Oregon</v>
      </c>
      <c r="F518" t="str">
        <f>VLOOKUP(K518,Dept[],2,FALSE)</f>
        <v>Media</v>
      </c>
      <c r="G518" s="11">
        <f t="shared" si="8"/>
        <v>41609</v>
      </c>
      <c r="H518" t="str">
        <f>VLOOKUP(N518,Status[],2,FALSE)</f>
        <v>Full-Time</v>
      </c>
      <c r="J518" s="7">
        <v>1026</v>
      </c>
      <c r="K518">
        <v>20</v>
      </c>
      <c r="L518">
        <v>2013</v>
      </c>
      <c r="M518">
        <v>12</v>
      </c>
      <c r="N518">
        <v>1</v>
      </c>
    </row>
    <row r="519" spans="1:14" x14ac:dyDescent="0.25">
      <c r="A519" t="s">
        <v>2762</v>
      </c>
      <c r="B519" t="s">
        <v>159</v>
      </c>
      <c r="C519" t="s">
        <v>1650</v>
      </c>
      <c r="D519" t="str">
        <f>VLOOKUP(J519,Location[],2,FALSE)</f>
        <v>Kansas City</v>
      </c>
      <c r="E519" t="str">
        <f>VLOOKUP(J519,Location[],3,FALSE)</f>
        <v> Missouri</v>
      </c>
      <c r="F519" t="str">
        <f>VLOOKUP(K519,Dept[],2,FALSE)</f>
        <v>Accounting</v>
      </c>
      <c r="G519" s="11">
        <f t="shared" si="8"/>
        <v>41214</v>
      </c>
      <c r="H519" t="str">
        <f>VLOOKUP(N519,Status[],2,FALSE)</f>
        <v>Full-Time</v>
      </c>
      <c r="J519" s="7">
        <v>1037</v>
      </c>
      <c r="K519">
        <v>11</v>
      </c>
      <c r="L519">
        <v>2012</v>
      </c>
      <c r="M519">
        <v>11</v>
      </c>
      <c r="N519">
        <v>1</v>
      </c>
    </row>
    <row r="520" spans="1:14" x14ac:dyDescent="0.25">
      <c r="A520" t="s">
        <v>2763</v>
      </c>
      <c r="B520" t="s">
        <v>2000</v>
      </c>
      <c r="C520" t="s">
        <v>1650</v>
      </c>
      <c r="D520" t="str">
        <f>VLOOKUP(J520,Location[],2,FALSE)</f>
        <v>Los Angeles</v>
      </c>
      <c r="E520" t="str">
        <f>VLOOKUP(J520,Location[],3,FALSE)</f>
        <v> California</v>
      </c>
      <c r="F520" t="str">
        <f>VLOOKUP(K520,Dept[],2,FALSE)</f>
        <v>Marketing</v>
      </c>
      <c r="G520" s="11">
        <f t="shared" si="8"/>
        <v>43466</v>
      </c>
      <c r="H520" t="str">
        <f>VLOOKUP(N520,Status[],2,FALSE)</f>
        <v>Full-Time</v>
      </c>
      <c r="J520" s="7">
        <v>1002</v>
      </c>
      <c r="K520">
        <v>19</v>
      </c>
      <c r="L520">
        <v>2019</v>
      </c>
      <c r="M520">
        <v>1</v>
      </c>
      <c r="N520">
        <v>1</v>
      </c>
    </row>
    <row r="521" spans="1:14" x14ac:dyDescent="0.25">
      <c r="A521" t="s">
        <v>2764</v>
      </c>
      <c r="B521" t="s">
        <v>231</v>
      </c>
      <c r="C521" t="s">
        <v>232</v>
      </c>
      <c r="D521" t="str">
        <f>VLOOKUP(J521,Location[],2,FALSE)</f>
        <v>Houston</v>
      </c>
      <c r="E521" t="str">
        <f>VLOOKUP(J521,Location[],3,FALSE)</f>
        <v> Texas</v>
      </c>
      <c r="F521" t="str">
        <f>VLOOKUP(K521,Dept[],2,FALSE)</f>
        <v>Accounting</v>
      </c>
      <c r="G521" s="11">
        <f t="shared" si="8"/>
        <v>41913</v>
      </c>
      <c r="H521" t="str">
        <f>VLOOKUP(N521,Status[],2,FALSE)</f>
        <v>Full-Time</v>
      </c>
      <c r="J521" s="7">
        <v>1004</v>
      </c>
      <c r="K521">
        <v>11</v>
      </c>
      <c r="L521">
        <v>2014</v>
      </c>
      <c r="M521">
        <v>10</v>
      </c>
      <c r="N521">
        <v>1</v>
      </c>
    </row>
    <row r="522" spans="1:14" x14ac:dyDescent="0.25">
      <c r="A522" t="s">
        <v>2765</v>
      </c>
      <c r="B522" t="s">
        <v>229</v>
      </c>
      <c r="C522" t="s">
        <v>230</v>
      </c>
      <c r="D522" t="str">
        <f>VLOOKUP(J522,Location[],2,FALSE)</f>
        <v>Phoenix</v>
      </c>
      <c r="E522" t="str">
        <f>VLOOKUP(J522,Location[],3,FALSE)</f>
        <v> Arizona</v>
      </c>
      <c r="F522" t="str">
        <f>VLOOKUP(K522,Dept[],2,FALSE)</f>
        <v>Media</v>
      </c>
      <c r="G522" s="11">
        <f t="shared" si="8"/>
        <v>41275</v>
      </c>
      <c r="H522" t="str">
        <f>VLOOKUP(N522,Status[],2,FALSE)</f>
        <v>Full-Time</v>
      </c>
      <c r="J522" s="7">
        <v>1005</v>
      </c>
      <c r="K522">
        <v>20</v>
      </c>
      <c r="L522">
        <v>2013</v>
      </c>
      <c r="M522">
        <v>1</v>
      </c>
      <c r="N522">
        <v>1</v>
      </c>
    </row>
    <row r="523" spans="1:14" x14ac:dyDescent="0.25">
      <c r="A523" t="s">
        <v>2766</v>
      </c>
      <c r="B523" t="s">
        <v>431</v>
      </c>
      <c r="C523" t="s">
        <v>230</v>
      </c>
      <c r="D523" t="str">
        <f>VLOOKUP(J523,Location[],2,FALSE)</f>
        <v>Henderson</v>
      </c>
      <c r="E523" t="str">
        <f>VLOOKUP(J523,Location[],3,FALSE)</f>
        <v> Nevada</v>
      </c>
      <c r="F523" t="str">
        <f>VLOOKUP(K523,Dept[],2,FALSE)</f>
        <v>R&amp;D</v>
      </c>
      <c r="G523" s="11">
        <f t="shared" si="8"/>
        <v>42309</v>
      </c>
      <c r="H523" t="str">
        <f>VLOOKUP(N523,Status[],2,FALSE)</f>
        <v>Full-Time</v>
      </c>
      <c r="J523" s="7">
        <v>1064</v>
      </c>
      <c r="K523">
        <v>21</v>
      </c>
      <c r="L523">
        <v>2015</v>
      </c>
      <c r="M523">
        <v>11</v>
      </c>
      <c r="N523">
        <v>1</v>
      </c>
    </row>
    <row r="524" spans="1:14" x14ac:dyDescent="0.25">
      <c r="A524" t="s">
        <v>2767</v>
      </c>
      <c r="B524" t="s">
        <v>1547</v>
      </c>
      <c r="C524" t="s">
        <v>1408</v>
      </c>
      <c r="D524" t="str">
        <f>VLOOKUP(J524,Location[],2,FALSE)</f>
        <v>Denver</v>
      </c>
      <c r="E524" t="str">
        <f>VLOOKUP(J524,Location[],3,FALSE)</f>
        <v> Colorado</v>
      </c>
      <c r="F524" t="str">
        <f>VLOOKUP(K524,Dept[],2,FALSE)</f>
        <v>Sales</v>
      </c>
      <c r="G524" s="11">
        <f t="shared" si="8"/>
        <v>41791</v>
      </c>
      <c r="H524" t="str">
        <f>VLOOKUP(N524,Status[],2,FALSE)</f>
        <v>Full-Time</v>
      </c>
      <c r="J524" s="7">
        <v>1019</v>
      </c>
      <c r="K524">
        <v>22</v>
      </c>
      <c r="L524">
        <v>2014</v>
      </c>
      <c r="M524">
        <v>6</v>
      </c>
      <c r="N524">
        <v>1</v>
      </c>
    </row>
    <row r="525" spans="1:14" x14ac:dyDescent="0.25">
      <c r="A525" t="s">
        <v>2768</v>
      </c>
      <c r="B525" t="s">
        <v>595</v>
      </c>
      <c r="C525" t="s">
        <v>1408</v>
      </c>
      <c r="D525" t="str">
        <f>VLOOKUP(J525,Location[],2,FALSE)</f>
        <v>Raleigh</v>
      </c>
      <c r="E525" t="str">
        <f>VLOOKUP(J525,Location[],3,FALSE)</f>
        <v> North Carolina</v>
      </c>
      <c r="F525" t="str">
        <f>VLOOKUP(K525,Dept[],2,FALSE)</f>
        <v>Accounting</v>
      </c>
      <c r="G525" s="11">
        <f t="shared" si="8"/>
        <v>43800</v>
      </c>
      <c r="H525" t="str">
        <f>VLOOKUP(N525,Status[],2,FALSE)</f>
        <v>Part-Time</v>
      </c>
      <c r="J525" s="7">
        <v>1041</v>
      </c>
      <c r="K525">
        <v>11</v>
      </c>
      <c r="L525">
        <v>2019</v>
      </c>
      <c r="M525">
        <v>12</v>
      </c>
      <c r="N525">
        <v>0</v>
      </c>
    </row>
    <row r="526" spans="1:14" x14ac:dyDescent="0.25">
      <c r="A526" t="s">
        <v>2769</v>
      </c>
      <c r="B526" t="s">
        <v>29</v>
      </c>
      <c r="C526" t="s">
        <v>196</v>
      </c>
      <c r="D526" t="str">
        <f>VLOOKUP(J526,Location[],2,FALSE)</f>
        <v>San Antonio</v>
      </c>
      <c r="E526" t="str">
        <f>VLOOKUP(J526,Location[],3,FALSE)</f>
        <v> Texas</v>
      </c>
      <c r="F526" t="str">
        <f>VLOOKUP(K526,Dept[],2,FALSE)</f>
        <v>Administration</v>
      </c>
      <c r="G526" s="11">
        <f t="shared" si="8"/>
        <v>43556</v>
      </c>
      <c r="H526" t="str">
        <f>VLOOKUP(N526,Status[],2,FALSE)</f>
        <v>Full-Time</v>
      </c>
      <c r="J526" s="7">
        <v>1007</v>
      </c>
      <c r="K526">
        <v>12</v>
      </c>
      <c r="L526">
        <v>2019</v>
      </c>
      <c r="M526">
        <v>4</v>
      </c>
      <c r="N526">
        <v>1</v>
      </c>
    </row>
    <row r="527" spans="1:14" x14ac:dyDescent="0.25">
      <c r="A527" t="s">
        <v>2770</v>
      </c>
      <c r="B527" t="s">
        <v>1832</v>
      </c>
      <c r="C527" t="s">
        <v>196</v>
      </c>
      <c r="D527" t="str">
        <f>VLOOKUP(J527,Location[],2,FALSE)</f>
        <v>Honolulu</v>
      </c>
      <c r="E527" t="str">
        <f>VLOOKUP(J527,Location[],3,FALSE)</f>
        <v> Hawaii</v>
      </c>
      <c r="F527" t="str">
        <f>VLOOKUP(K527,Dept[],2,FALSE)</f>
        <v>Legal</v>
      </c>
      <c r="G527" s="11">
        <f t="shared" si="8"/>
        <v>43617</v>
      </c>
      <c r="H527" t="str">
        <f>VLOOKUP(N527,Status[],2,FALSE)</f>
        <v>Full-Time</v>
      </c>
      <c r="J527" s="7">
        <v>1056</v>
      </c>
      <c r="K527">
        <v>18</v>
      </c>
      <c r="L527">
        <v>2019</v>
      </c>
      <c r="M527">
        <v>6</v>
      </c>
      <c r="N527">
        <v>1</v>
      </c>
    </row>
    <row r="528" spans="1:14" x14ac:dyDescent="0.25">
      <c r="A528" t="s">
        <v>2771</v>
      </c>
      <c r="B528" t="s">
        <v>1804</v>
      </c>
      <c r="C528" t="s">
        <v>1476</v>
      </c>
      <c r="D528" t="str">
        <f>VLOOKUP(J528,Location[],2,FALSE)</f>
        <v>Fresno</v>
      </c>
      <c r="E528" t="str">
        <f>VLOOKUP(J528,Location[],3,FALSE)</f>
        <v> California</v>
      </c>
      <c r="F528" t="str">
        <f>VLOOKUP(K528,Dept[],2,FALSE)</f>
        <v>Accounting</v>
      </c>
      <c r="G528" s="11">
        <f t="shared" si="8"/>
        <v>44927</v>
      </c>
      <c r="H528" t="str">
        <f>VLOOKUP(N528,Status[],2,FALSE)</f>
        <v>Full-Time</v>
      </c>
      <c r="J528" s="7">
        <v>1034</v>
      </c>
      <c r="K528">
        <v>11</v>
      </c>
      <c r="L528">
        <v>2023</v>
      </c>
      <c r="M528">
        <v>1</v>
      </c>
      <c r="N528">
        <v>1</v>
      </c>
    </row>
    <row r="529" spans="1:14" x14ac:dyDescent="0.25">
      <c r="A529" t="s">
        <v>2772</v>
      </c>
      <c r="B529" t="s">
        <v>344</v>
      </c>
      <c r="C529" t="s">
        <v>1476</v>
      </c>
      <c r="D529" t="str">
        <f>VLOOKUP(J529,Location[],2,FALSE)</f>
        <v>Chandler</v>
      </c>
      <c r="E529" t="str">
        <f>VLOOKUP(J529,Location[],3,FALSE)</f>
        <v> Arizona</v>
      </c>
      <c r="F529" t="str">
        <f>VLOOKUP(K529,Dept[],2,FALSE)</f>
        <v>Finance</v>
      </c>
      <c r="G529" s="11">
        <f t="shared" si="8"/>
        <v>42095</v>
      </c>
      <c r="H529" t="str">
        <f>VLOOKUP(N529,Status[],2,FALSE)</f>
        <v>Full-Time</v>
      </c>
      <c r="J529" s="7">
        <v>1084</v>
      </c>
      <c r="K529">
        <v>15</v>
      </c>
      <c r="L529">
        <v>2015</v>
      </c>
      <c r="M529">
        <v>4</v>
      </c>
      <c r="N529">
        <v>1</v>
      </c>
    </row>
    <row r="530" spans="1:14" x14ac:dyDescent="0.25">
      <c r="A530" t="s">
        <v>2773</v>
      </c>
      <c r="B530" t="s">
        <v>1685</v>
      </c>
      <c r="C530" t="s">
        <v>1686</v>
      </c>
      <c r="D530" t="str">
        <f>VLOOKUP(J530,Location[],2,FALSE)</f>
        <v>Raleigh</v>
      </c>
      <c r="E530" t="str">
        <f>VLOOKUP(J530,Location[],3,FALSE)</f>
        <v> North Carolina</v>
      </c>
      <c r="F530" t="str">
        <f>VLOOKUP(K530,Dept[],2,FALSE)</f>
        <v>Customer Support</v>
      </c>
      <c r="G530" s="11">
        <f t="shared" si="8"/>
        <v>42856</v>
      </c>
      <c r="H530" t="str">
        <f>VLOOKUP(N530,Status[],2,FALSE)</f>
        <v>Full-Time</v>
      </c>
      <c r="J530" s="7">
        <v>1041</v>
      </c>
      <c r="K530">
        <v>14</v>
      </c>
      <c r="L530">
        <v>2017</v>
      </c>
      <c r="M530">
        <v>5</v>
      </c>
      <c r="N530">
        <v>1</v>
      </c>
    </row>
    <row r="531" spans="1:14" x14ac:dyDescent="0.25">
      <c r="A531" t="s">
        <v>2774</v>
      </c>
      <c r="B531" t="s">
        <v>1193</v>
      </c>
      <c r="C531" t="s">
        <v>1194</v>
      </c>
      <c r="D531" t="str">
        <f>VLOOKUP(J531,Location[],2,FALSE)</f>
        <v>Omaha</v>
      </c>
      <c r="E531" t="str">
        <f>VLOOKUP(J531,Location[],3,FALSE)</f>
        <v> Nebraska</v>
      </c>
      <c r="F531" t="str">
        <f>VLOOKUP(K531,Dept[],2,FALSE)</f>
        <v>Finance</v>
      </c>
      <c r="G531" s="11">
        <f t="shared" si="8"/>
        <v>41183</v>
      </c>
      <c r="H531" t="str">
        <f>VLOOKUP(N531,Status[],2,FALSE)</f>
        <v>Full-Time</v>
      </c>
      <c r="J531" s="7">
        <v>1040</v>
      </c>
      <c r="K531">
        <v>15</v>
      </c>
      <c r="L531">
        <v>2012</v>
      </c>
      <c r="M531">
        <v>10</v>
      </c>
      <c r="N531">
        <v>1</v>
      </c>
    </row>
    <row r="532" spans="1:14" x14ac:dyDescent="0.25">
      <c r="A532" t="s">
        <v>2775</v>
      </c>
      <c r="B532" t="s">
        <v>1575</v>
      </c>
      <c r="C532" t="s">
        <v>1576</v>
      </c>
      <c r="D532" t="str">
        <f>VLOOKUP(J532,Location[],2,FALSE)</f>
        <v>New York City</v>
      </c>
      <c r="E532" t="str">
        <f>VLOOKUP(J532,Location[],3,FALSE)</f>
        <v> New York</v>
      </c>
      <c r="F532" t="str">
        <f>VLOOKUP(K532,Dept[],2,FALSE)</f>
        <v>Human Resources</v>
      </c>
      <c r="G532" s="11">
        <f t="shared" si="8"/>
        <v>43435</v>
      </c>
      <c r="H532" t="str">
        <f>VLOOKUP(N532,Status[],2,FALSE)</f>
        <v>Full-Time</v>
      </c>
      <c r="J532" s="7">
        <v>1001</v>
      </c>
      <c r="K532">
        <v>16</v>
      </c>
      <c r="L532">
        <v>2018</v>
      </c>
      <c r="M532">
        <v>12</v>
      </c>
      <c r="N532">
        <v>1</v>
      </c>
    </row>
    <row r="533" spans="1:14" x14ac:dyDescent="0.25">
      <c r="A533" t="s">
        <v>2776</v>
      </c>
      <c r="B533" t="s">
        <v>1057</v>
      </c>
      <c r="C533" t="s">
        <v>1058</v>
      </c>
      <c r="D533" t="str">
        <f>VLOOKUP(J533,Location[],2,FALSE)</f>
        <v>New York City</v>
      </c>
      <c r="E533" t="str">
        <f>VLOOKUP(J533,Location[],3,FALSE)</f>
        <v> New York</v>
      </c>
      <c r="F533" t="str">
        <f>VLOOKUP(K533,Dept[],2,FALSE)</f>
        <v>Customer Support</v>
      </c>
      <c r="G533" s="11">
        <f t="shared" si="8"/>
        <v>43678</v>
      </c>
      <c r="H533" t="str">
        <f>VLOOKUP(N533,Status[],2,FALSE)</f>
        <v>Full-Time</v>
      </c>
      <c r="J533" s="7">
        <v>1001</v>
      </c>
      <c r="K533">
        <v>14</v>
      </c>
      <c r="L533">
        <v>2019</v>
      </c>
      <c r="M533">
        <v>8</v>
      </c>
      <c r="N533">
        <v>1</v>
      </c>
    </row>
    <row r="534" spans="1:14" x14ac:dyDescent="0.25">
      <c r="A534" t="s">
        <v>2777</v>
      </c>
      <c r="B534" t="s">
        <v>179</v>
      </c>
      <c r="C534" t="s">
        <v>598</v>
      </c>
      <c r="D534" t="str">
        <f>VLOOKUP(J534,Location[],2,FALSE)</f>
        <v>Portland</v>
      </c>
      <c r="E534" t="str">
        <f>VLOOKUP(J534,Location[],3,FALSE)</f>
        <v> Oregon</v>
      </c>
      <c r="F534" t="str">
        <f>VLOOKUP(K534,Dept[],2,FALSE)</f>
        <v>Accounting</v>
      </c>
      <c r="G534" s="11">
        <f t="shared" si="8"/>
        <v>41306</v>
      </c>
      <c r="H534" t="str">
        <f>VLOOKUP(N534,Status[],2,FALSE)</f>
        <v>Part-Time</v>
      </c>
      <c r="J534" s="7">
        <v>1026</v>
      </c>
      <c r="K534">
        <v>11</v>
      </c>
      <c r="L534">
        <v>2013</v>
      </c>
      <c r="M534">
        <v>2</v>
      </c>
      <c r="N534">
        <v>0</v>
      </c>
    </row>
    <row r="535" spans="1:14" x14ac:dyDescent="0.25">
      <c r="A535" t="s">
        <v>2778</v>
      </c>
      <c r="B535" t="s">
        <v>802</v>
      </c>
      <c r="C535" t="s">
        <v>803</v>
      </c>
      <c r="D535" t="str">
        <f>VLOOKUP(J535,Location[],2,FALSE)</f>
        <v>Houston</v>
      </c>
      <c r="E535" t="str">
        <f>VLOOKUP(J535,Location[],3,FALSE)</f>
        <v> Texas</v>
      </c>
      <c r="F535" t="str">
        <f>VLOOKUP(K535,Dept[],2,FALSE)</f>
        <v>Sales</v>
      </c>
      <c r="G535" s="11">
        <f t="shared" si="8"/>
        <v>42917</v>
      </c>
      <c r="H535" t="str">
        <f>VLOOKUP(N535,Status[],2,FALSE)</f>
        <v>Part-Time</v>
      </c>
      <c r="J535" s="7">
        <v>1004</v>
      </c>
      <c r="K535">
        <v>22</v>
      </c>
      <c r="L535">
        <v>2017</v>
      </c>
      <c r="M535">
        <v>7</v>
      </c>
      <c r="N535">
        <v>0</v>
      </c>
    </row>
    <row r="536" spans="1:14" x14ac:dyDescent="0.25">
      <c r="A536" t="s">
        <v>2779</v>
      </c>
      <c r="B536" t="s">
        <v>1695</v>
      </c>
      <c r="C536" t="s">
        <v>671</v>
      </c>
      <c r="D536" t="str">
        <f>VLOOKUP(J536,Location[],2,FALSE)</f>
        <v>Tulsa</v>
      </c>
      <c r="E536" t="str">
        <f>VLOOKUP(J536,Location[],3,FALSE)</f>
        <v> Oklahoma</v>
      </c>
      <c r="F536" t="str">
        <f>VLOOKUP(K536,Dept[],2,FALSE)</f>
        <v>Administration</v>
      </c>
      <c r="G536" s="11">
        <f t="shared" si="8"/>
        <v>44409</v>
      </c>
      <c r="H536" t="str">
        <f>VLOOKUP(N536,Status[],2,FALSE)</f>
        <v>Full-Time</v>
      </c>
      <c r="J536" s="7">
        <v>1047</v>
      </c>
      <c r="K536">
        <v>12</v>
      </c>
      <c r="L536">
        <v>2021</v>
      </c>
      <c r="M536">
        <v>8</v>
      </c>
      <c r="N536">
        <v>1</v>
      </c>
    </row>
    <row r="537" spans="1:14" x14ac:dyDescent="0.25">
      <c r="A537" t="s">
        <v>2780</v>
      </c>
      <c r="B537" t="s">
        <v>874</v>
      </c>
      <c r="C537" t="s">
        <v>671</v>
      </c>
      <c r="D537" t="str">
        <f>VLOOKUP(J537,Location[],2,FALSE)</f>
        <v>New York City</v>
      </c>
      <c r="E537" t="str">
        <f>VLOOKUP(J537,Location[],3,FALSE)</f>
        <v> New York</v>
      </c>
      <c r="F537" t="str">
        <f>VLOOKUP(K537,Dept[],2,FALSE)</f>
        <v>Administration</v>
      </c>
      <c r="G537" s="11">
        <f t="shared" si="8"/>
        <v>41456</v>
      </c>
      <c r="H537" t="str">
        <f>VLOOKUP(N537,Status[],2,FALSE)</f>
        <v>Full-Time</v>
      </c>
      <c r="J537" s="7">
        <v>1001</v>
      </c>
      <c r="K537">
        <v>12</v>
      </c>
      <c r="L537">
        <v>2013</v>
      </c>
      <c r="M537">
        <v>7</v>
      </c>
      <c r="N537">
        <v>1</v>
      </c>
    </row>
    <row r="538" spans="1:14" x14ac:dyDescent="0.25">
      <c r="A538" t="s">
        <v>2781</v>
      </c>
      <c r="B538" t="s">
        <v>408</v>
      </c>
      <c r="C538" t="s">
        <v>671</v>
      </c>
      <c r="D538" t="str">
        <f>VLOOKUP(J538,Location[],2,FALSE)</f>
        <v>Los Angeles</v>
      </c>
      <c r="E538" t="str">
        <f>VLOOKUP(J538,Location[],3,FALSE)</f>
        <v> California</v>
      </c>
      <c r="F538" t="str">
        <f>VLOOKUP(K538,Dept[],2,FALSE)</f>
        <v>Finance</v>
      </c>
      <c r="G538" s="11">
        <f t="shared" si="8"/>
        <v>43891</v>
      </c>
      <c r="H538" t="str">
        <f>VLOOKUP(N538,Status[],2,FALSE)</f>
        <v>Full-Time</v>
      </c>
      <c r="J538" s="7">
        <v>1002</v>
      </c>
      <c r="K538">
        <v>15</v>
      </c>
      <c r="L538">
        <v>2020</v>
      </c>
      <c r="M538">
        <v>3</v>
      </c>
      <c r="N538">
        <v>1</v>
      </c>
    </row>
    <row r="539" spans="1:14" x14ac:dyDescent="0.25">
      <c r="A539" t="s">
        <v>2782</v>
      </c>
      <c r="B539" t="s">
        <v>670</v>
      </c>
      <c r="C539" t="s">
        <v>671</v>
      </c>
      <c r="D539" t="str">
        <f>VLOOKUP(J539,Location[],2,FALSE)</f>
        <v>Denver</v>
      </c>
      <c r="E539" t="str">
        <f>VLOOKUP(J539,Location[],3,FALSE)</f>
        <v> Colorado</v>
      </c>
      <c r="F539" t="str">
        <f>VLOOKUP(K539,Dept[],2,FALSE)</f>
        <v>Customer Support</v>
      </c>
      <c r="G539" s="11">
        <f t="shared" si="8"/>
        <v>42309</v>
      </c>
      <c r="H539" t="str">
        <f>VLOOKUP(N539,Status[],2,FALSE)</f>
        <v>Full-Time</v>
      </c>
      <c r="J539" s="7">
        <v>1019</v>
      </c>
      <c r="K539">
        <v>14</v>
      </c>
      <c r="L539">
        <v>2015</v>
      </c>
      <c r="M539">
        <v>11</v>
      </c>
      <c r="N539">
        <v>1</v>
      </c>
    </row>
    <row r="540" spans="1:14" x14ac:dyDescent="0.25">
      <c r="A540" t="s">
        <v>2783</v>
      </c>
      <c r="B540" t="s">
        <v>1915</v>
      </c>
      <c r="C540" t="s">
        <v>1916</v>
      </c>
      <c r="D540" t="str">
        <f>VLOOKUP(J540,Location[],2,FALSE)</f>
        <v>St. Louis</v>
      </c>
      <c r="E540" t="str">
        <f>VLOOKUP(J540,Location[],3,FALSE)</f>
        <v> Missouri</v>
      </c>
      <c r="F540" t="str">
        <f>VLOOKUP(K540,Dept[],2,FALSE)</f>
        <v>Administration</v>
      </c>
      <c r="G540" s="11">
        <f t="shared" si="8"/>
        <v>44805</v>
      </c>
      <c r="H540" t="str">
        <f>VLOOKUP(N540,Status[],2,FALSE)</f>
        <v>Full-Time</v>
      </c>
      <c r="J540" s="7">
        <v>1062</v>
      </c>
      <c r="K540">
        <v>12</v>
      </c>
      <c r="L540">
        <v>2022</v>
      </c>
      <c r="M540">
        <v>9</v>
      </c>
      <c r="N540">
        <v>1</v>
      </c>
    </row>
    <row r="541" spans="1:14" x14ac:dyDescent="0.25">
      <c r="A541" t="s">
        <v>2784</v>
      </c>
      <c r="B541" t="s">
        <v>5</v>
      </c>
      <c r="C541" t="s">
        <v>1942</v>
      </c>
      <c r="D541" t="str">
        <f>VLOOKUP(J541,Location[],2,FALSE)</f>
        <v>San Antonio</v>
      </c>
      <c r="E541" t="str">
        <f>VLOOKUP(J541,Location[],3,FALSE)</f>
        <v> Texas</v>
      </c>
      <c r="F541" t="str">
        <f>VLOOKUP(K541,Dept[],2,FALSE)</f>
        <v>Administration</v>
      </c>
      <c r="G541" s="11">
        <f t="shared" si="8"/>
        <v>43221</v>
      </c>
      <c r="H541" t="str">
        <f>VLOOKUP(N541,Status[],2,FALSE)</f>
        <v>Full-Time</v>
      </c>
      <c r="J541" s="7">
        <v>1007</v>
      </c>
      <c r="K541">
        <v>12</v>
      </c>
      <c r="L541">
        <v>2018</v>
      </c>
      <c r="M541">
        <v>5</v>
      </c>
      <c r="N541">
        <v>1</v>
      </c>
    </row>
    <row r="542" spans="1:14" x14ac:dyDescent="0.25">
      <c r="A542" t="s">
        <v>2785</v>
      </c>
      <c r="B542" t="s">
        <v>248</v>
      </c>
      <c r="C542" t="s">
        <v>368</v>
      </c>
      <c r="D542" t="str">
        <f>VLOOKUP(J542,Location[],2,FALSE)</f>
        <v>Dallas</v>
      </c>
      <c r="E542" t="str">
        <f>VLOOKUP(J542,Location[],3,FALSE)</f>
        <v> Texas</v>
      </c>
      <c r="F542" t="str">
        <f>VLOOKUP(K542,Dept[],2,FALSE)</f>
        <v>Administration</v>
      </c>
      <c r="G542" s="11">
        <f t="shared" si="8"/>
        <v>42278</v>
      </c>
      <c r="H542" t="str">
        <f>VLOOKUP(N542,Status[],2,FALSE)</f>
        <v>Full-Time</v>
      </c>
      <c r="J542" s="7">
        <v>1009</v>
      </c>
      <c r="K542">
        <v>12</v>
      </c>
      <c r="L542">
        <v>2015</v>
      </c>
      <c r="M542">
        <v>10</v>
      </c>
      <c r="N542">
        <v>1</v>
      </c>
    </row>
    <row r="543" spans="1:14" x14ac:dyDescent="0.25">
      <c r="A543" t="s">
        <v>2786</v>
      </c>
      <c r="B543" t="s">
        <v>860</v>
      </c>
      <c r="C543" t="s">
        <v>861</v>
      </c>
      <c r="D543" t="str">
        <f>VLOOKUP(J543,Location[],2,FALSE)</f>
        <v>Madison</v>
      </c>
      <c r="E543" t="str">
        <f>VLOOKUP(J543,Location[],3,FALSE)</f>
        <v> Wisconsin</v>
      </c>
      <c r="F543" t="str">
        <f>VLOOKUP(K543,Dept[],2,FALSE)</f>
        <v>Assessment</v>
      </c>
      <c r="G543" s="11">
        <f t="shared" si="8"/>
        <v>43160</v>
      </c>
      <c r="H543" t="str">
        <f>VLOOKUP(N543,Status[],2,FALSE)</f>
        <v>Full-Time</v>
      </c>
      <c r="J543" s="7">
        <v>1082</v>
      </c>
      <c r="K543">
        <v>13</v>
      </c>
      <c r="L543">
        <v>2018</v>
      </c>
      <c r="M543">
        <v>3</v>
      </c>
      <c r="N543">
        <v>1</v>
      </c>
    </row>
    <row r="544" spans="1:14" x14ac:dyDescent="0.25">
      <c r="A544" t="s">
        <v>2787</v>
      </c>
      <c r="B544" t="s">
        <v>354</v>
      </c>
      <c r="C544" t="s">
        <v>1095</v>
      </c>
      <c r="D544" t="str">
        <f>VLOOKUP(J544,Location[],2,FALSE)</f>
        <v>Omaha</v>
      </c>
      <c r="E544" t="str">
        <f>VLOOKUP(J544,Location[],3,FALSE)</f>
        <v> Nebraska</v>
      </c>
      <c r="F544" t="str">
        <f>VLOOKUP(K544,Dept[],2,FALSE)</f>
        <v>Assessment</v>
      </c>
      <c r="G544" s="11">
        <f t="shared" si="8"/>
        <v>44958</v>
      </c>
      <c r="H544" t="str">
        <f>VLOOKUP(N544,Status[],2,FALSE)</f>
        <v>Part-Time</v>
      </c>
      <c r="J544" s="7">
        <v>1040</v>
      </c>
      <c r="K544">
        <v>13</v>
      </c>
      <c r="L544">
        <v>2023</v>
      </c>
      <c r="M544">
        <v>2</v>
      </c>
      <c r="N544">
        <v>0</v>
      </c>
    </row>
    <row r="545" spans="1:14" x14ac:dyDescent="0.25">
      <c r="A545" t="s">
        <v>2788</v>
      </c>
      <c r="B545" t="s">
        <v>190</v>
      </c>
      <c r="C545" t="s">
        <v>1068</v>
      </c>
      <c r="D545" t="str">
        <f>VLOOKUP(J545,Location[],2,FALSE)</f>
        <v>Oakland</v>
      </c>
      <c r="E545" t="str">
        <f>VLOOKUP(J545,Location[],3,FALSE)</f>
        <v> California</v>
      </c>
      <c r="F545" t="str">
        <f>VLOOKUP(K545,Dept[],2,FALSE)</f>
        <v>Legal</v>
      </c>
      <c r="G545" s="11">
        <f t="shared" si="8"/>
        <v>41030</v>
      </c>
      <c r="H545" t="str">
        <f>VLOOKUP(N545,Status[],2,FALSE)</f>
        <v>Full-Time</v>
      </c>
      <c r="J545" s="7">
        <v>1045</v>
      </c>
      <c r="K545">
        <v>18</v>
      </c>
      <c r="L545">
        <v>2012</v>
      </c>
      <c r="M545">
        <v>5</v>
      </c>
      <c r="N545">
        <v>1</v>
      </c>
    </row>
    <row r="546" spans="1:14" x14ac:dyDescent="0.25">
      <c r="A546" t="s">
        <v>2789</v>
      </c>
      <c r="B546" t="s">
        <v>1853</v>
      </c>
      <c r="C546" t="s">
        <v>1854</v>
      </c>
      <c r="D546" t="str">
        <f>VLOOKUP(J546,Location[],2,FALSE)</f>
        <v>Colorado Springs</v>
      </c>
      <c r="E546" t="str">
        <f>VLOOKUP(J546,Location[],3,FALSE)</f>
        <v> Colorado</v>
      </c>
      <c r="F546" t="str">
        <f>VLOOKUP(K546,Dept[],2,FALSE)</f>
        <v>Sales</v>
      </c>
      <c r="G546" s="11">
        <f t="shared" si="8"/>
        <v>45231</v>
      </c>
      <c r="H546" t="str">
        <f>VLOOKUP(N546,Status[],2,FALSE)</f>
        <v>Full-Time</v>
      </c>
      <c r="J546" s="7">
        <v>1042</v>
      </c>
      <c r="K546">
        <v>22</v>
      </c>
      <c r="L546">
        <v>2023</v>
      </c>
      <c r="M546">
        <v>11</v>
      </c>
      <c r="N546">
        <v>1</v>
      </c>
    </row>
    <row r="547" spans="1:14" x14ac:dyDescent="0.25">
      <c r="A547" t="s">
        <v>2790</v>
      </c>
      <c r="B547" t="s">
        <v>1173</v>
      </c>
      <c r="C547" t="s">
        <v>1231</v>
      </c>
      <c r="D547" t="str">
        <f>VLOOKUP(J547,Location[],2,FALSE)</f>
        <v>Charlotte</v>
      </c>
      <c r="E547" t="str">
        <f>VLOOKUP(J547,Location[],3,FALSE)</f>
        <v> North Carolina</v>
      </c>
      <c r="F547" t="str">
        <f>VLOOKUP(K547,Dept[],2,FALSE)</f>
        <v>Customer Support</v>
      </c>
      <c r="G547" s="11">
        <f t="shared" si="8"/>
        <v>43070</v>
      </c>
      <c r="H547" t="str">
        <f>VLOOKUP(N547,Status[],2,FALSE)</f>
        <v>Full-Time</v>
      </c>
      <c r="J547" s="7">
        <v>1017</v>
      </c>
      <c r="K547">
        <v>14</v>
      </c>
      <c r="L547">
        <v>2017</v>
      </c>
      <c r="M547">
        <v>12</v>
      </c>
      <c r="N547">
        <v>1</v>
      </c>
    </row>
    <row r="548" spans="1:14" x14ac:dyDescent="0.25">
      <c r="A548" t="s">
        <v>2791</v>
      </c>
      <c r="B548" t="s">
        <v>207</v>
      </c>
      <c r="C548" t="s">
        <v>208</v>
      </c>
      <c r="D548" t="str">
        <f>VLOOKUP(J548,Location[],2,FALSE)</f>
        <v>Louisville</v>
      </c>
      <c r="E548" t="str">
        <f>VLOOKUP(J548,Location[],3,FALSE)</f>
        <v> Kentucky</v>
      </c>
      <c r="F548" t="str">
        <f>VLOOKUP(K548,Dept[],2,FALSE)</f>
        <v>Assessment</v>
      </c>
      <c r="G548" s="11">
        <f t="shared" si="8"/>
        <v>43009</v>
      </c>
      <c r="H548" t="str">
        <f>VLOOKUP(N548,Status[],2,FALSE)</f>
        <v>Full-Time</v>
      </c>
      <c r="J548" s="7">
        <v>1029</v>
      </c>
      <c r="K548">
        <v>13</v>
      </c>
      <c r="L548">
        <v>2017</v>
      </c>
      <c r="M548">
        <v>10</v>
      </c>
      <c r="N548">
        <v>1</v>
      </c>
    </row>
    <row r="549" spans="1:14" x14ac:dyDescent="0.25">
      <c r="A549" t="s">
        <v>2792</v>
      </c>
      <c r="B549" t="s">
        <v>448</v>
      </c>
      <c r="C549" t="s">
        <v>1480</v>
      </c>
      <c r="D549" t="str">
        <f>VLOOKUP(J549,Location[],2,FALSE)</f>
        <v>Fort Worth</v>
      </c>
      <c r="E549" t="str">
        <f>VLOOKUP(J549,Location[],3,FALSE)</f>
        <v> Texas</v>
      </c>
      <c r="F549" t="str">
        <f>VLOOKUP(K549,Dept[],2,FALSE)</f>
        <v>Administration</v>
      </c>
      <c r="G549" s="11">
        <f t="shared" si="8"/>
        <v>43983</v>
      </c>
      <c r="H549" t="str">
        <f>VLOOKUP(N549,Status[],2,FALSE)</f>
        <v>Full-Time</v>
      </c>
      <c r="J549" s="7">
        <v>1015</v>
      </c>
      <c r="K549">
        <v>12</v>
      </c>
      <c r="L549">
        <v>2020</v>
      </c>
      <c r="M549">
        <v>6</v>
      </c>
      <c r="N549">
        <v>1</v>
      </c>
    </row>
    <row r="550" spans="1:14" x14ac:dyDescent="0.25">
      <c r="A550" t="s">
        <v>2793</v>
      </c>
      <c r="B550" t="s">
        <v>108</v>
      </c>
      <c r="C550" t="s">
        <v>109</v>
      </c>
      <c r="D550" t="str">
        <f>VLOOKUP(J550,Location[],2,FALSE)</f>
        <v>Chicago</v>
      </c>
      <c r="E550" t="str">
        <f>VLOOKUP(J550,Location[],3,FALSE)</f>
        <v> Illinois</v>
      </c>
      <c r="F550" t="str">
        <f>VLOOKUP(K550,Dept[],2,FALSE)</f>
        <v>Customer Support</v>
      </c>
      <c r="G550" s="11">
        <f t="shared" si="8"/>
        <v>43617</v>
      </c>
      <c r="H550" t="str">
        <f>VLOOKUP(N550,Status[],2,FALSE)</f>
        <v>Part-Time</v>
      </c>
      <c r="J550" s="7">
        <v>1003</v>
      </c>
      <c r="K550">
        <v>14</v>
      </c>
      <c r="L550">
        <v>2019</v>
      </c>
      <c r="M550">
        <v>6</v>
      </c>
      <c r="N550">
        <v>0</v>
      </c>
    </row>
    <row r="551" spans="1:14" x14ac:dyDescent="0.25">
      <c r="A551" t="s">
        <v>2794</v>
      </c>
      <c r="B551" t="s">
        <v>416</v>
      </c>
      <c r="C551" t="s">
        <v>417</v>
      </c>
      <c r="D551" t="str">
        <f>VLOOKUP(J551,Location[],2,FALSE)</f>
        <v>Glendale</v>
      </c>
      <c r="E551" t="str">
        <f>VLOOKUP(J551,Location[],3,FALSE)</f>
        <v> Arizona</v>
      </c>
      <c r="F551" t="str">
        <f>VLOOKUP(K551,Dept[],2,FALSE)</f>
        <v>Accounting</v>
      </c>
      <c r="G551" s="11">
        <f t="shared" si="8"/>
        <v>43891</v>
      </c>
      <c r="H551" t="str">
        <f>VLOOKUP(N551,Status[],2,FALSE)</f>
        <v>Full-Time</v>
      </c>
      <c r="J551" s="7">
        <v>1087</v>
      </c>
      <c r="K551">
        <v>11</v>
      </c>
      <c r="L551">
        <v>2020</v>
      </c>
      <c r="M551">
        <v>3</v>
      </c>
      <c r="N551">
        <v>1</v>
      </c>
    </row>
    <row r="552" spans="1:14" x14ac:dyDescent="0.25">
      <c r="A552" t="s">
        <v>2795</v>
      </c>
      <c r="B552" t="s">
        <v>612</v>
      </c>
      <c r="C552" t="s">
        <v>613</v>
      </c>
      <c r="D552" t="str">
        <f>VLOOKUP(J552,Location[],2,FALSE)</f>
        <v>Fresno</v>
      </c>
      <c r="E552" t="str">
        <f>VLOOKUP(J552,Location[],3,FALSE)</f>
        <v> California</v>
      </c>
      <c r="F552" t="str">
        <f>VLOOKUP(K552,Dept[],2,FALSE)</f>
        <v>Customer Support</v>
      </c>
      <c r="G552" s="11">
        <f t="shared" si="8"/>
        <v>41365</v>
      </c>
      <c r="H552" t="str">
        <f>VLOOKUP(N552,Status[],2,FALSE)</f>
        <v>Full-Time</v>
      </c>
      <c r="J552" s="7">
        <v>1034</v>
      </c>
      <c r="K552">
        <v>14</v>
      </c>
      <c r="L552">
        <v>2013</v>
      </c>
      <c r="M552">
        <v>4</v>
      </c>
      <c r="N552">
        <v>1</v>
      </c>
    </row>
    <row r="553" spans="1:14" x14ac:dyDescent="0.25">
      <c r="A553" t="s">
        <v>2796</v>
      </c>
      <c r="B553" t="s">
        <v>459</v>
      </c>
      <c r="C553" t="s">
        <v>1121</v>
      </c>
      <c r="D553" t="str">
        <f>VLOOKUP(J553,Location[],2,FALSE)</f>
        <v>Toledo</v>
      </c>
      <c r="E553" t="str">
        <f>VLOOKUP(J553,Location[],3,FALSE)</f>
        <v> Ohio</v>
      </c>
      <c r="F553" t="str">
        <f>VLOOKUP(K553,Dept[],2,FALSE)</f>
        <v>Accounting</v>
      </c>
      <c r="G553" s="11">
        <f t="shared" si="8"/>
        <v>41944</v>
      </c>
      <c r="H553" t="str">
        <f>VLOOKUP(N553,Status[],2,FALSE)</f>
        <v>Full-Time</v>
      </c>
      <c r="J553" s="7">
        <v>1074</v>
      </c>
      <c r="K553">
        <v>11</v>
      </c>
      <c r="L553">
        <v>2014</v>
      </c>
      <c r="M553">
        <v>11</v>
      </c>
      <c r="N553">
        <v>1</v>
      </c>
    </row>
    <row r="554" spans="1:14" x14ac:dyDescent="0.25">
      <c r="A554" t="s">
        <v>2797</v>
      </c>
      <c r="B554" t="s">
        <v>1547</v>
      </c>
      <c r="C554" t="s">
        <v>1121</v>
      </c>
      <c r="D554" t="str">
        <f>VLOOKUP(J554,Location[],2,FALSE)</f>
        <v>Los Angeles</v>
      </c>
      <c r="E554" t="str">
        <f>VLOOKUP(J554,Location[],3,FALSE)</f>
        <v> California</v>
      </c>
      <c r="F554" t="str">
        <f>VLOOKUP(K554,Dept[],2,FALSE)</f>
        <v>Finance</v>
      </c>
      <c r="G554" s="11">
        <f t="shared" si="8"/>
        <v>45078</v>
      </c>
      <c r="H554" t="str">
        <f>VLOOKUP(N554,Status[],2,FALSE)</f>
        <v>Full-Time</v>
      </c>
      <c r="J554" s="7">
        <v>1002</v>
      </c>
      <c r="K554">
        <v>15</v>
      </c>
      <c r="L554">
        <v>2023</v>
      </c>
      <c r="M554">
        <v>6</v>
      </c>
      <c r="N554">
        <v>1</v>
      </c>
    </row>
    <row r="555" spans="1:14" x14ac:dyDescent="0.25">
      <c r="A555" t="s">
        <v>2798</v>
      </c>
      <c r="B555" t="s">
        <v>146</v>
      </c>
      <c r="C555" t="s">
        <v>134</v>
      </c>
      <c r="D555" t="str">
        <f>VLOOKUP(J555,Location[],2,FALSE)</f>
        <v>Chicago</v>
      </c>
      <c r="E555" t="str">
        <f>VLOOKUP(J555,Location[],3,FALSE)</f>
        <v> Illinois</v>
      </c>
      <c r="F555" t="str">
        <f>VLOOKUP(K555,Dept[],2,FALSE)</f>
        <v>Legal</v>
      </c>
      <c r="G555" s="11">
        <f t="shared" si="8"/>
        <v>40695</v>
      </c>
      <c r="H555" t="str">
        <f>VLOOKUP(N555,Status[],2,FALSE)</f>
        <v>Part-Time</v>
      </c>
      <c r="J555" s="7">
        <v>1003</v>
      </c>
      <c r="K555">
        <v>18</v>
      </c>
      <c r="L555">
        <v>2011</v>
      </c>
      <c r="M555">
        <v>6</v>
      </c>
      <c r="N555">
        <v>0</v>
      </c>
    </row>
    <row r="556" spans="1:14" x14ac:dyDescent="0.25">
      <c r="A556" t="s">
        <v>2799</v>
      </c>
      <c r="B556" t="s">
        <v>133</v>
      </c>
      <c r="C556" t="s">
        <v>134</v>
      </c>
      <c r="D556" t="str">
        <f>VLOOKUP(J556,Location[],2,FALSE)</f>
        <v>Glendale</v>
      </c>
      <c r="E556" t="str">
        <f>VLOOKUP(J556,Location[],3,FALSE)</f>
        <v> Arizona</v>
      </c>
      <c r="F556" t="str">
        <f>VLOOKUP(K556,Dept[],2,FALSE)</f>
        <v>Administration</v>
      </c>
      <c r="G556" s="11">
        <f t="shared" si="8"/>
        <v>42583</v>
      </c>
      <c r="H556" t="str">
        <f>VLOOKUP(N556,Status[],2,FALSE)</f>
        <v>Full-Time</v>
      </c>
      <c r="J556" s="7">
        <v>1087</v>
      </c>
      <c r="K556">
        <v>12</v>
      </c>
      <c r="L556">
        <v>2016</v>
      </c>
      <c r="M556">
        <v>8</v>
      </c>
      <c r="N556">
        <v>1</v>
      </c>
    </row>
    <row r="557" spans="1:14" x14ac:dyDescent="0.25">
      <c r="A557" t="s">
        <v>2800</v>
      </c>
      <c r="B557" t="s">
        <v>1715</v>
      </c>
      <c r="C557" t="s">
        <v>1716</v>
      </c>
      <c r="D557" t="str">
        <f>VLOOKUP(J557,Location[],2,FALSE)</f>
        <v>Philadelphia</v>
      </c>
      <c r="E557" t="str">
        <f>VLOOKUP(J557,Location[],3,FALSE)</f>
        <v> Pennsylvania</v>
      </c>
      <c r="F557" t="str">
        <f>VLOOKUP(K557,Dept[],2,FALSE)</f>
        <v>Administration</v>
      </c>
      <c r="G557" s="11">
        <f t="shared" si="8"/>
        <v>41365</v>
      </c>
      <c r="H557" t="str">
        <f>VLOOKUP(N557,Status[],2,FALSE)</f>
        <v>Full-Time</v>
      </c>
      <c r="J557" s="7">
        <v>1006</v>
      </c>
      <c r="K557">
        <v>12</v>
      </c>
      <c r="L557">
        <v>2013</v>
      </c>
      <c r="M557">
        <v>4</v>
      </c>
      <c r="N557">
        <v>1</v>
      </c>
    </row>
    <row r="558" spans="1:14" x14ac:dyDescent="0.25">
      <c r="A558" t="s">
        <v>2801</v>
      </c>
      <c r="B558" t="s">
        <v>280</v>
      </c>
      <c r="C558" t="s">
        <v>1741</v>
      </c>
      <c r="D558" t="str">
        <f>VLOOKUP(J558,Location[],2,FALSE)</f>
        <v>Chicago</v>
      </c>
      <c r="E558" t="str">
        <f>VLOOKUP(J558,Location[],3,FALSE)</f>
        <v> Illinois</v>
      </c>
      <c r="F558" t="str">
        <f>VLOOKUP(K558,Dept[],2,FALSE)</f>
        <v>Sales</v>
      </c>
      <c r="G558" s="11">
        <f t="shared" si="8"/>
        <v>41852</v>
      </c>
      <c r="H558" t="str">
        <f>VLOOKUP(N558,Status[],2,FALSE)</f>
        <v>Full-Time</v>
      </c>
      <c r="J558" s="7">
        <v>1003</v>
      </c>
      <c r="K558">
        <v>22</v>
      </c>
      <c r="L558">
        <v>2014</v>
      </c>
      <c r="M558">
        <v>8</v>
      </c>
      <c r="N558">
        <v>1</v>
      </c>
    </row>
    <row r="559" spans="1:14" x14ac:dyDescent="0.25">
      <c r="A559" t="s">
        <v>2802</v>
      </c>
      <c r="B559" t="s">
        <v>45</v>
      </c>
      <c r="C559" t="s">
        <v>46</v>
      </c>
      <c r="D559" t="str">
        <f>VLOOKUP(J559,Location[],2,FALSE)</f>
        <v>New York City</v>
      </c>
      <c r="E559" t="str">
        <f>VLOOKUP(J559,Location[],3,FALSE)</f>
        <v> New York</v>
      </c>
      <c r="F559" t="str">
        <f>VLOOKUP(K559,Dept[],2,FALSE)</f>
        <v>Accounting</v>
      </c>
      <c r="G559" s="11">
        <f t="shared" si="8"/>
        <v>43862</v>
      </c>
      <c r="H559" t="str">
        <f>VLOOKUP(N559,Status[],2,FALSE)</f>
        <v>Part-Time</v>
      </c>
      <c r="J559" s="7">
        <v>1001</v>
      </c>
      <c r="K559">
        <v>11</v>
      </c>
      <c r="L559">
        <v>2020</v>
      </c>
      <c r="M559">
        <v>2</v>
      </c>
      <c r="N559">
        <v>0</v>
      </c>
    </row>
    <row r="560" spans="1:14" x14ac:dyDescent="0.25">
      <c r="A560" t="s">
        <v>2803</v>
      </c>
      <c r="B560" t="s">
        <v>435</v>
      </c>
      <c r="C560" t="s">
        <v>436</v>
      </c>
      <c r="D560" t="str">
        <f>VLOOKUP(J560,Location[],2,FALSE)</f>
        <v>Miami</v>
      </c>
      <c r="E560" t="str">
        <f>VLOOKUP(J560,Location[],3,FALSE)</f>
        <v> Florida</v>
      </c>
      <c r="F560" t="str">
        <f>VLOOKUP(K560,Dept[],2,FALSE)</f>
        <v>Sales</v>
      </c>
      <c r="G560" s="11">
        <f t="shared" si="8"/>
        <v>43405</v>
      </c>
      <c r="H560" t="str">
        <f>VLOOKUP(N560,Status[],2,FALSE)</f>
        <v>Full-Time</v>
      </c>
      <c r="J560" s="7">
        <v>1043</v>
      </c>
      <c r="K560">
        <v>22</v>
      </c>
      <c r="L560">
        <v>2018</v>
      </c>
      <c r="M560">
        <v>11</v>
      </c>
      <c r="N560">
        <v>1</v>
      </c>
    </row>
    <row r="561" spans="1:14" x14ac:dyDescent="0.25">
      <c r="A561" t="s">
        <v>2804</v>
      </c>
      <c r="B561" t="s">
        <v>195</v>
      </c>
      <c r="C561" t="s">
        <v>929</v>
      </c>
      <c r="D561" t="str">
        <f>VLOOKUP(J561,Location[],2,FALSE)</f>
        <v>Philadelphia</v>
      </c>
      <c r="E561" t="str">
        <f>VLOOKUP(J561,Location[],3,FALSE)</f>
        <v> Pennsylvania</v>
      </c>
      <c r="F561" t="str">
        <f>VLOOKUP(K561,Dept[],2,FALSE)</f>
        <v>Accounting</v>
      </c>
      <c r="G561" s="11">
        <f t="shared" si="8"/>
        <v>43647</v>
      </c>
      <c r="H561" t="str">
        <f>VLOOKUP(N561,Status[],2,FALSE)</f>
        <v>Full-Time</v>
      </c>
      <c r="J561" s="7">
        <v>1006</v>
      </c>
      <c r="K561">
        <v>11</v>
      </c>
      <c r="L561">
        <v>2019</v>
      </c>
      <c r="M561">
        <v>7</v>
      </c>
      <c r="N561">
        <v>1</v>
      </c>
    </row>
    <row r="562" spans="1:14" x14ac:dyDescent="0.25">
      <c r="A562" t="s">
        <v>2805</v>
      </c>
      <c r="B562" t="s">
        <v>928</v>
      </c>
      <c r="C562" t="s">
        <v>929</v>
      </c>
      <c r="D562" t="str">
        <f>VLOOKUP(J562,Location[],2,FALSE)</f>
        <v>Detroit</v>
      </c>
      <c r="E562" t="str">
        <f>VLOOKUP(J562,Location[],3,FALSE)</f>
        <v> Michigan</v>
      </c>
      <c r="F562" t="str">
        <f>VLOOKUP(K562,Dept[],2,FALSE)</f>
        <v>Finance</v>
      </c>
      <c r="G562" s="11">
        <f t="shared" si="8"/>
        <v>44228</v>
      </c>
      <c r="H562" t="str">
        <f>VLOOKUP(N562,Status[],2,FALSE)</f>
        <v>Full-Time</v>
      </c>
      <c r="J562" s="7">
        <v>1023</v>
      </c>
      <c r="K562">
        <v>15</v>
      </c>
      <c r="L562">
        <v>2021</v>
      </c>
      <c r="M562">
        <v>2</v>
      </c>
      <c r="N562">
        <v>1</v>
      </c>
    </row>
    <row r="563" spans="1:14" x14ac:dyDescent="0.25">
      <c r="A563" t="s">
        <v>2806</v>
      </c>
      <c r="B563" t="s">
        <v>108</v>
      </c>
      <c r="C563" t="s">
        <v>929</v>
      </c>
      <c r="D563" t="str">
        <f>VLOOKUP(J563,Location[],2,FALSE)</f>
        <v>Colorado Springs</v>
      </c>
      <c r="E563" t="str">
        <f>VLOOKUP(J563,Location[],3,FALSE)</f>
        <v> Colorado</v>
      </c>
      <c r="F563" t="str">
        <f>VLOOKUP(K563,Dept[],2,FALSE)</f>
        <v>Legal</v>
      </c>
      <c r="G563" s="11">
        <f t="shared" si="8"/>
        <v>40848</v>
      </c>
      <c r="H563" t="str">
        <f>VLOOKUP(N563,Status[],2,FALSE)</f>
        <v>Part-Time</v>
      </c>
      <c r="J563" s="7">
        <v>1042</v>
      </c>
      <c r="K563">
        <v>18</v>
      </c>
      <c r="L563">
        <v>2011</v>
      </c>
      <c r="M563">
        <v>11</v>
      </c>
      <c r="N563">
        <v>0</v>
      </c>
    </row>
    <row r="564" spans="1:14" x14ac:dyDescent="0.25">
      <c r="A564" t="s">
        <v>2807</v>
      </c>
      <c r="B564" t="s">
        <v>1750</v>
      </c>
      <c r="C564" t="s">
        <v>929</v>
      </c>
      <c r="D564" t="str">
        <f>VLOOKUP(J564,Location[],2,FALSE)</f>
        <v>Chula Vista</v>
      </c>
      <c r="E564" t="str">
        <f>VLOOKUP(J564,Location[],3,FALSE)</f>
        <v> California</v>
      </c>
      <c r="F564" t="str">
        <f>VLOOKUP(K564,Dept[],2,FALSE)</f>
        <v>Administration</v>
      </c>
      <c r="G564" s="11">
        <f t="shared" si="8"/>
        <v>40787</v>
      </c>
      <c r="H564" t="str">
        <f>VLOOKUP(N564,Status[],2,FALSE)</f>
        <v>Full-Time</v>
      </c>
      <c r="J564" s="7">
        <v>1076</v>
      </c>
      <c r="K564">
        <v>12</v>
      </c>
      <c r="L564">
        <v>2011</v>
      </c>
      <c r="M564">
        <v>9</v>
      </c>
      <c r="N564">
        <v>1</v>
      </c>
    </row>
    <row r="565" spans="1:14" x14ac:dyDescent="0.25">
      <c r="A565" t="s">
        <v>2808</v>
      </c>
      <c r="B565" t="s">
        <v>771</v>
      </c>
      <c r="C565" t="s">
        <v>929</v>
      </c>
      <c r="D565" t="str">
        <f>VLOOKUP(J565,Location[],2,FALSE)</f>
        <v>New York City</v>
      </c>
      <c r="E565" t="str">
        <f>VLOOKUP(J565,Location[],3,FALSE)</f>
        <v> New York</v>
      </c>
      <c r="F565" t="str">
        <f>VLOOKUP(K565,Dept[],2,FALSE)</f>
        <v>Marketing</v>
      </c>
      <c r="G565" s="11">
        <f t="shared" si="8"/>
        <v>43466</v>
      </c>
      <c r="H565" t="str">
        <f>VLOOKUP(N565,Status[],2,FALSE)</f>
        <v>Full-Time</v>
      </c>
      <c r="J565" s="7">
        <v>1001</v>
      </c>
      <c r="K565">
        <v>19</v>
      </c>
      <c r="L565">
        <v>2019</v>
      </c>
      <c r="M565">
        <v>1</v>
      </c>
      <c r="N565">
        <v>1</v>
      </c>
    </row>
    <row r="566" spans="1:14" x14ac:dyDescent="0.25">
      <c r="A566" t="s">
        <v>2809</v>
      </c>
      <c r="B566" t="s">
        <v>1592</v>
      </c>
      <c r="C566" t="s">
        <v>1593</v>
      </c>
      <c r="D566" t="str">
        <f>VLOOKUP(J566,Location[],2,FALSE)</f>
        <v>Los Angeles</v>
      </c>
      <c r="E566" t="str">
        <f>VLOOKUP(J566,Location[],3,FALSE)</f>
        <v> California</v>
      </c>
      <c r="F566" t="str">
        <f>VLOOKUP(K566,Dept[],2,FALSE)</f>
        <v>Human Resources</v>
      </c>
      <c r="G566" s="11">
        <f t="shared" si="8"/>
        <v>42125</v>
      </c>
      <c r="H566" t="str">
        <f>VLOOKUP(N566,Status[],2,FALSE)</f>
        <v>Full-Time</v>
      </c>
      <c r="J566" s="7">
        <v>1002</v>
      </c>
      <c r="K566">
        <v>16</v>
      </c>
      <c r="L566">
        <v>2015</v>
      </c>
      <c r="M566">
        <v>5</v>
      </c>
      <c r="N566">
        <v>1</v>
      </c>
    </row>
    <row r="567" spans="1:14" x14ac:dyDescent="0.25">
      <c r="A567" t="s">
        <v>2810</v>
      </c>
      <c r="B567" t="s">
        <v>103</v>
      </c>
      <c r="C567" t="s">
        <v>1979</v>
      </c>
      <c r="D567" t="str">
        <f>VLOOKUP(J567,Location[],2,FALSE)</f>
        <v>Phoenix</v>
      </c>
      <c r="E567" t="str">
        <f>VLOOKUP(J567,Location[],3,FALSE)</f>
        <v> Arizona</v>
      </c>
      <c r="F567" t="str">
        <f>VLOOKUP(K567,Dept[],2,FALSE)</f>
        <v>Accounting</v>
      </c>
      <c r="G567" s="11">
        <f t="shared" si="8"/>
        <v>41395</v>
      </c>
      <c r="H567" t="str">
        <f>VLOOKUP(N567,Status[],2,FALSE)</f>
        <v>Full-Time</v>
      </c>
      <c r="J567" s="7">
        <v>1005</v>
      </c>
      <c r="K567">
        <v>11</v>
      </c>
      <c r="L567">
        <v>2013</v>
      </c>
      <c r="M567">
        <v>5</v>
      </c>
      <c r="N567">
        <v>1</v>
      </c>
    </row>
    <row r="568" spans="1:14" x14ac:dyDescent="0.25">
      <c r="A568" t="s">
        <v>2811</v>
      </c>
      <c r="B568" t="s">
        <v>851</v>
      </c>
      <c r="C568" t="s">
        <v>723</v>
      </c>
      <c r="D568" t="str">
        <f>VLOOKUP(J568,Location[],2,FALSE)</f>
        <v>Orlando</v>
      </c>
      <c r="E568" t="str">
        <f>VLOOKUP(J568,Location[],3,FALSE)</f>
        <v> Florida</v>
      </c>
      <c r="F568" t="str">
        <f>VLOOKUP(K568,Dept[],2,FALSE)</f>
        <v>Sales</v>
      </c>
      <c r="G568" s="11">
        <f t="shared" si="8"/>
        <v>41395</v>
      </c>
      <c r="H568" t="str">
        <f>VLOOKUP(N568,Status[],2,FALSE)</f>
        <v>Full-Time</v>
      </c>
      <c r="J568" s="7">
        <v>1072</v>
      </c>
      <c r="K568">
        <v>22</v>
      </c>
      <c r="L568">
        <v>2013</v>
      </c>
      <c r="M568">
        <v>5</v>
      </c>
      <c r="N568">
        <v>1</v>
      </c>
    </row>
    <row r="569" spans="1:14" x14ac:dyDescent="0.25">
      <c r="A569" t="s">
        <v>2812</v>
      </c>
      <c r="B569" t="s">
        <v>722</v>
      </c>
      <c r="C569" t="s">
        <v>723</v>
      </c>
      <c r="D569" t="str">
        <f>VLOOKUP(J569,Location[],2,FALSE)</f>
        <v>Philadelphia</v>
      </c>
      <c r="E569" t="str">
        <f>VLOOKUP(J569,Location[],3,FALSE)</f>
        <v> Pennsylvania</v>
      </c>
      <c r="F569" t="str">
        <f>VLOOKUP(K569,Dept[],2,FALSE)</f>
        <v>Media</v>
      </c>
      <c r="G569" s="11">
        <f t="shared" si="8"/>
        <v>42917</v>
      </c>
      <c r="H569" t="str">
        <f>VLOOKUP(N569,Status[],2,FALSE)</f>
        <v>Part-Time</v>
      </c>
      <c r="J569" s="7">
        <v>1006</v>
      </c>
      <c r="K569">
        <v>20</v>
      </c>
      <c r="L569">
        <v>2017</v>
      </c>
      <c r="M569">
        <v>7</v>
      </c>
      <c r="N569">
        <v>0</v>
      </c>
    </row>
    <row r="570" spans="1:14" x14ac:dyDescent="0.25">
      <c r="A570" t="s">
        <v>2813</v>
      </c>
      <c r="B570" t="s">
        <v>734</v>
      </c>
      <c r="C570" t="s">
        <v>1690</v>
      </c>
      <c r="D570" t="str">
        <f>VLOOKUP(J570,Location[],2,FALSE)</f>
        <v>Anchorage</v>
      </c>
      <c r="E570" t="str">
        <f>VLOOKUP(J570,Location[],3,FALSE)</f>
        <v> Alaska</v>
      </c>
      <c r="F570" t="str">
        <f>VLOOKUP(K570,Dept[],2,FALSE)</f>
        <v>Legal</v>
      </c>
      <c r="G570" s="11">
        <f t="shared" si="8"/>
        <v>43647</v>
      </c>
      <c r="H570" t="str">
        <f>VLOOKUP(N570,Status[],2,FALSE)</f>
        <v>Full-Time</v>
      </c>
      <c r="J570" s="7">
        <v>1067</v>
      </c>
      <c r="K570">
        <v>18</v>
      </c>
      <c r="L570">
        <v>2019</v>
      </c>
      <c r="M570">
        <v>7</v>
      </c>
      <c r="N570">
        <v>1</v>
      </c>
    </row>
    <row r="571" spans="1:14" x14ac:dyDescent="0.25">
      <c r="A571" t="s">
        <v>2814</v>
      </c>
      <c r="B571" t="s">
        <v>339</v>
      </c>
      <c r="C571" t="s">
        <v>661</v>
      </c>
      <c r="D571" t="str">
        <f>VLOOKUP(J571,Location[],2,FALSE)</f>
        <v>Wichita</v>
      </c>
      <c r="E571" t="str">
        <f>VLOOKUP(J571,Location[],3,FALSE)</f>
        <v> Kansas</v>
      </c>
      <c r="F571" t="str">
        <f>VLOOKUP(K571,Dept[],2,FALSE)</f>
        <v>Human Resources</v>
      </c>
      <c r="G571" s="11">
        <f t="shared" si="8"/>
        <v>40817</v>
      </c>
      <c r="H571" t="str">
        <f>VLOOKUP(N571,Status[],2,FALSE)</f>
        <v>Full-Time</v>
      </c>
      <c r="J571" s="7">
        <v>1050</v>
      </c>
      <c r="K571">
        <v>16</v>
      </c>
      <c r="L571">
        <v>2011</v>
      </c>
      <c r="M571">
        <v>10</v>
      </c>
      <c r="N571">
        <v>1</v>
      </c>
    </row>
    <row r="572" spans="1:14" x14ac:dyDescent="0.25">
      <c r="A572" t="s">
        <v>2815</v>
      </c>
      <c r="B572" t="s">
        <v>307</v>
      </c>
      <c r="C572" t="s">
        <v>661</v>
      </c>
      <c r="D572" t="str">
        <f>VLOOKUP(J572,Location[],2,FALSE)</f>
        <v>Los Angeles</v>
      </c>
      <c r="E572" t="str">
        <f>VLOOKUP(J572,Location[],3,FALSE)</f>
        <v> California</v>
      </c>
      <c r="F572" t="str">
        <f>VLOOKUP(K572,Dept[],2,FALSE)</f>
        <v>Assessment</v>
      </c>
      <c r="G572" s="11">
        <f t="shared" si="8"/>
        <v>44774</v>
      </c>
      <c r="H572" t="str">
        <f>VLOOKUP(N572,Status[],2,FALSE)</f>
        <v>Full-Time</v>
      </c>
      <c r="J572" s="7">
        <v>1002</v>
      </c>
      <c r="K572">
        <v>13</v>
      </c>
      <c r="L572">
        <v>2022</v>
      </c>
      <c r="M572">
        <v>8</v>
      </c>
      <c r="N572">
        <v>1</v>
      </c>
    </row>
    <row r="573" spans="1:14" x14ac:dyDescent="0.25">
      <c r="A573" t="s">
        <v>2816</v>
      </c>
      <c r="B573" t="s">
        <v>246</v>
      </c>
      <c r="C573" t="s">
        <v>1624</v>
      </c>
      <c r="D573" t="str">
        <f>VLOOKUP(J573,Location[],2,FALSE)</f>
        <v>Los Angeles</v>
      </c>
      <c r="E573" t="str">
        <f>VLOOKUP(J573,Location[],3,FALSE)</f>
        <v> California</v>
      </c>
      <c r="F573" t="str">
        <f>VLOOKUP(K573,Dept[],2,FALSE)</f>
        <v>Finance</v>
      </c>
      <c r="G573" s="11">
        <f t="shared" si="8"/>
        <v>41699</v>
      </c>
      <c r="H573" t="str">
        <f>VLOOKUP(N573,Status[],2,FALSE)</f>
        <v>Full-Time</v>
      </c>
      <c r="J573" s="7">
        <v>1002</v>
      </c>
      <c r="K573">
        <v>15</v>
      </c>
      <c r="L573">
        <v>2014</v>
      </c>
      <c r="M573">
        <v>3</v>
      </c>
      <c r="N573">
        <v>1</v>
      </c>
    </row>
    <row r="574" spans="1:14" x14ac:dyDescent="0.25">
      <c r="A574" t="s">
        <v>2817</v>
      </c>
      <c r="B574" t="s">
        <v>120</v>
      </c>
      <c r="C574" t="s">
        <v>1835</v>
      </c>
      <c r="D574" t="str">
        <f>VLOOKUP(J574,Location[],2,FALSE)</f>
        <v>Dallas</v>
      </c>
      <c r="E574" t="str">
        <f>VLOOKUP(J574,Location[],3,FALSE)</f>
        <v> Texas</v>
      </c>
      <c r="F574" t="str">
        <f>VLOOKUP(K574,Dept[],2,FALSE)</f>
        <v>Media</v>
      </c>
      <c r="G574" s="11">
        <f t="shared" si="8"/>
        <v>42856</v>
      </c>
      <c r="H574" t="str">
        <f>VLOOKUP(N574,Status[],2,FALSE)</f>
        <v>Full-Time</v>
      </c>
      <c r="J574" s="7">
        <v>1009</v>
      </c>
      <c r="K574">
        <v>20</v>
      </c>
      <c r="L574">
        <v>2017</v>
      </c>
      <c r="M574">
        <v>5</v>
      </c>
      <c r="N574">
        <v>1</v>
      </c>
    </row>
    <row r="575" spans="1:14" x14ac:dyDescent="0.25">
      <c r="A575" t="s">
        <v>2818</v>
      </c>
      <c r="B575" t="s">
        <v>1314</v>
      </c>
      <c r="C575" t="s">
        <v>717</v>
      </c>
      <c r="D575" t="str">
        <f>VLOOKUP(J575,Location[],2,FALSE)</f>
        <v>Philadelphia</v>
      </c>
      <c r="E575" t="str">
        <f>VLOOKUP(J575,Location[],3,FALSE)</f>
        <v> Pennsylvania</v>
      </c>
      <c r="F575" t="str">
        <f>VLOOKUP(K575,Dept[],2,FALSE)</f>
        <v>Legal</v>
      </c>
      <c r="G575" s="11">
        <f t="shared" si="8"/>
        <v>40603</v>
      </c>
      <c r="H575" t="str">
        <f>VLOOKUP(N575,Status[],2,FALSE)</f>
        <v>Full-Time</v>
      </c>
      <c r="J575" s="7">
        <v>1006</v>
      </c>
      <c r="K575">
        <v>18</v>
      </c>
      <c r="L575">
        <v>2011</v>
      </c>
      <c r="M575">
        <v>3</v>
      </c>
      <c r="N575">
        <v>1</v>
      </c>
    </row>
    <row r="576" spans="1:14" x14ac:dyDescent="0.25">
      <c r="A576" t="s">
        <v>2819</v>
      </c>
      <c r="B576" t="s">
        <v>288</v>
      </c>
      <c r="C576" t="s">
        <v>717</v>
      </c>
      <c r="D576" t="str">
        <f>VLOOKUP(J576,Location[],2,FALSE)</f>
        <v>Chicago</v>
      </c>
      <c r="E576" t="str">
        <f>VLOOKUP(J576,Location[],3,FALSE)</f>
        <v> Illinois</v>
      </c>
      <c r="F576" t="str">
        <f>VLOOKUP(K576,Dept[],2,FALSE)</f>
        <v>Administration</v>
      </c>
      <c r="G576" s="11">
        <f t="shared" si="8"/>
        <v>41030</v>
      </c>
      <c r="H576" t="str">
        <f>VLOOKUP(N576,Status[],2,FALSE)</f>
        <v>Full-Time</v>
      </c>
      <c r="J576" s="7">
        <v>1003</v>
      </c>
      <c r="K576">
        <v>12</v>
      </c>
      <c r="L576">
        <v>2012</v>
      </c>
      <c r="M576">
        <v>5</v>
      </c>
      <c r="N576">
        <v>1</v>
      </c>
    </row>
    <row r="577" spans="1:14" x14ac:dyDescent="0.25">
      <c r="A577" t="s">
        <v>2820</v>
      </c>
      <c r="B577" t="s">
        <v>144</v>
      </c>
      <c r="C577" t="s">
        <v>717</v>
      </c>
      <c r="D577" t="str">
        <f>VLOOKUP(J577,Location[],2,FALSE)</f>
        <v>Houston</v>
      </c>
      <c r="E577" t="str">
        <f>VLOOKUP(J577,Location[],3,FALSE)</f>
        <v> Texas</v>
      </c>
      <c r="F577" t="str">
        <f>VLOOKUP(K577,Dept[],2,FALSE)</f>
        <v>Accounting</v>
      </c>
      <c r="G577" s="11">
        <f t="shared" si="8"/>
        <v>44409</v>
      </c>
      <c r="H577" t="str">
        <f>VLOOKUP(N577,Status[],2,FALSE)</f>
        <v>Full-Time</v>
      </c>
      <c r="J577" s="7">
        <v>1004</v>
      </c>
      <c r="K577">
        <v>11</v>
      </c>
      <c r="L577">
        <v>2021</v>
      </c>
      <c r="M577">
        <v>8</v>
      </c>
      <c r="N577">
        <v>1</v>
      </c>
    </row>
    <row r="578" spans="1:14" x14ac:dyDescent="0.25">
      <c r="A578" t="s">
        <v>2821</v>
      </c>
      <c r="B578" t="s">
        <v>716</v>
      </c>
      <c r="C578" t="s">
        <v>717</v>
      </c>
      <c r="D578" t="str">
        <f>VLOOKUP(J578,Location[],2,FALSE)</f>
        <v>Denver</v>
      </c>
      <c r="E578" t="str">
        <f>VLOOKUP(J578,Location[],3,FALSE)</f>
        <v> Colorado</v>
      </c>
      <c r="F578" t="str">
        <f>VLOOKUP(K578,Dept[],2,FALSE)</f>
        <v>Marketing</v>
      </c>
      <c r="G578" s="11">
        <f t="shared" si="8"/>
        <v>42156</v>
      </c>
      <c r="H578" t="str">
        <f>VLOOKUP(N578,Status[],2,FALSE)</f>
        <v>Full-Time</v>
      </c>
      <c r="J578" s="7">
        <v>1019</v>
      </c>
      <c r="K578">
        <v>19</v>
      </c>
      <c r="L578">
        <v>2015</v>
      </c>
      <c r="M578">
        <v>6</v>
      </c>
      <c r="N578">
        <v>1</v>
      </c>
    </row>
    <row r="579" spans="1:14" x14ac:dyDescent="0.25">
      <c r="A579" t="s">
        <v>2822</v>
      </c>
      <c r="B579" t="s">
        <v>253</v>
      </c>
      <c r="C579" t="s">
        <v>717</v>
      </c>
      <c r="D579" t="str">
        <f>VLOOKUP(J579,Location[],2,FALSE)</f>
        <v>Bakersfield</v>
      </c>
      <c r="E579" t="str">
        <f>VLOOKUP(J579,Location[],3,FALSE)</f>
        <v> California</v>
      </c>
      <c r="F579" t="str">
        <f>VLOOKUP(K579,Dept[],2,FALSE)</f>
        <v>Human Resources</v>
      </c>
      <c r="G579" s="11">
        <f t="shared" si="8"/>
        <v>42095</v>
      </c>
      <c r="H579" t="str">
        <f>VLOOKUP(N579,Status[],2,FALSE)</f>
        <v>Full-Time</v>
      </c>
      <c r="J579" s="7">
        <v>1053</v>
      </c>
      <c r="K579">
        <v>16</v>
      </c>
      <c r="L579">
        <v>2015</v>
      </c>
      <c r="M579">
        <v>4</v>
      </c>
      <c r="N579">
        <v>1</v>
      </c>
    </row>
    <row r="580" spans="1:14" x14ac:dyDescent="0.25">
      <c r="A580" t="s">
        <v>2823</v>
      </c>
      <c r="B580" t="s">
        <v>19</v>
      </c>
      <c r="C580" t="s">
        <v>363</v>
      </c>
      <c r="D580" t="str">
        <f>VLOOKUP(J580,Location[],2,FALSE)</f>
        <v>Chicago</v>
      </c>
      <c r="E580" t="str">
        <f>VLOOKUP(J580,Location[],3,FALSE)</f>
        <v> Illinois</v>
      </c>
      <c r="F580" t="str">
        <f>VLOOKUP(K580,Dept[],2,FALSE)</f>
        <v>Legal</v>
      </c>
      <c r="G580" s="11">
        <f t="shared" si="8"/>
        <v>43313</v>
      </c>
      <c r="H580" t="str">
        <f>VLOOKUP(N580,Status[],2,FALSE)</f>
        <v>Full-Time</v>
      </c>
      <c r="J580" s="7">
        <v>1003</v>
      </c>
      <c r="K580">
        <v>18</v>
      </c>
      <c r="L580">
        <v>2018</v>
      </c>
      <c r="M580">
        <v>8</v>
      </c>
      <c r="N580">
        <v>1</v>
      </c>
    </row>
    <row r="581" spans="1:14" x14ac:dyDescent="0.25">
      <c r="A581" t="s">
        <v>2824</v>
      </c>
      <c r="B581" t="s">
        <v>945</v>
      </c>
      <c r="C581" t="s">
        <v>946</v>
      </c>
      <c r="D581" t="str">
        <f>VLOOKUP(J581,Location[],2,FALSE)</f>
        <v>Cleveland</v>
      </c>
      <c r="E581" t="str">
        <f>VLOOKUP(J581,Location[],3,FALSE)</f>
        <v> Ohio</v>
      </c>
      <c r="F581" t="str">
        <f>VLOOKUP(K581,Dept[],2,FALSE)</f>
        <v>Human Resources</v>
      </c>
      <c r="G581" s="11">
        <f t="shared" ref="G581:G644" si="9">DATE(L581,M581,1)</f>
        <v>42887</v>
      </c>
      <c r="H581" t="str">
        <f>VLOOKUP(N581,Status[],2,FALSE)</f>
        <v>Full-Time</v>
      </c>
      <c r="J581" s="7">
        <v>1051</v>
      </c>
      <c r="K581">
        <v>16</v>
      </c>
      <c r="L581">
        <v>2017</v>
      </c>
      <c r="M581">
        <v>6</v>
      </c>
      <c r="N581">
        <v>1</v>
      </c>
    </row>
    <row r="582" spans="1:14" x14ac:dyDescent="0.25">
      <c r="A582" t="s">
        <v>2825</v>
      </c>
      <c r="B582" t="s">
        <v>1029</v>
      </c>
      <c r="C582" t="s">
        <v>1030</v>
      </c>
      <c r="D582" t="str">
        <f>VLOOKUP(J582,Location[],2,FALSE)</f>
        <v>Seattle</v>
      </c>
      <c r="E582" t="str">
        <f>VLOOKUP(J582,Location[],3,FALSE)</f>
        <v> Washington</v>
      </c>
      <c r="F582" t="str">
        <f>VLOOKUP(K582,Dept[],2,FALSE)</f>
        <v>Shipping</v>
      </c>
      <c r="G582" s="11">
        <f t="shared" si="9"/>
        <v>41730</v>
      </c>
      <c r="H582" t="str">
        <f>VLOOKUP(N582,Status[],2,FALSE)</f>
        <v>Full-Time</v>
      </c>
      <c r="J582" s="7">
        <v>1018</v>
      </c>
      <c r="K582">
        <v>23</v>
      </c>
      <c r="L582">
        <v>2014</v>
      </c>
      <c r="M582">
        <v>4</v>
      </c>
      <c r="N582">
        <v>1</v>
      </c>
    </row>
    <row r="583" spans="1:14" x14ac:dyDescent="0.25">
      <c r="A583" t="s">
        <v>2826</v>
      </c>
      <c r="B583" t="s">
        <v>807</v>
      </c>
      <c r="C583" t="s">
        <v>2043</v>
      </c>
      <c r="D583" t="str">
        <f>VLOOKUP(J583,Location[],2,FALSE)</f>
        <v>San Francisco</v>
      </c>
      <c r="E583" t="str">
        <f>VLOOKUP(J583,Location[],3,FALSE)</f>
        <v> California</v>
      </c>
      <c r="F583" t="str">
        <f>VLOOKUP(K583,Dept[],2,FALSE)</f>
        <v>Accounting</v>
      </c>
      <c r="G583" s="11">
        <f t="shared" si="9"/>
        <v>42186</v>
      </c>
      <c r="H583" t="str">
        <f>VLOOKUP(N583,Status[],2,FALSE)</f>
        <v>Full-Time</v>
      </c>
      <c r="J583" s="7">
        <v>1013</v>
      </c>
      <c r="K583">
        <v>11</v>
      </c>
      <c r="L583">
        <v>2015</v>
      </c>
      <c r="M583">
        <v>7</v>
      </c>
      <c r="N583">
        <v>1</v>
      </c>
    </row>
    <row r="584" spans="1:14" x14ac:dyDescent="0.25">
      <c r="A584" t="s">
        <v>2827</v>
      </c>
      <c r="B584" t="s">
        <v>123</v>
      </c>
      <c r="C584" t="s">
        <v>124</v>
      </c>
      <c r="D584" t="str">
        <f>VLOOKUP(J584,Location[],2,FALSE)</f>
        <v>Sacramento</v>
      </c>
      <c r="E584" t="str">
        <f>VLOOKUP(J584,Location[],3,FALSE)</f>
        <v> California</v>
      </c>
      <c r="F584" t="str">
        <f>VLOOKUP(K584,Dept[],2,FALSE)</f>
        <v>Accounting</v>
      </c>
      <c r="G584" s="11">
        <f t="shared" si="9"/>
        <v>41334</v>
      </c>
      <c r="H584" t="str">
        <f>VLOOKUP(N584,Status[],2,FALSE)</f>
        <v>Full-Time</v>
      </c>
      <c r="J584" s="7">
        <v>1035</v>
      </c>
      <c r="K584">
        <v>11</v>
      </c>
      <c r="L584">
        <v>2013</v>
      </c>
      <c r="M584">
        <v>3</v>
      </c>
      <c r="N584">
        <v>1</v>
      </c>
    </row>
    <row r="585" spans="1:14" x14ac:dyDescent="0.25">
      <c r="A585" t="s">
        <v>2828</v>
      </c>
      <c r="B585" t="s">
        <v>1158</v>
      </c>
      <c r="C585" t="s">
        <v>139</v>
      </c>
      <c r="D585" t="str">
        <f>VLOOKUP(J585,Location[],2,FALSE)</f>
        <v>Philadelphia</v>
      </c>
      <c r="E585" t="str">
        <f>VLOOKUP(J585,Location[],3,FALSE)</f>
        <v> Pennsylvania</v>
      </c>
      <c r="F585" t="str">
        <f>VLOOKUP(K585,Dept[],2,FALSE)</f>
        <v>Human Resources</v>
      </c>
      <c r="G585" s="11">
        <f t="shared" si="9"/>
        <v>42125</v>
      </c>
      <c r="H585" t="str">
        <f>VLOOKUP(N585,Status[],2,FALSE)</f>
        <v>Full-Time</v>
      </c>
      <c r="J585" s="7">
        <v>1006</v>
      </c>
      <c r="K585">
        <v>16</v>
      </c>
      <c r="L585">
        <v>2015</v>
      </c>
      <c r="M585">
        <v>5</v>
      </c>
      <c r="N585">
        <v>1</v>
      </c>
    </row>
    <row r="586" spans="1:14" x14ac:dyDescent="0.25">
      <c r="A586" t="s">
        <v>2829</v>
      </c>
      <c r="B586" t="s">
        <v>1360</v>
      </c>
      <c r="C586" t="s">
        <v>139</v>
      </c>
      <c r="D586" t="str">
        <f>VLOOKUP(J586,Location[],2,FALSE)</f>
        <v>Miami</v>
      </c>
      <c r="E586" t="str">
        <f>VLOOKUP(J586,Location[],3,FALSE)</f>
        <v> Florida</v>
      </c>
      <c r="F586" t="str">
        <f>VLOOKUP(K586,Dept[],2,FALSE)</f>
        <v>Marketing</v>
      </c>
      <c r="G586" s="11">
        <f t="shared" si="9"/>
        <v>42309</v>
      </c>
      <c r="H586" t="str">
        <f>VLOOKUP(N586,Status[],2,FALSE)</f>
        <v>Full-Time</v>
      </c>
      <c r="J586" s="7">
        <v>1043</v>
      </c>
      <c r="K586">
        <v>19</v>
      </c>
      <c r="L586">
        <v>2015</v>
      </c>
      <c r="M586">
        <v>11</v>
      </c>
      <c r="N586">
        <v>1</v>
      </c>
    </row>
    <row r="587" spans="1:14" x14ac:dyDescent="0.25">
      <c r="A587" t="s">
        <v>2830</v>
      </c>
      <c r="B587" t="s">
        <v>85</v>
      </c>
      <c r="C587" t="s">
        <v>139</v>
      </c>
      <c r="D587" t="str">
        <f>VLOOKUP(J587,Location[],2,FALSE)</f>
        <v>Baltimore</v>
      </c>
      <c r="E587" t="str">
        <f>VLOOKUP(J587,Location[],3,FALSE)</f>
        <v> Maryland</v>
      </c>
      <c r="F587" t="str">
        <f>VLOOKUP(K587,Dept[],2,FALSE)</f>
        <v>Legal</v>
      </c>
      <c r="G587" s="11">
        <f t="shared" si="9"/>
        <v>41913</v>
      </c>
      <c r="H587" t="str">
        <f>VLOOKUP(N587,Status[],2,FALSE)</f>
        <v>Full-Time</v>
      </c>
      <c r="J587" s="7">
        <v>1030</v>
      </c>
      <c r="K587">
        <v>18</v>
      </c>
      <c r="L587">
        <v>2014</v>
      </c>
      <c r="M587">
        <v>10</v>
      </c>
      <c r="N587">
        <v>1</v>
      </c>
    </row>
    <row r="588" spans="1:14" x14ac:dyDescent="0.25">
      <c r="A588" t="s">
        <v>2831</v>
      </c>
      <c r="B588" t="s">
        <v>1118</v>
      </c>
      <c r="C588" t="s">
        <v>139</v>
      </c>
      <c r="D588" t="str">
        <f>VLOOKUP(J588,Location[],2,FALSE)</f>
        <v>Los Angeles</v>
      </c>
      <c r="E588" t="str">
        <f>VLOOKUP(J588,Location[],3,FALSE)</f>
        <v> California</v>
      </c>
      <c r="F588" t="str">
        <f>VLOOKUP(K588,Dept[],2,FALSE)</f>
        <v>Customer Support</v>
      </c>
      <c r="G588" s="11">
        <f t="shared" si="9"/>
        <v>44866</v>
      </c>
      <c r="H588" t="str">
        <f>VLOOKUP(N588,Status[],2,FALSE)</f>
        <v>Full-Time</v>
      </c>
      <c r="J588" s="7">
        <v>1002</v>
      </c>
      <c r="K588">
        <v>14</v>
      </c>
      <c r="L588">
        <v>2022</v>
      </c>
      <c r="M588">
        <v>11</v>
      </c>
      <c r="N588">
        <v>1</v>
      </c>
    </row>
    <row r="589" spans="1:14" x14ac:dyDescent="0.25">
      <c r="A589" t="s">
        <v>2832</v>
      </c>
      <c r="B589" t="s">
        <v>674</v>
      </c>
      <c r="C589" t="s">
        <v>139</v>
      </c>
      <c r="D589" t="str">
        <f>VLOOKUP(J589,Location[],2,FALSE)</f>
        <v>Dallas</v>
      </c>
      <c r="E589" t="str">
        <f>VLOOKUP(J589,Location[],3,FALSE)</f>
        <v> Texas</v>
      </c>
      <c r="F589" t="str">
        <f>VLOOKUP(K589,Dept[],2,FALSE)</f>
        <v>Sales</v>
      </c>
      <c r="G589" s="11">
        <f t="shared" si="9"/>
        <v>44409</v>
      </c>
      <c r="H589" t="str">
        <f>VLOOKUP(N589,Status[],2,FALSE)</f>
        <v>Full-Time</v>
      </c>
      <c r="J589" s="7">
        <v>1009</v>
      </c>
      <c r="K589">
        <v>22</v>
      </c>
      <c r="L589">
        <v>2021</v>
      </c>
      <c r="M589">
        <v>8</v>
      </c>
      <c r="N589">
        <v>1</v>
      </c>
    </row>
    <row r="590" spans="1:14" x14ac:dyDescent="0.25">
      <c r="A590" t="s">
        <v>2833</v>
      </c>
      <c r="B590" t="s">
        <v>151</v>
      </c>
      <c r="C590" t="s">
        <v>139</v>
      </c>
      <c r="D590" t="str">
        <f>VLOOKUP(J590,Location[],2,FALSE)</f>
        <v>Philadelphia</v>
      </c>
      <c r="E590" t="str">
        <f>VLOOKUP(J590,Location[],3,FALSE)</f>
        <v> Pennsylvania</v>
      </c>
      <c r="F590" t="str">
        <f>VLOOKUP(K590,Dept[],2,FALSE)</f>
        <v>Customer Support</v>
      </c>
      <c r="G590" s="11">
        <f t="shared" si="9"/>
        <v>42948</v>
      </c>
      <c r="H590" t="str">
        <f>VLOOKUP(N590,Status[],2,FALSE)</f>
        <v>Full-Time</v>
      </c>
      <c r="J590" s="7">
        <v>1006</v>
      </c>
      <c r="K590">
        <v>14</v>
      </c>
      <c r="L590">
        <v>2017</v>
      </c>
      <c r="M590">
        <v>8</v>
      </c>
      <c r="N590">
        <v>1</v>
      </c>
    </row>
    <row r="591" spans="1:14" x14ac:dyDescent="0.25">
      <c r="A591" t="s">
        <v>2834</v>
      </c>
      <c r="B591" t="s">
        <v>19</v>
      </c>
      <c r="C591" t="s">
        <v>1240</v>
      </c>
      <c r="D591" t="str">
        <f>VLOOKUP(J591,Location[],2,FALSE)</f>
        <v>Nashville</v>
      </c>
      <c r="E591" t="str">
        <f>VLOOKUP(J591,Location[],3,FALSE)</f>
        <v> Tennessee</v>
      </c>
      <c r="F591" t="str">
        <f>VLOOKUP(K591,Dept[],2,FALSE)</f>
        <v>Accounting</v>
      </c>
      <c r="G591" s="11">
        <f t="shared" si="9"/>
        <v>40544</v>
      </c>
      <c r="H591" t="str">
        <f>VLOOKUP(N591,Status[],2,FALSE)</f>
        <v>Part-Time</v>
      </c>
      <c r="J591" s="7">
        <v>1024</v>
      </c>
      <c r="K591">
        <v>11</v>
      </c>
      <c r="L591">
        <v>2011</v>
      </c>
      <c r="M591">
        <v>1</v>
      </c>
      <c r="N591">
        <v>0</v>
      </c>
    </row>
    <row r="592" spans="1:14" x14ac:dyDescent="0.25">
      <c r="A592" t="s">
        <v>2835</v>
      </c>
      <c r="B592" t="s">
        <v>1579</v>
      </c>
      <c r="C592" t="s">
        <v>1858</v>
      </c>
      <c r="D592" t="str">
        <f>VLOOKUP(J592,Location[],2,FALSE)</f>
        <v>San Francisco</v>
      </c>
      <c r="E592" t="str">
        <f>VLOOKUP(J592,Location[],3,FALSE)</f>
        <v> California</v>
      </c>
      <c r="F592" t="str">
        <f>VLOOKUP(K592,Dept[],2,FALSE)</f>
        <v>Administration</v>
      </c>
      <c r="G592" s="11">
        <f t="shared" si="9"/>
        <v>41883</v>
      </c>
      <c r="H592" t="str">
        <f>VLOOKUP(N592,Status[],2,FALSE)</f>
        <v>Full-Time</v>
      </c>
      <c r="J592" s="7">
        <v>1013</v>
      </c>
      <c r="K592">
        <v>12</v>
      </c>
      <c r="L592">
        <v>2014</v>
      </c>
      <c r="M592">
        <v>9</v>
      </c>
      <c r="N592">
        <v>1</v>
      </c>
    </row>
    <row r="593" spans="1:14" x14ac:dyDescent="0.25">
      <c r="A593" t="s">
        <v>2836</v>
      </c>
      <c r="B593" t="s">
        <v>103</v>
      </c>
      <c r="C593" t="s">
        <v>518</v>
      </c>
      <c r="D593" t="str">
        <f>VLOOKUP(J593,Location[],2,FALSE)</f>
        <v>Milwaukee</v>
      </c>
      <c r="E593" t="str">
        <f>VLOOKUP(J593,Location[],3,FALSE)</f>
        <v> Wisconsin</v>
      </c>
      <c r="F593" t="str">
        <f>VLOOKUP(K593,Dept[],2,FALSE)</f>
        <v>Legal</v>
      </c>
      <c r="G593" s="11">
        <f t="shared" si="9"/>
        <v>44682</v>
      </c>
      <c r="H593" t="str">
        <f>VLOOKUP(N593,Status[],2,FALSE)</f>
        <v>Full-Time</v>
      </c>
      <c r="J593" s="7">
        <v>1031</v>
      </c>
      <c r="K593">
        <v>18</v>
      </c>
      <c r="L593">
        <v>2022</v>
      </c>
      <c r="M593">
        <v>5</v>
      </c>
      <c r="N593">
        <v>1</v>
      </c>
    </row>
    <row r="594" spans="1:14" x14ac:dyDescent="0.25">
      <c r="A594" t="s">
        <v>2290</v>
      </c>
      <c r="B594" t="s">
        <v>517</v>
      </c>
      <c r="C594" t="s">
        <v>518</v>
      </c>
      <c r="D594" t="str">
        <f>VLOOKUP(J594,Location[],2,FALSE)</f>
        <v>Houston</v>
      </c>
      <c r="E594" t="str">
        <f>VLOOKUP(J594,Location[],3,FALSE)</f>
        <v> Texas</v>
      </c>
      <c r="F594" t="str">
        <f>VLOOKUP(K594,Dept[],2,FALSE)</f>
        <v>Human Resources</v>
      </c>
      <c r="G594" s="11">
        <f t="shared" si="9"/>
        <v>43435</v>
      </c>
      <c r="H594" t="str">
        <f>VLOOKUP(N594,Status[],2,FALSE)</f>
        <v>Full-Time</v>
      </c>
      <c r="J594" s="7">
        <v>1004</v>
      </c>
      <c r="K594">
        <v>16</v>
      </c>
      <c r="L594">
        <v>2018</v>
      </c>
      <c r="M594">
        <v>12</v>
      </c>
      <c r="N594">
        <v>1</v>
      </c>
    </row>
    <row r="595" spans="1:14" x14ac:dyDescent="0.25">
      <c r="A595" t="s">
        <v>2837</v>
      </c>
      <c r="B595" t="s">
        <v>1472</v>
      </c>
      <c r="C595" t="s">
        <v>227</v>
      </c>
      <c r="D595" t="str">
        <f>VLOOKUP(J595,Location[],2,FALSE)</f>
        <v>Houston</v>
      </c>
      <c r="E595" t="str">
        <f>VLOOKUP(J595,Location[],3,FALSE)</f>
        <v> Texas</v>
      </c>
      <c r="F595" t="str">
        <f>VLOOKUP(K595,Dept[],2,FALSE)</f>
        <v>Customer Support</v>
      </c>
      <c r="G595" s="11">
        <f t="shared" si="9"/>
        <v>44501</v>
      </c>
      <c r="H595" t="str">
        <f>VLOOKUP(N595,Status[],2,FALSE)</f>
        <v>Full-Time</v>
      </c>
      <c r="J595" s="7">
        <v>1004</v>
      </c>
      <c r="K595">
        <v>14</v>
      </c>
      <c r="L595">
        <v>2021</v>
      </c>
      <c r="M595">
        <v>11</v>
      </c>
      <c r="N595">
        <v>1</v>
      </c>
    </row>
    <row r="596" spans="1:14" x14ac:dyDescent="0.25">
      <c r="A596" t="s">
        <v>2838</v>
      </c>
      <c r="B596" t="s">
        <v>35</v>
      </c>
      <c r="C596" t="s">
        <v>227</v>
      </c>
      <c r="D596" t="str">
        <f>VLOOKUP(J596,Location[],2,FALSE)</f>
        <v>New York City</v>
      </c>
      <c r="E596" t="str">
        <f>VLOOKUP(J596,Location[],3,FALSE)</f>
        <v> New York</v>
      </c>
      <c r="F596" t="str">
        <f>VLOOKUP(K596,Dept[],2,FALSE)</f>
        <v>Human Resources</v>
      </c>
      <c r="G596" s="11">
        <f t="shared" si="9"/>
        <v>43739</v>
      </c>
      <c r="H596" t="str">
        <f>VLOOKUP(N596,Status[],2,FALSE)</f>
        <v>Full-Time</v>
      </c>
      <c r="J596" s="7">
        <v>1001</v>
      </c>
      <c r="K596">
        <v>16</v>
      </c>
      <c r="L596">
        <v>2019</v>
      </c>
      <c r="M596">
        <v>10</v>
      </c>
      <c r="N596">
        <v>1</v>
      </c>
    </row>
    <row r="597" spans="1:14" x14ac:dyDescent="0.25">
      <c r="A597" t="s">
        <v>2839</v>
      </c>
      <c r="B597" t="s">
        <v>85</v>
      </c>
      <c r="C597" t="s">
        <v>227</v>
      </c>
      <c r="D597" t="str">
        <f>VLOOKUP(J597,Location[],2,FALSE)</f>
        <v>Mesa</v>
      </c>
      <c r="E597" t="str">
        <f>VLOOKUP(J597,Location[],3,FALSE)</f>
        <v> Arizona</v>
      </c>
      <c r="F597" t="str">
        <f>VLOOKUP(K597,Dept[],2,FALSE)</f>
        <v>Human Resources</v>
      </c>
      <c r="G597" s="11">
        <f t="shared" si="9"/>
        <v>42583</v>
      </c>
      <c r="H597" t="str">
        <f>VLOOKUP(N597,Status[],2,FALSE)</f>
        <v>Full-Time</v>
      </c>
      <c r="J597" s="7">
        <v>1036</v>
      </c>
      <c r="K597">
        <v>16</v>
      </c>
      <c r="L597">
        <v>2016</v>
      </c>
      <c r="M597">
        <v>8</v>
      </c>
      <c r="N597">
        <v>1</v>
      </c>
    </row>
    <row r="598" spans="1:14" x14ac:dyDescent="0.25">
      <c r="A598" t="s">
        <v>2840</v>
      </c>
      <c r="B598" t="s">
        <v>1116</v>
      </c>
      <c r="C598" t="s">
        <v>1155</v>
      </c>
      <c r="D598" t="str">
        <f>VLOOKUP(J598,Location[],2,FALSE)</f>
        <v>San Diego</v>
      </c>
      <c r="E598" t="str">
        <f>VLOOKUP(J598,Location[],3,FALSE)</f>
        <v> California</v>
      </c>
      <c r="F598" t="str">
        <f>VLOOKUP(K598,Dept[],2,FALSE)</f>
        <v>IT</v>
      </c>
      <c r="G598" s="11">
        <f t="shared" si="9"/>
        <v>43497</v>
      </c>
      <c r="H598" t="str">
        <f>VLOOKUP(N598,Status[],2,FALSE)</f>
        <v>Full-Time</v>
      </c>
      <c r="J598" s="7">
        <v>1008</v>
      </c>
      <c r="K598">
        <v>17</v>
      </c>
      <c r="L598">
        <v>2019</v>
      </c>
      <c r="M598">
        <v>2</v>
      </c>
      <c r="N598">
        <v>1</v>
      </c>
    </row>
    <row r="599" spans="1:14" x14ac:dyDescent="0.25">
      <c r="A599" t="s">
        <v>2841</v>
      </c>
      <c r="B599" t="s">
        <v>625</v>
      </c>
      <c r="C599" t="s">
        <v>1439</v>
      </c>
      <c r="D599" t="str">
        <f>VLOOKUP(J599,Location[],2,FALSE)</f>
        <v>Los Angeles</v>
      </c>
      <c r="E599" t="str">
        <f>VLOOKUP(J599,Location[],3,FALSE)</f>
        <v> California</v>
      </c>
      <c r="F599" t="str">
        <f>VLOOKUP(K599,Dept[],2,FALSE)</f>
        <v>Assessment</v>
      </c>
      <c r="G599" s="11">
        <f t="shared" si="9"/>
        <v>44713</v>
      </c>
      <c r="H599" t="str">
        <f>VLOOKUP(N599,Status[],2,FALSE)</f>
        <v>Full-Time</v>
      </c>
      <c r="J599" s="7">
        <v>1002</v>
      </c>
      <c r="K599">
        <v>13</v>
      </c>
      <c r="L599">
        <v>2022</v>
      </c>
      <c r="M599">
        <v>6</v>
      </c>
      <c r="N599">
        <v>1</v>
      </c>
    </row>
    <row r="600" spans="1:14" x14ac:dyDescent="0.25">
      <c r="A600" t="s">
        <v>2842</v>
      </c>
      <c r="B600" t="s">
        <v>1838</v>
      </c>
      <c r="C600" t="s">
        <v>10</v>
      </c>
      <c r="D600" t="str">
        <f>VLOOKUP(J600,Location[],2,FALSE)</f>
        <v>Indianapolis</v>
      </c>
      <c r="E600" t="str">
        <f>VLOOKUP(J600,Location[],3,FALSE)</f>
        <v> Indiana</v>
      </c>
      <c r="F600" t="str">
        <f>VLOOKUP(K600,Dept[],2,FALSE)</f>
        <v>Administration</v>
      </c>
      <c r="G600" s="11">
        <f t="shared" si="9"/>
        <v>40634</v>
      </c>
      <c r="H600" t="str">
        <f>VLOOKUP(N600,Status[],2,FALSE)</f>
        <v>Part-Time</v>
      </c>
      <c r="J600" s="7">
        <v>1016</v>
      </c>
      <c r="K600">
        <v>12</v>
      </c>
      <c r="L600">
        <v>2011</v>
      </c>
      <c r="M600">
        <v>4</v>
      </c>
      <c r="N600">
        <v>0</v>
      </c>
    </row>
    <row r="601" spans="1:14" x14ac:dyDescent="0.25">
      <c r="A601" t="s">
        <v>2843</v>
      </c>
      <c r="B601" t="s">
        <v>9</v>
      </c>
      <c r="C601" t="s">
        <v>10</v>
      </c>
      <c r="D601" t="str">
        <f>VLOOKUP(J601,Location[],2,FALSE)</f>
        <v>Chicago</v>
      </c>
      <c r="E601" t="str">
        <f>VLOOKUP(J601,Location[],3,FALSE)</f>
        <v> Illinois</v>
      </c>
      <c r="F601" t="str">
        <f>VLOOKUP(K601,Dept[],2,FALSE)</f>
        <v>Human Resources</v>
      </c>
      <c r="G601" s="11">
        <f t="shared" si="9"/>
        <v>41791</v>
      </c>
      <c r="H601" t="str">
        <f>VLOOKUP(N601,Status[],2,FALSE)</f>
        <v>Full-Time</v>
      </c>
      <c r="J601" s="7">
        <v>1003</v>
      </c>
      <c r="K601">
        <v>16</v>
      </c>
      <c r="L601">
        <v>2014</v>
      </c>
      <c r="M601">
        <v>6</v>
      </c>
      <c r="N601">
        <v>1</v>
      </c>
    </row>
    <row r="602" spans="1:14" x14ac:dyDescent="0.25">
      <c r="A602" t="s">
        <v>2844</v>
      </c>
      <c r="B602" t="s">
        <v>98</v>
      </c>
      <c r="C602" t="s">
        <v>334</v>
      </c>
      <c r="D602" t="str">
        <f>VLOOKUP(J602,Location[],2,FALSE)</f>
        <v>Saint Paul</v>
      </c>
      <c r="E602" t="str">
        <f>VLOOKUP(J602,Location[],3,FALSE)</f>
        <v> Minnesota</v>
      </c>
      <c r="F602" t="str">
        <f>VLOOKUP(K602,Dept[],2,FALSE)</f>
        <v>Customer Support</v>
      </c>
      <c r="G602" s="11">
        <f t="shared" si="9"/>
        <v>41426</v>
      </c>
      <c r="H602" t="str">
        <f>VLOOKUP(N602,Status[],2,FALSE)</f>
        <v>Full-Time</v>
      </c>
      <c r="J602" s="7">
        <v>1063</v>
      </c>
      <c r="K602">
        <v>14</v>
      </c>
      <c r="L602">
        <v>2013</v>
      </c>
      <c r="M602">
        <v>6</v>
      </c>
      <c r="N602">
        <v>1</v>
      </c>
    </row>
    <row r="603" spans="1:14" x14ac:dyDescent="0.25">
      <c r="A603" t="s">
        <v>2845</v>
      </c>
      <c r="B603" t="s">
        <v>773</v>
      </c>
      <c r="C603" t="s">
        <v>334</v>
      </c>
      <c r="D603" t="str">
        <f>VLOOKUP(J603,Location[],2,FALSE)</f>
        <v>Louisville</v>
      </c>
      <c r="E603" t="str">
        <f>VLOOKUP(J603,Location[],3,FALSE)</f>
        <v> Kentucky</v>
      </c>
      <c r="F603" t="str">
        <f>VLOOKUP(K603,Dept[],2,FALSE)</f>
        <v>Customer Support</v>
      </c>
      <c r="G603" s="11">
        <f t="shared" si="9"/>
        <v>41456</v>
      </c>
      <c r="H603" t="str">
        <f>VLOOKUP(N603,Status[],2,FALSE)</f>
        <v>Full-Time</v>
      </c>
      <c r="J603" s="7">
        <v>1029</v>
      </c>
      <c r="K603">
        <v>14</v>
      </c>
      <c r="L603">
        <v>2013</v>
      </c>
      <c r="M603">
        <v>7</v>
      </c>
      <c r="N603">
        <v>1</v>
      </c>
    </row>
    <row r="604" spans="1:14" x14ac:dyDescent="0.25">
      <c r="A604" t="s">
        <v>2846</v>
      </c>
      <c r="B604" t="s">
        <v>98</v>
      </c>
      <c r="C604" t="s">
        <v>872</v>
      </c>
      <c r="D604" t="str">
        <f>VLOOKUP(J604,Location[],2,FALSE)</f>
        <v>Detroit</v>
      </c>
      <c r="E604" t="str">
        <f>VLOOKUP(J604,Location[],3,FALSE)</f>
        <v> Michigan</v>
      </c>
      <c r="F604" t="str">
        <f>VLOOKUP(K604,Dept[],2,FALSE)</f>
        <v>Legal</v>
      </c>
      <c r="G604" s="11">
        <f t="shared" si="9"/>
        <v>42948</v>
      </c>
      <c r="H604" t="str">
        <f>VLOOKUP(N604,Status[],2,FALSE)</f>
        <v>Full-Time</v>
      </c>
      <c r="J604" s="7">
        <v>1023</v>
      </c>
      <c r="K604">
        <v>18</v>
      </c>
      <c r="L604">
        <v>2017</v>
      </c>
      <c r="M604">
        <v>8</v>
      </c>
      <c r="N604">
        <v>1</v>
      </c>
    </row>
    <row r="605" spans="1:14" x14ac:dyDescent="0.25">
      <c r="A605" t="s">
        <v>2847</v>
      </c>
      <c r="B605" t="s">
        <v>841</v>
      </c>
      <c r="C605" t="s">
        <v>1513</v>
      </c>
      <c r="D605" t="str">
        <f>VLOOKUP(J605,Location[],2,FALSE)</f>
        <v>San Francisco</v>
      </c>
      <c r="E605" t="str">
        <f>VLOOKUP(J605,Location[],3,FALSE)</f>
        <v> California</v>
      </c>
      <c r="F605" t="str">
        <f>VLOOKUP(K605,Dept[],2,FALSE)</f>
        <v>Legal</v>
      </c>
      <c r="G605" s="11">
        <f t="shared" si="9"/>
        <v>41456</v>
      </c>
      <c r="H605" t="str">
        <f>VLOOKUP(N605,Status[],2,FALSE)</f>
        <v>Full-Time</v>
      </c>
      <c r="J605" s="7">
        <v>1013</v>
      </c>
      <c r="K605">
        <v>18</v>
      </c>
      <c r="L605">
        <v>2013</v>
      </c>
      <c r="M605">
        <v>7</v>
      </c>
      <c r="N605">
        <v>1</v>
      </c>
    </row>
    <row r="606" spans="1:14" x14ac:dyDescent="0.25">
      <c r="A606" t="s">
        <v>2848</v>
      </c>
      <c r="B606" t="s">
        <v>694</v>
      </c>
      <c r="C606" t="s">
        <v>2031</v>
      </c>
      <c r="D606" t="str">
        <f>VLOOKUP(J606,Location[],2,FALSE)</f>
        <v>Houston</v>
      </c>
      <c r="E606" t="str">
        <f>VLOOKUP(J606,Location[],3,FALSE)</f>
        <v> Texas</v>
      </c>
      <c r="F606" t="str">
        <f>VLOOKUP(K606,Dept[],2,FALSE)</f>
        <v>Customer Support</v>
      </c>
      <c r="G606" s="11">
        <f t="shared" si="9"/>
        <v>41944</v>
      </c>
      <c r="H606" t="str">
        <f>VLOOKUP(N606,Status[],2,FALSE)</f>
        <v>Full-Time</v>
      </c>
      <c r="J606" s="7">
        <v>1004</v>
      </c>
      <c r="K606">
        <v>14</v>
      </c>
      <c r="L606">
        <v>2014</v>
      </c>
      <c r="M606">
        <v>11</v>
      </c>
      <c r="N606">
        <v>1</v>
      </c>
    </row>
    <row r="607" spans="1:14" x14ac:dyDescent="0.25">
      <c r="A607" t="s">
        <v>2849</v>
      </c>
      <c r="B607" t="s">
        <v>144</v>
      </c>
      <c r="C607" t="s">
        <v>1859</v>
      </c>
      <c r="D607" t="str">
        <f>VLOOKUP(J607,Location[],2,FALSE)</f>
        <v>Louisville</v>
      </c>
      <c r="E607" t="str">
        <f>VLOOKUP(J607,Location[],3,FALSE)</f>
        <v> Kentucky</v>
      </c>
      <c r="F607" t="str">
        <f>VLOOKUP(K607,Dept[],2,FALSE)</f>
        <v>Sales</v>
      </c>
      <c r="G607" s="11">
        <f t="shared" si="9"/>
        <v>41671</v>
      </c>
      <c r="H607" t="str">
        <f>VLOOKUP(N607,Status[],2,FALSE)</f>
        <v>Part-Time</v>
      </c>
      <c r="J607" s="7">
        <v>1029</v>
      </c>
      <c r="K607">
        <v>22</v>
      </c>
      <c r="L607">
        <v>2014</v>
      </c>
      <c r="M607">
        <v>2</v>
      </c>
      <c r="N607">
        <v>0</v>
      </c>
    </row>
    <row r="608" spans="1:14" x14ac:dyDescent="0.25">
      <c r="A608" t="s">
        <v>2850</v>
      </c>
      <c r="B608" t="s">
        <v>722</v>
      </c>
      <c r="C608" t="s">
        <v>1234</v>
      </c>
      <c r="D608" t="str">
        <f>VLOOKUP(J608,Location[],2,FALSE)</f>
        <v>Washington, D.C.</v>
      </c>
      <c r="E608" t="str">
        <f>VLOOKUP(J608,Location[],3,FALSE)</f>
        <v> District of Columbia</v>
      </c>
      <c r="F608" t="str">
        <f>VLOOKUP(K608,Dept[],2,FALSE)</f>
        <v>Administration</v>
      </c>
      <c r="G608" s="11">
        <f t="shared" si="9"/>
        <v>43466</v>
      </c>
      <c r="H608" t="str">
        <f>VLOOKUP(N608,Status[],2,FALSE)</f>
        <v>Full-Time</v>
      </c>
      <c r="J608" s="7">
        <v>1020</v>
      </c>
      <c r="K608">
        <v>12</v>
      </c>
      <c r="L608">
        <v>2019</v>
      </c>
      <c r="M608">
        <v>1</v>
      </c>
      <c r="N608">
        <v>1</v>
      </c>
    </row>
    <row r="609" spans="1:14" x14ac:dyDescent="0.25">
      <c r="A609" t="s">
        <v>2851</v>
      </c>
      <c r="B609" t="s">
        <v>1341</v>
      </c>
      <c r="C609" t="s">
        <v>1342</v>
      </c>
      <c r="D609" t="str">
        <f>VLOOKUP(J609,Location[],2,FALSE)</f>
        <v>Chula Vista</v>
      </c>
      <c r="E609" t="str">
        <f>VLOOKUP(J609,Location[],3,FALSE)</f>
        <v> California</v>
      </c>
      <c r="F609" t="str">
        <f>VLOOKUP(K609,Dept[],2,FALSE)</f>
        <v>Accounting</v>
      </c>
      <c r="G609" s="11">
        <f t="shared" si="9"/>
        <v>41671</v>
      </c>
      <c r="H609" t="str">
        <f>VLOOKUP(N609,Status[],2,FALSE)</f>
        <v>Full-Time</v>
      </c>
      <c r="J609" s="7">
        <v>1076</v>
      </c>
      <c r="K609">
        <v>11</v>
      </c>
      <c r="L609">
        <v>2014</v>
      </c>
      <c r="M609">
        <v>2</v>
      </c>
      <c r="N609">
        <v>1</v>
      </c>
    </row>
    <row r="610" spans="1:14" x14ac:dyDescent="0.25">
      <c r="A610" t="s">
        <v>2852</v>
      </c>
      <c r="B610" t="s">
        <v>222</v>
      </c>
      <c r="C610" t="s">
        <v>1980</v>
      </c>
      <c r="D610" t="str">
        <f>VLOOKUP(J610,Location[],2,FALSE)</f>
        <v>Honolulu</v>
      </c>
      <c r="E610" t="str">
        <f>VLOOKUP(J610,Location[],3,FALSE)</f>
        <v> Hawaii</v>
      </c>
      <c r="F610" t="str">
        <f>VLOOKUP(K610,Dept[],2,FALSE)</f>
        <v>Customer Support</v>
      </c>
      <c r="G610" s="11">
        <f t="shared" si="9"/>
        <v>43556</v>
      </c>
      <c r="H610" t="str">
        <f>VLOOKUP(N610,Status[],2,FALSE)</f>
        <v>Part-Time</v>
      </c>
      <c r="J610" s="7">
        <v>1056</v>
      </c>
      <c r="K610">
        <v>14</v>
      </c>
      <c r="L610">
        <v>2019</v>
      </c>
      <c r="M610">
        <v>4</v>
      </c>
      <c r="N610">
        <v>0</v>
      </c>
    </row>
    <row r="611" spans="1:14" x14ac:dyDescent="0.25">
      <c r="A611" t="s">
        <v>2853</v>
      </c>
      <c r="B611" t="s">
        <v>27</v>
      </c>
      <c r="C611" t="s">
        <v>911</v>
      </c>
      <c r="D611" t="str">
        <f>VLOOKUP(J611,Location[],2,FALSE)</f>
        <v>Chicago</v>
      </c>
      <c r="E611" t="str">
        <f>VLOOKUP(J611,Location[],3,FALSE)</f>
        <v> Illinois</v>
      </c>
      <c r="F611" t="str">
        <f>VLOOKUP(K611,Dept[],2,FALSE)</f>
        <v>IT</v>
      </c>
      <c r="G611" s="11">
        <f t="shared" si="9"/>
        <v>42705</v>
      </c>
      <c r="H611" t="str">
        <f>VLOOKUP(N611,Status[],2,FALSE)</f>
        <v>Full-Time</v>
      </c>
      <c r="J611" s="7">
        <v>1003</v>
      </c>
      <c r="K611">
        <v>17</v>
      </c>
      <c r="L611">
        <v>2016</v>
      </c>
      <c r="M611">
        <v>12</v>
      </c>
      <c r="N611">
        <v>1</v>
      </c>
    </row>
    <row r="612" spans="1:14" x14ac:dyDescent="0.25">
      <c r="A612" t="s">
        <v>2854</v>
      </c>
      <c r="B612" t="s">
        <v>605</v>
      </c>
      <c r="C612" t="s">
        <v>1960</v>
      </c>
      <c r="D612" t="str">
        <f>VLOOKUP(J612,Location[],2,FALSE)</f>
        <v>Phoenix</v>
      </c>
      <c r="E612" t="str">
        <f>VLOOKUP(J612,Location[],3,FALSE)</f>
        <v> Arizona</v>
      </c>
      <c r="F612" t="str">
        <f>VLOOKUP(K612,Dept[],2,FALSE)</f>
        <v>Assessment</v>
      </c>
      <c r="G612" s="11">
        <f t="shared" si="9"/>
        <v>43040</v>
      </c>
      <c r="H612" t="str">
        <f>VLOOKUP(N612,Status[],2,FALSE)</f>
        <v>Full-Time</v>
      </c>
      <c r="J612" s="7">
        <v>1005</v>
      </c>
      <c r="K612">
        <v>13</v>
      </c>
      <c r="L612">
        <v>2017</v>
      </c>
      <c r="M612">
        <v>11</v>
      </c>
      <c r="N612">
        <v>1</v>
      </c>
    </row>
    <row r="613" spans="1:14" x14ac:dyDescent="0.25">
      <c r="A613" t="s">
        <v>2855</v>
      </c>
      <c r="B613" t="s">
        <v>918</v>
      </c>
      <c r="C613" t="s">
        <v>919</v>
      </c>
      <c r="D613" t="str">
        <f>VLOOKUP(J613,Location[],2,FALSE)</f>
        <v>Albuquerque</v>
      </c>
      <c r="E613" t="str">
        <f>VLOOKUP(J613,Location[],3,FALSE)</f>
        <v> New Mexico</v>
      </c>
      <c r="F613" t="str">
        <f>VLOOKUP(K613,Dept[],2,FALSE)</f>
        <v>Marketing</v>
      </c>
      <c r="G613" s="11">
        <f t="shared" si="9"/>
        <v>41275</v>
      </c>
      <c r="H613" t="str">
        <f>VLOOKUP(N613,Status[],2,FALSE)</f>
        <v>Full-Time</v>
      </c>
      <c r="J613" s="7">
        <v>1032</v>
      </c>
      <c r="K613">
        <v>19</v>
      </c>
      <c r="L613">
        <v>2013</v>
      </c>
      <c r="M613">
        <v>1</v>
      </c>
      <c r="N613">
        <v>1</v>
      </c>
    </row>
    <row r="614" spans="1:14" x14ac:dyDescent="0.25">
      <c r="A614" t="s">
        <v>2856</v>
      </c>
      <c r="B614" t="s">
        <v>1958</v>
      </c>
      <c r="C614" t="s">
        <v>1959</v>
      </c>
      <c r="D614" t="str">
        <f>VLOOKUP(J614,Location[],2,FALSE)</f>
        <v>San Antonio</v>
      </c>
      <c r="E614" t="str">
        <f>VLOOKUP(J614,Location[],3,FALSE)</f>
        <v> Texas</v>
      </c>
      <c r="F614" t="str">
        <f>VLOOKUP(K614,Dept[],2,FALSE)</f>
        <v>Marketing</v>
      </c>
      <c r="G614" s="11">
        <f t="shared" si="9"/>
        <v>42917</v>
      </c>
      <c r="H614" t="str">
        <f>VLOOKUP(N614,Status[],2,FALSE)</f>
        <v>Full-Time</v>
      </c>
      <c r="J614" s="7">
        <v>1007</v>
      </c>
      <c r="K614">
        <v>19</v>
      </c>
      <c r="L614">
        <v>2017</v>
      </c>
      <c r="M614">
        <v>7</v>
      </c>
      <c r="N614">
        <v>1</v>
      </c>
    </row>
    <row r="615" spans="1:14" x14ac:dyDescent="0.25">
      <c r="A615" t="s">
        <v>2857</v>
      </c>
      <c r="B615" t="s">
        <v>149</v>
      </c>
      <c r="C615" t="s">
        <v>1346</v>
      </c>
      <c r="D615" t="str">
        <f>VLOOKUP(J615,Location[],2,FALSE)</f>
        <v>Seattle</v>
      </c>
      <c r="E615" t="str">
        <f>VLOOKUP(J615,Location[],3,FALSE)</f>
        <v> Washington</v>
      </c>
      <c r="F615" t="str">
        <f>VLOOKUP(K615,Dept[],2,FALSE)</f>
        <v>IT</v>
      </c>
      <c r="G615" s="11">
        <f t="shared" si="9"/>
        <v>42856</v>
      </c>
      <c r="H615" t="str">
        <f>VLOOKUP(N615,Status[],2,FALSE)</f>
        <v>Full-Time</v>
      </c>
      <c r="J615" s="7">
        <v>1018</v>
      </c>
      <c r="K615">
        <v>17</v>
      </c>
      <c r="L615">
        <v>2017</v>
      </c>
      <c r="M615">
        <v>5</v>
      </c>
      <c r="N615">
        <v>1</v>
      </c>
    </row>
    <row r="616" spans="1:14" x14ac:dyDescent="0.25">
      <c r="A616" t="s">
        <v>2858</v>
      </c>
      <c r="B616" t="s">
        <v>450</v>
      </c>
      <c r="C616" t="s">
        <v>1771</v>
      </c>
      <c r="D616" t="str">
        <f>VLOOKUP(J616,Location[],2,FALSE)</f>
        <v>Oakland</v>
      </c>
      <c r="E616" t="str">
        <f>VLOOKUP(J616,Location[],3,FALSE)</f>
        <v> California</v>
      </c>
      <c r="F616" t="str">
        <f>VLOOKUP(K616,Dept[],2,FALSE)</f>
        <v>Administration</v>
      </c>
      <c r="G616" s="11">
        <f t="shared" si="9"/>
        <v>42675</v>
      </c>
      <c r="H616" t="str">
        <f>VLOOKUP(N616,Status[],2,FALSE)</f>
        <v>Full-Time</v>
      </c>
      <c r="J616" s="7">
        <v>1045</v>
      </c>
      <c r="K616">
        <v>12</v>
      </c>
      <c r="L616">
        <v>2016</v>
      </c>
      <c r="M616">
        <v>11</v>
      </c>
      <c r="N616">
        <v>1</v>
      </c>
    </row>
    <row r="617" spans="1:14" x14ac:dyDescent="0.25">
      <c r="A617" t="s">
        <v>2859</v>
      </c>
      <c r="B617" t="s">
        <v>166</v>
      </c>
      <c r="C617" t="s">
        <v>1582</v>
      </c>
      <c r="D617" t="str">
        <f>VLOOKUP(J617,Location[],2,FALSE)</f>
        <v>Chicago</v>
      </c>
      <c r="E617" t="str">
        <f>VLOOKUP(J617,Location[],3,FALSE)</f>
        <v> Illinois</v>
      </c>
      <c r="F617" t="str">
        <f>VLOOKUP(K617,Dept[],2,FALSE)</f>
        <v>Administration</v>
      </c>
      <c r="G617" s="11">
        <f t="shared" si="9"/>
        <v>43132</v>
      </c>
      <c r="H617" t="str">
        <f>VLOOKUP(N617,Status[],2,FALSE)</f>
        <v>Full-Time</v>
      </c>
      <c r="J617" s="7">
        <v>1003</v>
      </c>
      <c r="K617">
        <v>12</v>
      </c>
      <c r="L617">
        <v>2018</v>
      </c>
      <c r="M617">
        <v>2</v>
      </c>
      <c r="N617">
        <v>1</v>
      </c>
    </row>
    <row r="618" spans="1:14" x14ac:dyDescent="0.25">
      <c r="A618" t="s">
        <v>2860</v>
      </c>
      <c r="B618" t="s">
        <v>83</v>
      </c>
      <c r="C618" t="s">
        <v>114</v>
      </c>
      <c r="D618" t="str">
        <f>VLOOKUP(J618,Location[],2,FALSE)</f>
        <v>Los Angeles</v>
      </c>
      <c r="E618" t="str">
        <f>VLOOKUP(J618,Location[],3,FALSE)</f>
        <v> California</v>
      </c>
      <c r="F618" t="str">
        <f>VLOOKUP(K618,Dept[],2,FALSE)</f>
        <v>Administration</v>
      </c>
      <c r="G618" s="11">
        <f t="shared" si="9"/>
        <v>40909</v>
      </c>
      <c r="H618" t="str">
        <f>VLOOKUP(N618,Status[],2,FALSE)</f>
        <v>Full-Time</v>
      </c>
      <c r="J618" s="7">
        <v>1002</v>
      </c>
      <c r="K618">
        <v>12</v>
      </c>
      <c r="L618">
        <v>2012</v>
      </c>
      <c r="M618">
        <v>1</v>
      </c>
      <c r="N618">
        <v>1</v>
      </c>
    </row>
    <row r="619" spans="1:14" x14ac:dyDescent="0.25">
      <c r="A619" t="s">
        <v>2861</v>
      </c>
      <c r="B619" t="s">
        <v>7</v>
      </c>
      <c r="C619" t="s">
        <v>1815</v>
      </c>
      <c r="D619" t="str">
        <f>VLOOKUP(J619,Location[],2,FALSE)</f>
        <v>Chicago</v>
      </c>
      <c r="E619" t="str">
        <f>VLOOKUP(J619,Location[],3,FALSE)</f>
        <v> Illinois</v>
      </c>
      <c r="F619" t="str">
        <f>VLOOKUP(K619,Dept[],2,FALSE)</f>
        <v>IT</v>
      </c>
      <c r="G619" s="11">
        <f t="shared" si="9"/>
        <v>42461</v>
      </c>
      <c r="H619" t="str">
        <f>VLOOKUP(N619,Status[],2,FALSE)</f>
        <v>Full-Time</v>
      </c>
      <c r="J619" s="7">
        <v>1003</v>
      </c>
      <c r="K619">
        <v>17</v>
      </c>
      <c r="L619">
        <v>2016</v>
      </c>
      <c r="M619">
        <v>4</v>
      </c>
      <c r="N619">
        <v>1</v>
      </c>
    </row>
    <row r="620" spans="1:14" x14ac:dyDescent="0.25">
      <c r="A620" t="s">
        <v>2862</v>
      </c>
      <c r="B620" t="s">
        <v>1075</v>
      </c>
      <c r="C620" t="s">
        <v>1076</v>
      </c>
      <c r="D620" t="str">
        <f>VLOOKUP(J620,Location[],2,FALSE)</f>
        <v>San Diego</v>
      </c>
      <c r="E620" t="str">
        <f>VLOOKUP(J620,Location[],3,FALSE)</f>
        <v> California</v>
      </c>
      <c r="F620" t="str">
        <f>VLOOKUP(K620,Dept[],2,FALSE)</f>
        <v>Media</v>
      </c>
      <c r="G620" s="11">
        <f t="shared" si="9"/>
        <v>44866</v>
      </c>
      <c r="H620" t="str">
        <f>VLOOKUP(N620,Status[],2,FALSE)</f>
        <v>Full-Time</v>
      </c>
      <c r="J620" s="7">
        <v>1008</v>
      </c>
      <c r="K620">
        <v>20</v>
      </c>
      <c r="L620">
        <v>2022</v>
      </c>
      <c r="M620">
        <v>11</v>
      </c>
      <c r="N620">
        <v>1</v>
      </c>
    </row>
    <row r="621" spans="1:14" x14ac:dyDescent="0.25">
      <c r="A621" t="s">
        <v>2863</v>
      </c>
      <c r="B621" t="s">
        <v>1254</v>
      </c>
      <c r="C621" t="s">
        <v>1255</v>
      </c>
      <c r="D621" t="str">
        <f>VLOOKUP(J621,Location[],2,FALSE)</f>
        <v>New York City</v>
      </c>
      <c r="E621" t="str">
        <f>VLOOKUP(J621,Location[],3,FALSE)</f>
        <v> New York</v>
      </c>
      <c r="F621" t="str">
        <f>VLOOKUP(K621,Dept[],2,FALSE)</f>
        <v>Customer Support</v>
      </c>
      <c r="G621" s="11">
        <f t="shared" si="9"/>
        <v>41214</v>
      </c>
      <c r="H621" t="str">
        <f>VLOOKUP(N621,Status[],2,FALSE)</f>
        <v>Full-Time</v>
      </c>
      <c r="J621" s="7">
        <v>1001</v>
      </c>
      <c r="K621">
        <v>14</v>
      </c>
      <c r="L621">
        <v>2012</v>
      </c>
      <c r="M621">
        <v>11</v>
      </c>
      <c r="N621">
        <v>1</v>
      </c>
    </row>
    <row r="622" spans="1:14" x14ac:dyDescent="0.25">
      <c r="A622" t="s">
        <v>2864</v>
      </c>
      <c r="B622" t="s">
        <v>108</v>
      </c>
      <c r="C622" t="s">
        <v>330</v>
      </c>
      <c r="D622" t="str">
        <f>VLOOKUP(J622,Location[],2,FALSE)</f>
        <v>Houston</v>
      </c>
      <c r="E622" t="str">
        <f>VLOOKUP(J622,Location[],3,FALSE)</f>
        <v> Texas</v>
      </c>
      <c r="F622" t="str">
        <f>VLOOKUP(K622,Dept[],2,FALSE)</f>
        <v>Accounting</v>
      </c>
      <c r="G622" s="11">
        <f t="shared" si="9"/>
        <v>41730</v>
      </c>
      <c r="H622" t="str">
        <f>VLOOKUP(N622,Status[],2,FALSE)</f>
        <v>Full-Time</v>
      </c>
      <c r="J622" s="7">
        <v>1004</v>
      </c>
      <c r="K622">
        <v>11</v>
      </c>
      <c r="L622">
        <v>2014</v>
      </c>
      <c r="M622">
        <v>4</v>
      </c>
      <c r="N622">
        <v>1</v>
      </c>
    </row>
    <row r="623" spans="1:14" x14ac:dyDescent="0.25">
      <c r="A623" t="s">
        <v>2865</v>
      </c>
      <c r="B623" t="s">
        <v>63</v>
      </c>
      <c r="C623" t="s">
        <v>64</v>
      </c>
      <c r="D623" t="str">
        <f>VLOOKUP(J623,Location[],2,FALSE)</f>
        <v>New York City</v>
      </c>
      <c r="E623" t="str">
        <f>VLOOKUP(J623,Location[],3,FALSE)</f>
        <v> New York</v>
      </c>
      <c r="F623" t="str">
        <f>VLOOKUP(K623,Dept[],2,FALSE)</f>
        <v>Administration</v>
      </c>
      <c r="G623" s="11">
        <f t="shared" si="9"/>
        <v>40575</v>
      </c>
      <c r="H623" t="str">
        <f>VLOOKUP(N623,Status[],2,FALSE)</f>
        <v>Full-Time</v>
      </c>
      <c r="J623" s="7">
        <v>1001</v>
      </c>
      <c r="K623">
        <v>12</v>
      </c>
      <c r="L623">
        <v>2011</v>
      </c>
      <c r="M623">
        <v>2</v>
      </c>
      <c r="N623">
        <v>1</v>
      </c>
    </row>
    <row r="624" spans="1:14" x14ac:dyDescent="0.25">
      <c r="A624" t="s">
        <v>2866</v>
      </c>
      <c r="B624" t="s">
        <v>1116</v>
      </c>
      <c r="C624" t="s">
        <v>64</v>
      </c>
      <c r="D624" t="str">
        <f>VLOOKUP(J624,Location[],2,FALSE)</f>
        <v>Seattle</v>
      </c>
      <c r="E624" t="str">
        <f>VLOOKUP(J624,Location[],3,FALSE)</f>
        <v> Washington</v>
      </c>
      <c r="F624" t="str">
        <f>VLOOKUP(K624,Dept[],2,FALSE)</f>
        <v>Administration</v>
      </c>
      <c r="G624" s="11">
        <f t="shared" si="9"/>
        <v>42095</v>
      </c>
      <c r="H624" t="str">
        <f>VLOOKUP(N624,Status[],2,FALSE)</f>
        <v>Part-Time</v>
      </c>
      <c r="J624" s="7">
        <v>1018</v>
      </c>
      <c r="K624">
        <v>12</v>
      </c>
      <c r="L624">
        <v>2015</v>
      </c>
      <c r="M624">
        <v>4</v>
      </c>
      <c r="N624">
        <v>0</v>
      </c>
    </row>
    <row r="625" spans="1:14" x14ac:dyDescent="0.25">
      <c r="A625" t="s">
        <v>2867</v>
      </c>
      <c r="B625" t="s">
        <v>767</v>
      </c>
      <c r="C625" t="s">
        <v>64</v>
      </c>
      <c r="D625" t="str">
        <f>VLOOKUP(J625,Location[],2,FALSE)</f>
        <v>Phoenix</v>
      </c>
      <c r="E625" t="str">
        <f>VLOOKUP(J625,Location[],3,FALSE)</f>
        <v> Arizona</v>
      </c>
      <c r="F625" t="str">
        <f>VLOOKUP(K625,Dept[],2,FALSE)</f>
        <v>Human Resources</v>
      </c>
      <c r="G625" s="11">
        <f t="shared" si="9"/>
        <v>45231</v>
      </c>
      <c r="H625" t="str">
        <f>VLOOKUP(N625,Status[],2,FALSE)</f>
        <v>Full-Time</v>
      </c>
      <c r="J625" s="7">
        <v>1005</v>
      </c>
      <c r="K625">
        <v>16</v>
      </c>
      <c r="L625">
        <v>2023</v>
      </c>
      <c r="M625">
        <v>11</v>
      </c>
      <c r="N625">
        <v>1</v>
      </c>
    </row>
    <row r="626" spans="1:14" x14ac:dyDescent="0.25">
      <c r="A626" t="s">
        <v>2868</v>
      </c>
      <c r="B626" t="s">
        <v>448</v>
      </c>
      <c r="C626" t="s">
        <v>742</v>
      </c>
      <c r="D626" t="str">
        <f>VLOOKUP(J626,Location[],2,FALSE)</f>
        <v>New York City</v>
      </c>
      <c r="E626" t="str">
        <f>VLOOKUP(J626,Location[],3,FALSE)</f>
        <v> New York</v>
      </c>
      <c r="F626" t="str">
        <f>VLOOKUP(K626,Dept[],2,FALSE)</f>
        <v>Customer Support</v>
      </c>
      <c r="G626" s="11">
        <f t="shared" si="9"/>
        <v>44440</v>
      </c>
      <c r="H626" t="str">
        <f>VLOOKUP(N626,Status[],2,FALSE)</f>
        <v>Full-Time</v>
      </c>
      <c r="J626" s="7">
        <v>1001</v>
      </c>
      <c r="K626">
        <v>14</v>
      </c>
      <c r="L626">
        <v>2021</v>
      </c>
      <c r="M626">
        <v>9</v>
      </c>
      <c r="N626">
        <v>1</v>
      </c>
    </row>
    <row r="627" spans="1:14" x14ac:dyDescent="0.25">
      <c r="A627" t="s">
        <v>2869</v>
      </c>
      <c r="B627" t="s">
        <v>1973</v>
      </c>
      <c r="C627" t="s">
        <v>1974</v>
      </c>
      <c r="D627" t="str">
        <f>VLOOKUP(J627,Location[],2,FALSE)</f>
        <v>Mesa</v>
      </c>
      <c r="E627" t="str">
        <f>VLOOKUP(J627,Location[],3,FALSE)</f>
        <v> Arizona</v>
      </c>
      <c r="F627" t="str">
        <f>VLOOKUP(K627,Dept[],2,FALSE)</f>
        <v>Customer Support</v>
      </c>
      <c r="G627" s="11">
        <f t="shared" si="9"/>
        <v>44501</v>
      </c>
      <c r="H627" t="str">
        <f>VLOOKUP(N627,Status[],2,FALSE)</f>
        <v>Full-Time</v>
      </c>
      <c r="J627" s="7">
        <v>1036</v>
      </c>
      <c r="K627">
        <v>14</v>
      </c>
      <c r="L627">
        <v>2021</v>
      </c>
      <c r="M627">
        <v>11</v>
      </c>
      <c r="N627">
        <v>1</v>
      </c>
    </row>
    <row r="628" spans="1:14" x14ac:dyDescent="0.25">
      <c r="A628" t="s">
        <v>2870</v>
      </c>
      <c r="B628" t="s">
        <v>699</v>
      </c>
      <c r="C628" t="s">
        <v>1911</v>
      </c>
      <c r="D628" t="str">
        <f>VLOOKUP(J628,Location[],2,FALSE)</f>
        <v>Toledo</v>
      </c>
      <c r="E628" t="str">
        <f>VLOOKUP(J628,Location[],3,FALSE)</f>
        <v> Ohio</v>
      </c>
      <c r="F628" t="str">
        <f>VLOOKUP(K628,Dept[],2,FALSE)</f>
        <v>Media</v>
      </c>
      <c r="G628" s="11">
        <f t="shared" si="9"/>
        <v>42614</v>
      </c>
      <c r="H628" t="str">
        <f>VLOOKUP(N628,Status[],2,FALSE)</f>
        <v>Part-Time</v>
      </c>
      <c r="J628" s="7">
        <v>1074</v>
      </c>
      <c r="K628">
        <v>20</v>
      </c>
      <c r="L628">
        <v>2016</v>
      </c>
      <c r="M628">
        <v>9</v>
      </c>
      <c r="N628">
        <v>0</v>
      </c>
    </row>
    <row r="629" spans="1:14" x14ac:dyDescent="0.25">
      <c r="A629" t="s">
        <v>2871</v>
      </c>
      <c r="B629" t="s">
        <v>268</v>
      </c>
      <c r="C629" t="s">
        <v>428</v>
      </c>
      <c r="D629" t="str">
        <f>VLOOKUP(J629,Location[],2,FALSE)</f>
        <v>Baltimore</v>
      </c>
      <c r="E629" t="str">
        <f>VLOOKUP(J629,Location[],3,FALSE)</f>
        <v> Maryland</v>
      </c>
      <c r="F629" t="str">
        <f>VLOOKUP(K629,Dept[],2,FALSE)</f>
        <v>Legal</v>
      </c>
      <c r="G629" s="11">
        <f t="shared" si="9"/>
        <v>44136</v>
      </c>
      <c r="H629" t="str">
        <f>VLOOKUP(N629,Status[],2,FALSE)</f>
        <v>Full-Time</v>
      </c>
      <c r="J629" s="7">
        <v>1030</v>
      </c>
      <c r="K629">
        <v>18</v>
      </c>
      <c r="L629">
        <v>2020</v>
      </c>
      <c r="M629">
        <v>11</v>
      </c>
      <c r="N629">
        <v>1</v>
      </c>
    </row>
    <row r="630" spans="1:14" x14ac:dyDescent="0.25">
      <c r="A630" t="s">
        <v>2872</v>
      </c>
      <c r="B630" t="s">
        <v>347</v>
      </c>
      <c r="C630" t="s">
        <v>428</v>
      </c>
      <c r="D630" t="str">
        <f>VLOOKUP(J630,Location[],2,FALSE)</f>
        <v>Washington, D.C.</v>
      </c>
      <c r="E630" t="str">
        <f>VLOOKUP(J630,Location[],3,FALSE)</f>
        <v> District of Columbia</v>
      </c>
      <c r="F630" t="str">
        <f>VLOOKUP(K630,Dept[],2,FALSE)</f>
        <v>Legal</v>
      </c>
      <c r="G630" s="11">
        <f t="shared" si="9"/>
        <v>44256</v>
      </c>
      <c r="H630" t="str">
        <f>VLOOKUP(N630,Status[],2,FALSE)</f>
        <v>Part-Time</v>
      </c>
      <c r="J630" s="7">
        <v>1020</v>
      </c>
      <c r="K630">
        <v>18</v>
      </c>
      <c r="L630">
        <v>2021</v>
      </c>
      <c r="M630">
        <v>3</v>
      </c>
      <c r="N630">
        <v>0</v>
      </c>
    </row>
    <row r="631" spans="1:14" x14ac:dyDescent="0.25">
      <c r="A631" t="s">
        <v>2873</v>
      </c>
      <c r="B631" t="s">
        <v>1269</v>
      </c>
      <c r="C631" t="s">
        <v>428</v>
      </c>
      <c r="D631" t="str">
        <f>VLOOKUP(J631,Location[],2,FALSE)</f>
        <v>Chula Vista</v>
      </c>
      <c r="E631" t="str">
        <f>VLOOKUP(J631,Location[],3,FALSE)</f>
        <v> California</v>
      </c>
      <c r="F631" t="str">
        <f>VLOOKUP(K631,Dept[],2,FALSE)</f>
        <v>Legal</v>
      </c>
      <c r="G631" s="11">
        <f t="shared" si="9"/>
        <v>41244</v>
      </c>
      <c r="H631" t="str">
        <f>VLOOKUP(N631,Status[],2,FALSE)</f>
        <v>Full-Time</v>
      </c>
      <c r="J631" s="7">
        <v>1076</v>
      </c>
      <c r="K631">
        <v>18</v>
      </c>
      <c r="L631">
        <v>2012</v>
      </c>
      <c r="M631">
        <v>12</v>
      </c>
      <c r="N631">
        <v>1</v>
      </c>
    </row>
    <row r="632" spans="1:14" x14ac:dyDescent="0.25">
      <c r="A632" t="s">
        <v>2874</v>
      </c>
      <c r="B632" t="s">
        <v>57</v>
      </c>
      <c r="C632" t="s">
        <v>428</v>
      </c>
      <c r="D632" t="str">
        <f>VLOOKUP(J632,Location[],2,FALSE)</f>
        <v>Chula Vista</v>
      </c>
      <c r="E632" t="str">
        <f>VLOOKUP(J632,Location[],3,FALSE)</f>
        <v> California</v>
      </c>
      <c r="F632" t="str">
        <f>VLOOKUP(K632,Dept[],2,FALSE)</f>
        <v>Marketing</v>
      </c>
      <c r="G632" s="11">
        <f t="shared" si="9"/>
        <v>42948</v>
      </c>
      <c r="H632" t="str">
        <f>VLOOKUP(N632,Status[],2,FALSE)</f>
        <v>Full-Time</v>
      </c>
      <c r="J632" s="7">
        <v>1076</v>
      </c>
      <c r="K632">
        <v>19</v>
      </c>
      <c r="L632">
        <v>2017</v>
      </c>
      <c r="M632">
        <v>8</v>
      </c>
      <c r="N632">
        <v>1</v>
      </c>
    </row>
    <row r="633" spans="1:14" x14ac:dyDescent="0.25">
      <c r="A633" t="s">
        <v>2875</v>
      </c>
      <c r="B633" t="s">
        <v>1721</v>
      </c>
      <c r="C633" t="s">
        <v>428</v>
      </c>
      <c r="D633" t="str">
        <f>VLOOKUP(J633,Location[],2,FALSE)</f>
        <v>Phoenix</v>
      </c>
      <c r="E633" t="str">
        <f>VLOOKUP(J633,Location[],3,FALSE)</f>
        <v> Arizona</v>
      </c>
      <c r="F633" t="str">
        <f>VLOOKUP(K633,Dept[],2,FALSE)</f>
        <v>Human Resources</v>
      </c>
      <c r="G633" s="11">
        <f t="shared" si="9"/>
        <v>44682</v>
      </c>
      <c r="H633" t="str">
        <f>VLOOKUP(N633,Status[],2,FALSE)</f>
        <v>Part-Time</v>
      </c>
      <c r="J633" s="7">
        <v>1005</v>
      </c>
      <c r="K633">
        <v>16</v>
      </c>
      <c r="L633">
        <v>2022</v>
      </c>
      <c r="M633">
        <v>5</v>
      </c>
      <c r="N633">
        <v>0</v>
      </c>
    </row>
    <row r="634" spans="1:14" x14ac:dyDescent="0.25">
      <c r="A634" t="s">
        <v>2876</v>
      </c>
      <c r="B634" t="s">
        <v>427</v>
      </c>
      <c r="C634" t="s">
        <v>428</v>
      </c>
      <c r="D634" t="str">
        <f>VLOOKUP(J634,Location[],2,FALSE)</f>
        <v>Nashville</v>
      </c>
      <c r="E634" t="str">
        <f>VLOOKUP(J634,Location[],3,FALSE)</f>
        <v> Tennessee</v>
      </c>
      <c r="F634" t="str">
        <f>VLOOKUP(K634,Dept[],2,FALSE)</f>
        <v>Media</v>
      </c>
      <c r="G634" s="11">
        <f t="shared" si="9"/>
        <v>45108</v>
      </c>
      <c r="H634" t="str">
        <f>VLOOKUP(N634,Status[],2,FALSE)</f>
        <v>Full-Time</v>
      </c>
      <c r="J634" s="7">
        <v>1024</v>
      </c>
      <c r="K634">
        <v>20</v>
      </c>
      <c r="L634">
        <v>2023</v>
      </c>
      <c r="M634">
        <v>7</v>
      </c>
      <c r="N634">
        <v>1</v>
      </c>
    </row>
    <row r="635" spans="1:14" x14ac:dyDescent="0.25">
      <c r="A635" t="s">
        <v>2877</v>
      </c>
      <c r="B635" t="s">
        <v>149</v>
      </c>
      <c r="C635" t="s">
        <v>428</v>
      </c>
      <c r="D635" t="str">
        <f>VLOOKUP(J635,Location[],2,FALSE)</f>
        <v>Minneapolis</v>
      </c>
      <c r="E635" t="str">
        <f>VLOOKUP(J635,Location[],3,FALSE)</f>
        <v> Minnesota</v>
      </c>
      <c r="F635" t="str">
        <f>VLOOKUP(K635,Dept[],2,FALSE)</f>
        <v>Assessment</v>
      </c>
      <c r="G635" s="11">
        <f t="shared" si="9"/>
        <v>43525</v>
      </c>
      <c r="H635" t="str">
        <f>VLOOKUP(N635,Status[],2,FALSE)</f>
        <v>Part-Time</v>
      </c>
      <c r="J635" s="7">
        <v>1046</v>
      </c>
      <c r="K635">
        <v>13</v>
      </c>
      <c r="L635">
        <v>2019</v>
      </c>
      <c r="M635">
        <v>3</v>
      </c>
      <c r="N635">
        <v>0</v>
      </c>
    </row>
    <row r="636" spans="1:14" x14ac:dyDescent="0.25">
      <c r="A636" t="s">
        <v>2878</v>
      </c>
      <c r="B636" t="s">
        <v>1482</v>
      </c>
      <c r="C636" t="s">
        <v>1483</v>
      </c>
      <c r="D636" t="str">
        <f>VLOOKUP(J636,Location[],2,FALSE)</f>
        <v>Washington, D.C.</v>
      </c>
      <c r="E636" t="str">
        <f>VLOOKUP(J636,Location[],3,FALSE)</f>
        <v> District of Columbia</v>
      </c>
      <c r="F636" t="str">
        <f>VLOOKUP(K636,Dept[],2,FALSE)</f>
        <v>Administration</v>
      </c>
      <c r="G636" s="11">
        <f t="shared" si="9"/>
        <v>43435</v>
      </c>
      <c r="H636" t="str">
        <f>VLOOKUP(N636,Status[],2,FALSE)</f>
        <v>Full-Time</v>
      </c>
      <c r="J636" s="7">
        <v>1020</v>
      </c>
      <c r="K636">
        <v>12</v>
      </c>
      <c r="L636">
        <v>2018</v>
      </c>
      <c r="M636">
        <v>12</v>
      </c>
      <c r="N636">
        <v>1</v>
      </c>
    </row>
    <row r="637" spans="1:14" x14ac:dyDescent="0.25">
      <c r="A637" t="s">
        <v>2879</v>
      </c>
      <c r="B637" t="s">
        <v>445</v>
      </c>
      <c r="C637" t="s">
        <v>1586</v>
      </c>
      <c r="D637" t="str">
        <f>VLOOKUP(J637,Location[],2,FALSE)</f>
        <v>Dallas</v>
      </c>
      <c r="E637" t="str">
        <f>VLOOKUP(J637,Location[],3,FALSE)</f>
        <v> Texas</v>
      </c>
      <c r="F637" t="str">
        <f>VLOOKUP(K637,Dept[],2,FALSE)</f>
        <v>Accounting</v>
      </c>
      <c r="G637" s="11">
        <f t="shared" si="9"/>
        <v>41518</v>
      </c>
      <c r="H637" t="str">
        <f>VLOOKUP(N637,Status[],2,FALSE)</f>
        <v>Full-Time</v>
      </c>
      <c r="J637" s="7">
        <v>1009</v>
      </c>
      <c r="K637">
        <v>11</v>
      </c>
      <c r="L637">
        <v>2013</v>
      </c>
      <c r="M637">
        <v>9</v>
      </c>
      <c r="N637">
        <v>1</v>
      </c>
    </row>
    <row r="638" spans="1:14" x14ac:dyDescent="0.25">
      <c r="A638" t="s">
        <v>2880</v>
      </c>
      <c r="B638" t="s">
        <v>13</v>
      </c>
      <c r="C638" t="s">
        <v>168</v>
      </c>
      <c r="D638" t="str">
        <f>VLOOKUP(J638,Location[],2,FALSE)</f>
        <v>Los Angeles</v>
      </c>
      <c r="E638" t="str">
        <f>VLOOKUP(J638,Location[],3,FALSE)</f>
        <v> California</v>
      </c>
      <c r="F638" t="str">
        <f>VLOOKUP(K638,Dept[],2,FALSE)</f>
        <v>Marketing</v>
      </c>
      <c r="G638" s="11">
        <f t="shared" si="9"/>
        <v>43160</v>
      </c>
      <c r="H638" t="str">
        <f>VLOOKUP(N638,Status[],2,FALSE)</f>
        <v>Full-Time</v>
      </c>
      <c r="J638" s="7">
        <v>1002</v>
      </c>
      <c r="K638">
        <v>19</v>
      </c>
      <c r="L638">
        <v>2018</v>
      </c>
      <c r="M638">
        <v>3</v>
      </c>
      <c r="N638">
        <v>1</v>
      </c>
    </row>
    <row r="639" spans="1:14" x14ac:dyDescent="0.25">
      <c r="A639" t="s">
        <v>2881</v>
      </c>
      <c r="B639" t="s">
        <v>694</v>
      </c>
      <c r="C639" t="s">
        <v>168</v>
      </c>
      <c r="D639" t="str">
        <f>VLOOKUP(J639,Location[],2,FALSE)</f>
        <v>Los Angeles</v>
      </c>
      <c r="E639" t="str">
        <f>VLOOKUP(J639,Location[],3,FALSE)</f>
        <v> California</v>
      </c>
      <c r="F639" t="str">
        <f>VLOOKUP(K639,Dept[],2,FALSE)</f>
        <v>Human Resources</v>
      </c>
      <c r="G639" s="11">
        <f t="shared" si="9"/>
        <v>44348</v>
      </c>
      <c r="H639" t="str">
        <f>VLOOKUP(N639,Status[],2,FALSE)</f>
        <v>Full-Time</v>
      </c>
      <c r="J639" s="7">
        <v>1002</v>
      </c>
      <c r="K639">
        <v>16</v>
      </c>
      <c r="L639">
        <v>2021</v>
      </c>
      <c r="M639">
        <v>6</v>
      </c>
      <c r="N639">
        <v>1</v>
      </c>
    </row>
    <row r="640" spans="1:14" x14ac:dyDescent="0.25">
      <c r="A640" t="s">
        <v>2882</v>
      </c>
      <c r="B640" t="s">
        <v>408</v>
      </c>
      <c r="C640" t="s">
        <v>126</v>
      </c>
      <c r="D640" t="str">
        <f>VLOOKUP(J640,Location[],2,FALSE)</f>
        <v>Milwaukee</v>
      </c>
      <c r="E640" t="str">
        <f>VLOOKUP(J640,Location[],3,FALSE)</f>
        <v> Wisconsin</v>
      </c>
      <c r="F640" t="str">
        <f>VLOOKUP(K640,Dept[],2,FALSE)</f>
        <v>Accounting</v>
      </c>
      <c r="G640" s="11">
        <f t="shared" si="9"/>
        <v>40817</v>
      </c>
      <c r="H640" t="str">
        <f>VLOOKUP(N640,Status[],2,FALSE)</f>
        <v>Full-Time</v>
      </c>
      <c r="J640" s="7">
        <v>1031</v>
      </c>
      <c r="K640">
        <v>11</v>
      </c>
      <c r="L640">
        <v>2011</v>
      </c>
      <c r="M640">
        <v>10</v>
      </c>
      <c r="N640">
        <v>1</v>
      </c>
    </row>
    <row r="641" spans="1:14" x14ac:dyDescent="0.25">
      <c r="A641" t="s">
        <v>2883</v>
      </c>
      <c r="B641" t="s">
        <v>125</v>
      </c>
      <c r="C641" t="s">
        <v>126</v>
      </c>
      <c r="D641" t="str">
        <f>VLOOKUP(J641,Location[],2,FALSE)</f>
        <v>New York City</v>
      </c>
      <c r="E641" t="str">
        <f>VLOOKUP(J641,Location[],3,FALSE)</f>
        <v> New York</v>
      </c>
      <c r="F641" t="str">
        <f>VLOOKUP(K641,Dept[],2,FALSE)</f>
        <v>Human Resources</v>
      </c>
      <c r="G641" s="11">
        <f t="shared" si="9"/>
        <v>41244</v>
      </c>
      <c r="H641" t="str">
        <f>VLOOKUP(N641,Status[],2,FALSE)</f>
        <v>Full-Time</v>
      </c>
      <c r="J641" s="7">
        <v>1001</v>
      </c>
      <c r="K641">
        <v>16</v>
      </c>
      <c r="L641">
        <v>2012</v>
      </c>
      <c r="M641">
        <v>12</v>
      </c>
      <c r="N641">
        <v>1</v>
      </c>
    </row>
    <row r="642" spans="1:14" x14ac:dyDescent="0.25">
      <c r="A642" t="s">
        <v>2884</v>
      </c>
      <c r="B642" t="s">
        <v>497</v>
      </c>
      <c r="C642" t="s">
        <v>126</v>
      </c>
      <c r="D642" t="str">
        <f>VLOOKUP(J642,Location[],2,FALSE)</f>
        <v>Albuquerque</v>
      </c>
      <c r="E642" t="str">
        <f>VLOOKUP(J642,Location[],3,FALSE)</f>
        <v> New Mexico</v>
      </c>
      <c r="F642" t="str">
        <f>VLOOKUP(K642,Dept[],2,FALSE)</f>
        <v>Administration</v>
      </c>
      <c r="G642" s="11">
        <f t="shared" si="9"/>
        <v>41487</v>
      </c>
      <c r="H642" t="str">
        <f>VLOOKUP(N642,Status[],2,FALSE)</f>
        <v>Full-Time</v>
      </c>
      <c r="J642" s="7">
        <v>1032</v>
      </c>
      <c r="K642">
        <v>12</v>
      </c>
      <c r="L642">
        <v>2013</v>
      </c>
      <c r="M642">
        <v>8</v>
      </c>
      <c r="N642">
        <v>1</v>
      </c>
    </row>
    <row r="643" spans="1:14" x14ac:dyDescent="0.25">
      <c r="A643" t="s">
        <v>2885</v>
      </c>
      <c r="B643" t="s">
        <v>19</v>
      </c>
      <c r="C643" t="s">
        <v>371</v>
      </c>
      <c r="D643" t="str">
        <f>VLOOKUP(J643,Location[],2,FALSE)</f>
        <v>Austin</v>
      </c>
      <c r="E643" t="str">
        <f>VLOOKUP(J643,Location[],3,FALSE)</f>
        <v> Texas</v>
      </c>
      <c r="F643" t="str">
        <f>VLOOKUP(K643,Dept[],2,FALSE)</f>
        <v>Finance</v>
      </c>
      <c r="G643" s="11">
        <f t="shared" si="9"/>
        <v>44805</v>
      </c>
      <c r="H643" t="str">
        <f>VLOOKUP(N643,Status[],2,FALSE)</f>
        <v>Full-Time</v>
      </c>
      <c r="J643" s="7">
        <v>1011</v>
      </c>
      <c r="K643">
        <v>15</v>
      </c>
      <c r="L643">
        <v>2022</v>
      </c>
      <c r="M643">
        <v>9</v>
      </c>
      <c r="N643">
        <v>1</v>
      </c>
    </row>
    <row r="644" spans="1:14" x14ac:dyDescent="0.25">
      <c r="A644" t="s">
        <v>2886</v>
      </c>
      <c r="B644" t="s">
        <v>1046</v>
      </c>
      <c r="C644" t="s">
        <v>371</v>
      </c>
      <c r="D644" t="str">
        <f>VLOOKUP(J644,Location[],2,FALSE)</f>
        <v>Oklahoma City</v>
      </c>
      <c r="E644" t="str">
        <f>VLOOKUP(J644,Location[],3,FALSE)</f>
        <v> Oklahoma</v>
      </c>
      <c r="F644" t="str">
        <f>VLOOKUP(K644,Dept[],2,FALSE)</f>
        <v>Finance</v>
      </c>
      <c r="G644" s="11">
        <f t="shared" si="9"/>
        <v>43831</v>
      </c>
      <c r="H644" t="str">
        <f>VLOOKUP(N644,Status[],2,FALSE)</f>
        <v>Full-Time</v>
      </c>
      <c r="J644" s="7">
        <v>1027</v>
      </c>
      <c r="K644">
        <v>15</v>
      </c>
      <c r="L644">
        <v>2020</v>
      </c>
      <c r="M644">
        <v>1</v>
      </c>
      <c r="N644">
        <v>1</v>
      </c>
    </row>
    <row r="645" spans="1:14" x14ac:dyDescent="0.25">
      <c r="A645" t="s">
        <v>2887</v>
      </c>
      <c r="B645" t="s">
        <v>370</v>
      </c>
      <c r="C645" t="s">
        <v>371</v>
      </c>
      <c r="D645" t="str">
        <f>VLOOKUP(J645,Location[],2,FALSE)</f>
        <v>Portland</v>
      </c>
      <c r="E645" t="str">
        <f>VLOOKUP(J645,Location[],3,FALSE)</f>
        <v> Oregon</v>
      </c>
      <c r="F645" t="str">
        <f>VLOOKUP(K645,Dept[],2,FALSE)</f>
        <v>Human Resources</v>
      </c>
      <c r="G645" s="11">
        <f t="shared" ref="G645:G708" si="10">DATE(L645,M645,1)</f>
        <v>45017</v>
      </c>
      <c r="H645" t="str">
        <f>VLOOKUP(N645,Status[],2,FALSE)</f>
        <v>Full-Time</v>
      </c>
      <c r="J645" s="7">
        <v>1026</v>
      </c>
      <c r="K645">
        <v>16</v>
      </c>
      <c r="L645">
        <v>2023</v>
      </c>
      <c r="M645">
        <v>4</v>
      </c>
      <c r="N645">
        <v>1</v>
      </c>
    </row>
    <row r="646" spans="1:14" x14ac:dyDescent="0.25">
      <c r="A646" t="s">
        <v>2888</v>
      </c>
      <c r="B646" t="s">
        <v>108</v>
      </c>
      <c r="C646" t="s">
        <v>1578</v>
      </c>
      <c r="D646" t="str">
        <f>VLOOKUP(J646,Location[],2,FALSE)</f>
        <v>Riverside</v>
      </c>
      <c r="E646" t="str">
        <f>VLOOKUP(J646,Location[],3,FALSE)</f>
        <v> California</v>
      </c>
      <c r="F646" t="str">
        <f>VLOOKUP(K646,Dept[],2,FALSE)</f>
        <v>Legal</v>
      </c>
      <c r="G646" s="11">
        <f t="shared" si="10"/>
        <v>40544</v>
      </c>
      <c r="H646" t="str">
        <f>VLOOKUP(N646,Status[],2,FALSE)</f>
        <v>Part-Time</v>
      </c>
      <c r="J646" s="7">
        <v>1058</v>
      </c>
      <c r="K646">
        <v>18</v>
      </c>
      <c r="L646">
        <v>2011</v>
      </c>
      <c r="M646">
        <v>1</v>
      </c>
      <c r="N646">
        <v>0</v>
      </c>
    </row>
    <row r="647" spans="1:14" x14ac:dyDescent="0.25">
      <c r="A647" t="s">
        <v>2889</v>
      </c>
      <c r="B647" t="s">
        <v>115</v>
      </c>
      <c r="C647" t="s">
        <v>1759</v>
      </c>
      <c r="D647" t="str">
        <f>VLOOKUP(J647,Location[],2,FALSE)</f>
        <v>Austin</v>
      </c>
      <c r="E647" t="str">
        <f>VLOOKUP(J647,Location[],3,FALSE)</f>
        <v> Texas</v>
      </c>
      <c r="F647" t="str">
        <f>VLOOKUP(K647,Dept[],2,FALSE)</f>
        <v>Administration</v>
      </c>
      <c r="G647" s="11">
        <f t="shared" si="10"/>
        <v>43282</v>
      </c>
      <c r="H647" t="str">
        <f>VLOOKUP(N647,Status[],2,FALSE)</f>
        <v>Part-Time</v>
      </c>
      <c r="J647" s="7">
        <v>1011</v>
      </c>
      <c r="K647">
        <v>12</v>
      </c>
      <c r="L647">
        <v>2018</v>
      </c>
      <c r="M647">
        <v>7</v>
      </c>
      <c r="N647">
        <v>0</v>
      </c>
    </row>
    <row r="648" spans="1:14" x14ac:dyDescent="0.25">
      <c r="A648" t="s">
        <v>2890</v>
      </c>
      <c r="B648" t="s">
        <v>450</v>
      </c>
      <c r="C648" t="s">
        <v>1988</v>
      </c>
      <c r="D648" t="str">
        <f>VLOOKUP(J648,Location[],2,FALSE)</f>
        <v>Chicago</v>
      </c>
      <c r="E648" t="str">
        <f>VLOOKUP(J648,Location[],3,FALSE)</f>
        <v> Illinois</v>
      </c>
      <c r="F648" t="str">
        <f>VLOOKUP(K648,Dept[],2,FALSE)</f>
        <v>Assessment</v>
      </c>
      <c r="G648" s="11">
        <f t="shared" si="10"/>
        <v>40878</v>
      </c>
      <c r="H648" t="str">
        <f>VLOOKUP(N648,Status[],2,FALSE)</f>
        <v>Full-Time</v>
      </c>
      <c r="J648" s="7">
        <v>1003</v>
      </c>
      <c r="K648">
        <v>13</v>
      </c>
      <c r="L648">
        <v>2011</v>
      </c>
      <c r="M648">
        <v>12</v>
      </c>
      <c r="N648">
        <v>1</v>
      </c>
    </row>
    <row r="649" spans="1:14" x14ac:dyDescent="0.25">
      <c r="A649" t="s">
        <v>2891</v>
      </c>
      <c r="B649" t="s">
        <v>971</v>
      </c>
      <c r="C649" t="s">
        <v>972</v>
      </c>
      <c r="D649" t="str">
        <f>VLOOKUP(J649,Location[],2,FALSE)</f>
        <v>Austin</v>
      </c>
      <c r="E649" t="str">
        <f>VLOOKUP(J649,Location[],3,FALSE)</f>
        <v> Texas</v>
      </c>
      <c r="F649" t="str">
        <f>VLOOKUP(K649,Dept[],2,FALSE)</f>
        <v>R&amp;D</v>
      </c>
      <c r="G649" s="11">
        <f t="shared" si="10"/>
        <v>43678</v>
      </c>
      <c r="H649" t="str">
        <f>VLOOKUP(N649,Status[],2,FALSE)</f>
        <v>Full-Time</v>
      </c>
      <c r="J649" s="7">
        <v>1011</v>
      </c>
      <c r="K649">
        <v>21</v>
      </c>
      <c r="L649">
        <v>2019</v>
      </c>
      <c r="M649">
        <v>8</v>
      </c>
      <c r="N649">
        <v>1</v>
      </c>
    </row>
    <row r="650" spans="1:14" x14ac:dyDescent="0.25">
      <c r="A650" t="s">
        <v>2892</v>
      </c>
      <c r="B650" t="s">
        <v>425</v>
      </c>
      <c r="C650" t="s">
        <v>426</v>
      </c>
      <c r="D650" t="str">
        <f>VLOOKUP(J650,Location[],2,FALSE)</f>
        <v>New York City</v>
      </c>
      <c r="E650" t="str">
        <f>VLOOKUP(J650,Location[],3,FALSE)</f>
        <v> New York</v>
      </c>
      <c r="F650" t="str">
        <f>VLOOKUP(K650,Dept[],2,FALSE)</f>
        <v>Customer Support</v>
      </c>
      <c r="G650" s="11">
        <f t="shared" si="10"/>
        <v>42583</v>
      </c>
      <c r="H650" t="str">
        <f>VLOOKUP(N650,Status[],2,FALSE)</f>
        <v>Full-Time</v>
      </c>
      <c r="J650" s="7">
        <v>1001</v>
      </c>
      <c r="K650">
        <v>14</v>
      </c>
      <c r="L650">
        <v>2016</v>
      </c>
      <c r="M650">
        <v>8</v>
      </c>
      <c r="N650">
        <v>1</v>
      </c>
    </row>
    <row r="651" spans="1:14" x14ac:dyDescent="0.25">
      <c r="A651" t="s">
        <v>2893</v>
      </c>
      <c r="B651" t="s">
        <v>845</v>
      </c>
      <c r="C651" t="s">
        <v>846</v>
      </c>
      <c r="D651" t="str">
        <f>VLOOKUP(J651,Location[],2,FALSE)</f>
        <v>Portland</v>
      </c>
      <c r="E651" t="str">
        <f>VLOOKUP(J651,Location[],3,FALSE)</f>
        <v> Oregon</v>
      </c>
      <c r="F651" t="str">
        <f>VLOOKUP(K651,Dept[],2,FALSE)</f>
        <v>Sales</v>
      </c>
      <c r="G651" s="11">
        <f t="shared" si="10"/>
        <v>44621</v>
      </c>
      <c r="H651" t="str">
        <f>VLOOKUP(N651,Status[],2,FALSE)</f>
        <v>Full-Time</v>
      </c>
      <c r="J651" s="7">
        <v>1026</v>
      </c>
      <c r="K651">
        <v>22</v>
      </c>
      <c r="L651">
        <v>2022</v>
      </c>
      <c r="M651">
        <v>3</v>
      </c>
      <c r="N651">
        <v>1</v>
      </c>
    </row>
    <row r="652" spans="1:14" x14ac:dyDescent="0.25">
      <c r="A652" t="s">
        <v>2894</v>
      </c>
      <c r="B652" t="s">
        <v>276</v>
      </c>
      <c r="C652" t="s">
        <v>277</v>
      </c>
      <c r="D652" t="str">
        <f>VLOOKUP(J652,Location[],2,FALSE)</f>
        <v>New York City</v>
      </c>
      <c r="E652" t="str">
        <f>VLOOKUP(J652,Location[],3,FALSE)</f>
        <v> New York</v>
      </c>
      <c r="F652" t="str">
        <f>VLOOKUP(K652,Dept[],2,FALSE)</f>
        <v>Assessment</v>
      </c>
      <c r="G652" s="11">
        <f t="shared" si="10"/>
        <v>45078</v>
      </c>
      <c r="H652" t="str">
        <f>VLOOKUP(N652,Status[],2,FALSE)</f>
        <v>Full-Time</v>
      </c>
      <c r="J652" s="7">
        <v>1001</v>
      </c>
      <c r="K652">
        <v>13</v>
      </c>
      <c r="L652">
        <v>2023</v>
      </c>
      <c r="M652">
        <v>6</v>
      </c>
      <c r="N652">
        <v>1</v>
      </c>
    </row>
    <row r="653" spans="1:14" x14ac:dyDescent="0.25">
      <c r="A653" t="s">
        <v>2895</v>
      </c>
      <c r="B653" t="s">
        <v>108</v>
      </c>
      <c r="C653" t="s">
        <v>2074</v>
      </c>
      <c r="D653" t="str">
        <f>VLOOKUP(J653,Location[],2,FALSE)</f>
        <v>San Antonio</v>
      </c>
      <c r="E653" t="str">
        <f>VLOOKUP(J653,Location[],3,FALSE)</f>
        <v> Texas</v>
      </c>
      <c r="F653" t="str">
        <f>VLOOKUP(K653,Dept[],2,FALSE)</f>
        <v>Sales</v>
      </c>
      <c r="G653" s="11">
        <f t="shared" si="10"/>
        <v>44256</v>
      </c>
      <c r="H653" t="str">
        <f>VLOOKUP(N653,Status[],2,FALSE)</f>
        <v>Full-Time</v>
      </c>
      <c r="J653" s="7">
        <v>1007</v>
      </c>
      <c r="K653">
        <v>22</v>
      </c>
      <c r="L653">
        <v>2021</v>
      </c>
      <c r="M653">
        <v>3</v>
      </c>
      <c r="N653">
        <v>1</v>
      </c>
    </row>
    <row r="654" spans="1:14" x14ac:dyDescent="0.25">
      <c r="A654" t="s">
        <v>2896</v>
      </c>
      <c r="B654" t="s">
        <v>1014</v>
      </c>
      <c r="C654" t="s">
        <v>455</v>
      </c>
      <c r="D654" t="str">
        <f>VLOOKUP(J654,Location[],2,FALSE)</f>
        <v>San Antonio</v>
      </c>
      <c r="E654" t="str">
        <f>VLOOKUP(J654,Location[],3,FALSE)</f>
        <v> Texas</v>
      </c>
      <c r="F654" t="str">
        <f>VLOOKUP(K654,Dept[],2,FALSE)</f>
        <v>Legal</v>
      </c>
      <c r="G654" s="11">
        <f t="shared" si="10"/>
        <v>44927</v>
      </c>
      <c r="H654" t="str">
        <f>VLOOKUP(N654,Status[],2,FALSE)</f>
        <v>Full-Time</v>
      </c>
      <c r="J654" s="7">
        <v>1007</v>
      </c>
      <c r="K654">
        <v>18</v>
      </c>
      <c r="L654">
        <v>2023</v>
      </c>
      <c r="M654">
        <v>1</v>
      </c>
      <c r="N654">
        <v>1</v>
      </c>
    </row>
    <row r="655" spans="1:14" x14ac:dyDescent="0.25">
      <c r="A655" t="s">
        <v>2897</v>
      </c>
      <c r="B655" t="s">
        <v>103</v>
      </c>
      <c r="C655" t="s">
        <v>455</v>
      </c>
      <c r="D655" t="str">
        <f>VLOOKUP(J655,Location[],2,FALSE)</f>
        <v>Detroit</v>
      </c>
      <c r="E655" t="str">
        <f>VLOOKUP(J655,Location[],3,FALSE)</f>
        <v> Michigan</v>
      </c>
      <c r="F655" t="str">
        <f>VLOOKUP(K655,Dept[],2,FALSE)</f>
        <v>Finance</v>
      </c>
      <c r="G655" s="11">
        <f t="shared" si="10"/>
        <v>44713</v>
      </c>
      <c r="H655" t="str">
        <f>VLOOKUP(N655,Status[],2,FALSE)</f>
        <v>Full-Time</v>
      </c>
      <c r="J655" s="7">
        <v>1023</v>
      </c>
      <c r="K655">
        <v>15</v>
      </c>
      <c r="L655">
        <v>2022</v>
      </c>
      <c r="M655">
        <v>6</v>
      </c>
      <c r="N655">
        <v>1</v>
      </c>
    </row>
    <row r="656" spans="1:14" x14ac:dyDescent="0.25">
      <c r="A656" t="s">
        <v>2898</v>
      </c>
      <c r="B656" t="s">
        <v>1265</v>
      </c>
      <c r="C656" t="s">
        <v>1713</v>
      </c>
      <c r="D656" t="str">
        <f>VLOOKUP(J656,Location[],2,FALSE)</f>
        <v>Honolulu</v>
      </c>
      <c r="E656" t="str">
        <f>VLOOKUP(J656,Location[],3,FALSE)</f>
        <v> Hawaii</v>
      </c>
      <c r="F656" t="str">
        <f>VLOOKUP(K656,Dept[],2,FALSE)</f>
        <v>Sales</v>
      </c>
      <c r="G656" s="11">
        <f t="shared" si="10"/>
        <v>43374</v>
      </c>
      <c r="H656" t="str">
        <f>VLOOKUP(N656,Status[],2,FALSE)</f>
        <v>Full-Time</v>
      </c>
      <c r="J656" s="7">
        <v>1056</v>
      </c>
      <c r="K656">
        <v>22</v>
      </c>
      <c r="L656">
        <v>2018</v>
      </c>
      <c r="M656">
        <v>10</v>
      </c>
      <c r="N656">
        <v>1</v>
      </c>
    </row>
    <row r="657" spans="1:14" x14ac:dyDescent="0.25">
      <c r="A657" t="s">
        <v>2899</v>
      </c>
      <c r="B657" t="s">
        <v>1890</v>
      </c>
      <c r="C657" t="s">
        <v>1891</v>
      </c>
      <c r="D657" t="str">
        <f>VLOOKUP(J657,Location[],2,FALSE)</f>
        <v>Baltimore</v>
      </c>
      <c r="E657" t="str">
        <f>VLOOKUP(J657,Location[],3,FALSE)</f>
        <v> Maryland</v>
      </c>
      <c r="F657" t="str">
        <f>VLOOKUP(K657,Dept[],2,FALSE)</f>
        <v>Sales</v>
      </c>
      <c r="G657" s="11">
        <f t="shared" si="10"/>
        <v>43160</v>
      </c>
      <c r="H657" t="str">
        <f>VLOOKUP(N657,Status[],2,FALSE)</f>
        <v>Part-Time</v>
      </c>
      <c r="J657" s="7">
        <v>1030</v>
      </c>
      <c r="K657">
        <v>22</v>
      </c>
      <c r="L657">
        <v>2018</v>
      </c>
      <c r="M657">
        <v>3</v>
      </c>
      <c r="N657">
        <v>0</v>
      </c>
    </row>
    <row r="658" spans="1:14" x14ac:dyDescent="0.25">
      <c r="A658" t="s">
        <v>2900</v>
      </c>
      <c r="B658" t="s">
        <v>1232</v>
      </c>
      <c r="C658" t="s">
        <v>1233</v>
      </c>
      <c r="D658" t="str">
        <f>VLOOKUP(J658,Location[],2,FALSE)</f>
        <v>Oklahoma City</v>
      </c>
      <c r="E658" t="str">
        <f>VLOOKUP(J658,Location[],3,FALSE)</f>
        <v> Oklahoma</v>
      </c>
      <c r="F658" t="str">
        <f>VLOOKUP(K658,Dept[],2,FALSE)</f>
        <v>Legal</v>
      </c>
      <c r="G658" s="11">
        <f t="shared" si="10"/>
        <v>41548</v>
      </c>
      <c r="H658" t="str">
        <f>VLOOKUP(N658,Status[],2,FALSE)</f>
        <v>Full-Time</v>
      </c>
      <c r="J658" s="7">
        <v>1027</v>
      </c>
      <c r="K658">
        <v>18</v>
      </c>
      <c r="L658">
        <v>2013</v>
      </c>
      <c r="M658">
        <v>10</v>
      </c>
      <c r="N658">
        <v>1</v>
      </c>
    </row>
    <row r="659" spans="1:14" x14ac:dyDescent="0.25">
      <c r="A659" t="s">
        <v>2901</v>
      </c>
      <c r="B659" t="s">
        <v>507</v>
      </c>
      <c r="C659" t="s">
        <v>654</v>
      </c>
      <c r="D659" t="str">
        <f>VLOOKUP(J659,Location[],2,FALSE)</f>
        <v>Laredo</v>
      </c>
      <c r="E659" t="str">
        <f>VLOOKUP(J659,Location[],3,FALSE)</f>
        <v> Texas</v>
      </c>
      <c r="F659" t="str">
        <f>VLOOKUP(K659,Dept[],2,FALSE)</f>
        <v>Legal</v>
      </c>
      <c r="G659" s="11">
        <f t="shared" si="10"/>
        <v>40603</v>
      </c>
      <c r="H659" t="str">
        <f>VLOOKUP(N659,Status[],2,FALSE)</f>
        <v>Full-Time</v>
      </c>
      <c r="J659" s="7">
        <v>1080</v>
      </c>
      <c r="K659">
        <v>18</v>
      </c>
      <c r="L659">
        <v>2011</v>
      </c>
      <c r="M659">
        <v>3</v>
      </c>
      <c r="N659">
        <v>1</v>
      </c>
    </row>
    <row r="660" spans="1:14" x14ac:dyDescent="0.25">
      <c r="A660" t="s">
        <v>2902</v>
      </c>
      <c r="B660" t="s">
        <v>585</v>
      </c>
      <c r="C660" t="s">
        <v>586</v>
      </c>
      <c r="D660" t="str">
        <f>VLOOKUP(J660,Location[],2,FALSE)</f>
        <v>Washington, D.C.</v>
      </c>
      <c r="E660" t="str">
        <f>VLOOKUP(J660,Location[],3,FALSE)</f>
        <v> District of Columbia</v>
      </c>
      <c r="F660" t="str">
        <f>VLOOKUP(K660,Dept[],2,FALSE)</f>
        <v>Administration</v>
      </c>
      <c r="G660" s="11">
        <f t="shared" si="10"/>
        <v>43952</v>
      </c>
      <c r="H660" t="str">
        <f>VLOOKUP(N660,Status[],2,FALSE)</f>
        <v>Full-Time</v>
      </c>
      <c r="J660" s="7">
        <v>1020</v>
      </c>
      <c r="K660">
        <v>12</v>
      </c>
      <c r="L660">
        <v>2020</v>
      </c>
      <c r="M660">
        <v>5</v>
      </c>
      <c r="N660">
        <v>1</v>
      </c>
    </row>
    <row r="661" spans="1:14" x14ac:dyDescent="0.25">
      <c r="A661" t="s">
        <v>2903</v>
      </c>
      <c r="B661" t="s">
        <v>617</v>
      </c>
      <c r="C661" t="s">
        <v>229</v>
      </c>
      <c r="D661" t="str">
        <f>VLOOKUP(J661,Location[],2,FALSE)</f>
        <v>Sacramento</v>
      </c>
      <c r="E661" t="str">
        <f>VLOOKUP(J661,Location[],3,FALSE)</f>
        <v> California</v>
      </c>
      <c r="F661" t="str">
        <f>VLOOKUP(K661,Dept[],2,FALSE)</f>
        <v>Administration</v>
      </c>
      <c r="G661" s="11">
        <f t="shared" si="10"/>
        <v>45108</v>
      </c>
      <c r="H661" t="str">
        <f>VLOOKUP(N661,Status[],2,FALSE)</f>
        <v>Full-Time</v>
      </c>
      <c r="J661" s="7">
        <v>1035</v>
      </c>
      <c r="K661">
        <v>12</v>
      </c>
      <c r="L661">
        <v>2023</v>
      </c>
      <c r="M661">
        <v>7</v>
      </c>
      <c r="N661">
        <v>1</v>
      </c>
    </row>
    <row r="662" spans="1:14" x14ac:dyDescent="0.25">
      <c r="A662" t="s">
        <v>2904</v>
      </c>
      <c r="B662" t="s">
        <v>388</v>
      </c>
      <c r="C662" t="s">
        <v>229</v>
      </c>
      <c r="D662" t="str">
        <f>VLOOKUP(J662,Location[],2,FALSE)</f>
        <v>Colorado Springs</v>
      </c>
      <c r="E662" t="str">
        <f>VLOOKUP(J662,Location[],3,FALSE)</f>
        <v> Colorado</v>
      </c>
      <c r="F662" t="str">
        <f>VLOOKUP(K662,Dept[],2,FALSE)</f>
        <v>Finance</v>
      </c>
      <c r="G662" s="11">
        <f t="shared" si="10"/>
        <v>41730</v>
      </c>
      <c r="H662" t="str">
        <f>VLOOKUP(N662,Status[],2,FALSE)</f>
        <v>Full-Time</v>
      </c>
      <c r="J662" s="7">
        <v>1042</v>
      </c>
      <c r="K662">
        <v>15</v>
      </c>
      <c r="L662">
        <v>2014</v>
      </c>
      <c r="M662">
        <v>4</v>
      </c>
      <c r="N662">
        <v>1</v>
      </c>
    </row>
    <row r="663" spans="1:14" x14ac:dyDescent="0.25">
      <c r="A663" t="s">
        <v>2905</v>
      </c>
      <c r="B663" t="s">
        <v>1279</v>
      </c>
      <c r="C663" t="s">
        <v>1280</v>
      </c>
      <c r="D663" t="str">
        <f>VLOOKUP(J663,Location[],2,FALSE)</f>
        <v>New York City</v>
      </c>
      <c r="E663" t="str">
        <f>VLOOKUP(J663,Location[],3,FALSE)</f>
        <v> New York</v>
      </c>
      <c r="F663" t="str">
        <f>VLOOKUP(K663,Dept[],2,FALSE)</f>
        <v>Legal</v>
      </c>
      <c r="G663" s="11">
        <f t="shared" si="10"/>
        <v>44682</v>
      </c>
      <c r="H663" t="str">
        <f>VLOOKUP(N663,Status[],2,FALSE)</f>
        <v>Full-Time</v>
      </c>
      <c r="J663" s="7">
        <v>1001</v>
      </c>
      <c r="K663">
        <v>18</v>
      </c>
      <c r="L663">
        <v>2022</v>
      </c>
      <c r="M663">
        <v>5</v>
      </c>
      <c r="N663">
        <v>1</v>
      </c>
    </row>
    <row r="664" spans="1:14" x14ac:dyDescent="0.25">
      <c r="A664" t="s">
        <v>2906</v>
      </c>
      <c r="B664" t="s">
        <v>165</v>
      </c>
      <c r="C664" t="s">
        <v>838</v>
      </c>
      <c r="D664" t="str">
        <f>VLOOKUP(J664,Location[],2,FALSE)</f>
        <v>Austin</v>
      </c>
      <c r="E664" t="str">
        <f>VLOOKUP(J664,Location[],3,FALSE)</f>
        <v> Texas</v>
      </c>
      <c r="F664" t="str">
        <f>VLOOKUP(K664,Dept[],2,FALSE)</f>
        <v>Media</v>
      </c>
      <c r="G664" s="11">
        <f t="shared" si="10"/>
        <v>43586</v>
      </c>
      <c r="H664" t="str">
        <f>VLOOKUP(N664,Status[],2,FALSE)</f>
        <v>Full-Time</v>
      </c>
      <c r="J664" s="7">
        <v>1011</v>
      </c>
      <c r="K664">
        <v>20</v>
      </c>
      <c r="L664">
        <v>2019</v>
      </c>
      <c r="M664">
        <v>5</v>
      </c>
      <c r="N664">
        <v>1</v>
      </c>
    </row>
    <row r="665" spans="1:14" x14ac:dyDescent="0.25">
      <c r="A665" t="s">
        <v>2907</v>
      </c>
      <c r="B665" t="s">
        <v>425</v>
      </c>
      <c r="C665" t="s">
        <v>1679</v>
      </c>
      <c r="D665" t="str">
        <f>VLOOKUP(J665,Location[],2,FALSE)</f>
        <v>Orlando</v>
      </c>
      <c r="E665" t="str">
        <f>VLOOKUP(J665,Location[],3,FALSE)</f>
        <v> Florida</v>
      </c>
      <c r="F665" t="str">
        <f>VLOOKUP(K665,Dept[],2,FALSE)</f>
        <v>Legal</v>
      </c>
      <c r="G665" s="11">
        <f t="shared" si="10"/>
        <v>41487</v>
      </c>
      <c r="H665" t="str">
        <f>VLOOKUP(N665,Status[],2,FALSE)</f>
        <v>Full-Time</v>
      </c>
      <c r="J665" s="7">
        <v>1072</v>
      </c>
      <c r="K665">
        <v>18</v>
      </c>
      <c r="L665">
        <v>2013</v>
      </c>
      <c r="M665">
        <v>8</v>
      </c>
      <c r="N665">
        <v>1</v>
      </c>
    </row>
    <row r="666" spans="1:14" x14ac:dyDescent="0.25">
      <c r="A666" t="s">
        <v>2908</v>
      </c>
      <c r="B666" t="s">
        <v>5</v>
      </c>
      <c r="C666" t="s">
        <v>1481</v>
      </c>
      <c r="D666" t="str">
        <f>VLOOKUP(J666,Location[],2,FALSE)</f>
        <v>Los Angeles</v>
      </c>
      <c r="E666" t="str">
        <f>VLOOKUP(J666,Location[],3,FALSE)</f>
        <v> California</v>
      </c>
      <c r="F666" t="str">
        <f>VLOOKUP(K666,Dept[],2,FALSE)</f>
        <v>Human Resources</v>
      </c>
      <c r="G666" s="11">
        <f t="shared" si="10"/>
        <v>45017</v>
      </c>
      <c r="H666" t="str">
        <f>VLOOKUP(N666,Status[],2,FALSE)</f>
        <v>Full-Time</v>
      </c>
      <c r="J666" s="7">
        <v>1002</v>
      </c>
      <c r="K666">
        <v>16</v>
      </c>
      <c r="L666">
        <v>2023</v>
      </c>
      <c r="M666">
        <v>4</v>
      </c>
      <c r="N666">
        <v>1</v>
      </c>
    </row>
    <row r="667" spans="1:14" x14ac:dyDescent="0.25">
      <c r="A667" t="s">
        <v>2909</v>
      </c>
      <c r="B667" t="s">
        <v>448</v>
      </c>
      <c r="C667" t="s">
        <v>652</v>
      </c>
      <c r="D667" t="str">
        <f>VLOOKUP(J667,Location[],2,FALSE)</f>
        <v>Buffalo</v>
      </c>
      <c r="E667" t="str">
        <f>VLOOKUP(J667,Location[],3,FALSE)</f>
        <v> New York</v>
      </c>
      <c r="F667" t="str">
        <f>VLOOKUP(K667,Dept[],2,FALSE)</f>
        <v>Sales</v>
      </c>
      <c r="G667" s="11">
        <f t="shared" si="10"/>
        <v>42125</v>
      </c>
      <c r="H667" t="str">
        <f>VLOOKUP(N667,Status[],2,FALSE)</f>
        <v>Full-Time</v>
      </c>
      <c r="J667" s="7">
        <v>1081</v>
      </c>
      <c r="K667">
        <v>22</v>
      </c>
      <c r="L667">
        <v>2015</v>
      </c>
      <c r="M667">
        <v>5</v>
      </c>
      <c r="N667">
        <v>1</v>
      </c>
    </row>
    <row r="668" spans="1:14" x14ac:dyDescent="0.25">
      <c r="A668" t="s">
        <v>2910</v>
      </c>
      <c r="B668" t="s">
        <v>321</v>
      </c>
      <c r="C668" t="s">
        <v>652</v>
      </c>
      <c r="D668" t="str">
        <f>VLOOKUP(J668,Location[],2,FALSE)</f>
        <v>San Jose</v>
      </c>
      <c r="E668" t="str">
        <f>VLOOKUP(J668,Location[],3,FALSE)</f>
        <v> California</v>
      </c>
      <c r="F668" t="str">
        <f>VLOOKUP(K668,Dept[],2,FALSE)</f>
        <v>Legal</v>
      </c>
      <c r="G668" s="11">
        <f t="shared" si="10"/>
        <v>44805</v>
      </c>
      <c r="H668" t="str">
        <f>VLOOKUP(N668,Status[],2,FALSE)</f>
        <v>Full-Time</v>
      </c>
      <c r="J668" s="7">
        <v>1010</v>
      </c>
      <c r="K668">
        <v>18</v>
      </c>
      <c r="L668">
        <v>2022</v>
      </c>
      <c r="M668">
        <v>9</v>
      </c>
      <c r="N668">
        <v>1</v>
      </c>
    </row>
    <row r="669" spans="1:14" x14ac:dyDescent="0.25">
      <c r="A669" t="s">
        <v>2911</v>
      </c>
      <c r="B669" t="s">
        <v>1298</v>
      </c>
      <c r="C669" t="s">
        <v>1299</v>
      </c>
      <c r="D669" t="str">
        <f>VLOOKUP(J669,Location[],2,FALSE)</f>
        <v>Chicago</v>
      </c>
      <c r="E669" t="str">
        <f>VLOOKUP(J669,Location[],3,FALSE)</f>
        <v> Illinois</v>
      </c>
      <c r="F669" t="str">
        <f>VLOOKUP(K669,Dept[],2,FALSE)</f>
        <v>Customer Support</v>
      </c>
      <c r="G669" s="11">
        <f t="shared" si="10"/>
        <v>41548</v>
      </c>
      <c r="H669" t="str">
        <f>VLOOKUP(N669,Status[],2,FALSE)</f>
        <v>Full-Time</v>
      </c>
      <c r="J669" s="7">
        <v>1003</v>
      </c>
      <c r="K669">
        <v>14</v>
      </c>
      <c r="L669">
        <v>2013</v>
      </c>
      <c r="M669">
        <v>10</v>
      </c>
      <c r="N669">
        <v>1</v>
      </c>
    </row>
    <row r="670" spans="1:14" x14ac:dyDescent="0.25">
      <c r="A670" t="s">
        <v>2912</v>
      </c>
      <c r="B670" t="s">
        <v>494</v>
      </c>
      <c r="C670" t="s">
        <v>1299</v>
      </c>
      <c r="D670" t="str">
        <f>VLOOKUP(J670,Location[],2,FALSE)</f>
        <v>San Diego</v>
      </c>
      <c r="E670" t="str">
        <f>VLOOKUP(J670,Location[],3,FALSE)</f>
        <v> California</v>
      </c>
      <c r="F670" t="str">
        <f>VLOOKUP(K670,Dept[],2,FALSE)</f>
        <v>Sales</v>
      </c>
      <c r="G670" s="11">
        <f t="shared" si="10"/>
        <v>44348</v>
      </c>
      <c r="H670" t="str">
        <f>VLOOKUP(N670,Status[],2,FALSE)</f>
        <v>Part-Time</v>
      </c>
      <c r="J670" s="7">
        <v>1008</v>
      </c>
      <c r="K670">
        <v>22</v>
      </c>
      <c r="L670">
        <v>2021</v>
      </c>
      <c r="M670">
        <v>6</v>
      </c>
      <c r="N670">
        <v>0</v>
      </c>
    </row>
    <row r="671" spans="1:14" x14ac:dyDescent="0.25">
      <c r="A671" t="s">
        <v>2913</v>
      </c>
      <c r="B671" t="s">
        <v>188</v>
      </c>
      <c r="C671" t="s">
        <v>189</v>
      </c>
      <c r="D671" t="str">
        <f>VLOOKUP(J671,Location[],2,FALSE)</f>
        <v>Los Angeles</v>
      </c>
      <c r="E671" t="str">
        <f>VLOOKUP(J671,Location[],3,FALSE)</f>
        <v> California</v>
      </c>
      <c r="F671" t="str">
        <f>VLOOKUP(K671,Dept[],2,FALSE)</f>
        <v>Marketing</v>
      </c>
      <c r="G671" s="11">
        <f t="shared" si="10"/>
        <v>41244</v>
      </c>
      <c r="H671" t="str">
        <f>VLOOKUP(N671,Status[],2,FALSE)</f>
        <v>Full-Time</v>
      </c>
      <c r="J671" s="7">
        <v>1002</v>
      </c>
      <c r="K671">
        <v>19</v>
      </c>
      <c r="L671">
        <v>2012</v>
      </c>
      <c r="M671">
        <v>12</v>
      </c>
      <c r="N671">
        <v>1</v>
      </c>
    </row>
    <row r="672" spans="1:14" x14ac:dyDescent="0.25">
      <c r="A672" t="s">
        <v>2914</v>
      </c>
      <c r="B672" t="s">
        <v>1016</v>
      </c>
      <c r="C672" t="s">
        <v>189</v>
      </c>
      <c r="D672" t="str">
        <f>VLOOKUP(J672,Location[],2,FALSE)</f>
        <v>Chicago</v>
      </c>
      <c r="E672" t="str">
        <f>VLOOKUP(J672,Location[],3,FALSE)</f>
        <v> Illinois</v>
      </c>
      <c r="F672" t="str">
        <f>VLOOKUP(K672,Dept[],2,FALSE)</f>
        <v>IT</v>
      </c>
      <c r="G672" s="11">
        <f t="shared" si="10"/>
        <v>41821</v>
      </c>
      <c r="H672" t="str">
        <f>VLOOKUP(N672,Status[],2,FALSE)</f>
        <v>Full-Time</v>
      </c>
      <c r="J672" s="7">
        <v>1003</v>
      </c>
      <c r="K672">
        <v>17</v>
      </c>
      <c r="L672">
        <v>2014</v>
      </c>
      <c r="M672">
        <v>7</v>
      </c>
      <c r="N672">
        <v>1</v>
      </c>
    </row>
    <row r="673" spans="1:14" x14ac:dyDescent="0.25">
      <c r="A673" t="s">
        <v>2915</v>
      </c>
      <c r="B673" t="s">
        <v>561</v>
      </c>
      <c r="C673" t="s">
        <v>189</v>
      </c>
      <c r="D673" t="str">
        <f>VLOOKUP(J673,Location[],2,FALSE)</f>
        <v>New York City</v>
      </c>
      <c r="E673" t="str">
        <f>VLOOKUP(J673,Location[],3,FALSE)</f>
        <v> New York</v>
      </c>
      <c r="F673" t="str">
        <f>VLOOKUP(K673,Dept[],2,FALSE)</f>
        <v>Marketing</v>
      </c>
      <c r="G673" s="11">
        <f t="shared" si="10"/>
        <v>41883</v>
      </c>
      <c r="H673" t="str">
        <f>VLOOKUP(N673,Status[],2,FALSE)</f>
        <v>Full-Time</v>
      </c>
      <c r="J673" s="7">
        <v>1001</v>
      </c>
      <c r="K673">
        <v>19</v>
      </c>
      <c r="L673">
        <v>2014</v>
      </c>
      <c r="M673">
        <v>9</v>
      </c>
      <c r="N673">
        <v>1</v>
      </c>
    </row>
    <row r="674" spans="1:14" x14ac:dyDescent="0.25">
      <c r="A674" t="s">
        <v>2916</v>
      </c>
      <c r="B674" t="s">
        <v>149</v>
      </c>
      <c r="C674" t="s">
        <v>1828</v>
      </c>
      <c r="D674" t="str">
        <f>VLOOKUP(J674,Location[],2,FALSE)</f>
        <v>Los Angeles</v>
      </c>
      <c r="E674" t="str">
        <f>VLOOKUP(J674,Location[],3,FALSE)</f>
        <v> California</v>
      </c>
      <c r="F674" t="str">
        <f>VLOOKUP(K674,Dept[],2,FALSE)</f>
        <v>Administration</v>
      </c>
      <c r="G674" s="11">
        <f t="shared" si="10"/>
        <v>41640</v>
      </c>
      <c r="H674" t="str">
        <f>VLOOKUP(N674,Status[],2,FALSE)</f>
        <v>Full-Time</v>
      </c>
      <c r="J674" s="7">
        <v>1002</v>
      </c>
      <c r="K674">
        <v>12</v>
      </c>
      <c r="L674">
        <v>2014</v>
      </c>
      <c r="M674">
        <v>1</v>
      </c>
      <c r="N674">
        <v>1</v>
      </c>
    </row>
    <row r="675" spans="1:14" x14ac:dyDescent="0.25">
      <c r="A675" t="s">
        <v>2917</v>
      </c>
      <c r="B675" t="s">
        <v>1791</v>
      </c>
      <c r="C675" t="s">
        <v>1792</v>
      </c>
      <c r="D675" t="str">
        <f>VLOOKUP(J675,Location[],2,FALSE)</f>
        <v>Dallas</v>
      </c>
      <c r="E675" t="str">
        <f>VLOOKUP(J675,Location[],3,FALSE)</f>
        <v> Texas</v>
      </c>
      <c r="F675" t="str">
        <f>VLOOKUP(K675,Dept[],2,FALSE)</f>
        <v>IT</v>
      </c>
      <c r="G675" s="11">
        <f t="shared" si="10"/>
        <v>41091</v>
      </c>
      <c r="H675" t="str">
        <f>VLOOKUP(N675,Status[],2,FALSE)</f>
        <v>Full-Time</v>
      </c>
      <c r="J675" s="7">
        <v>1009</v>
      </c>
      <c r="K675">
        <v>17</v>
      </c>
      <c r="L675">
        <v>2012</v>
      </c>
      <c r="M675">
        <v>7</v>
      </c>
      <c r="N675">
        <v>1</v>
      </c>
    </row>
    <row r="676" spans="1:14" x14ac:dyDescent="0.25">
      <c r="A676" t="s">
        <v>2918</v>
      </c>
      <c r="B676" t="s">
        <v>1089</v>
      </c>
      <c r="C676" t="s">
        <v>1212</v>
      </c>
      <c r="D676" t="str">
        <f>VLOOKUP(J676,Location[],2,FALSE)</f>
        <v>New York City</v>
      </c>
      <c r="E676" t="str">
        <f>VLOOKUP(J676,Location[],3,FALSE)</f>
        <v> New York</v>
      </c>
      <c r="F676" t="str">
        <f>VLOOKUP(K676,Dept[],2,FALSE)</f>
        <v>Finance</v>
      </c>
      <c r="G676" s="11">
        <f t="shared" si="10"/>
        <v>43617</v>
      </c>
      <c r="H676" t="str">
        <f>VLOOKUP(N676,Status[],2,FALSE)</f>
        <v>Full-Time</v>
      </c>
      <c r="J676" s="7">
        <v>1001</v>
      </c>
      <c r="K676">
        <v>15</v>
      </c>
      <c r="L676">
        <v>2019</v>
      </c>
      <c r="M676">
        <v>6</v>
      </c>
      <c r="N676">
        <v>1</v>
      </c>
    </row>
    <row r="677" spans="1:14" x14ac:dyDescent="0.25">
      <c r="A677" t="s">
        <v>2919</v>
      </c>
      <c r="B677" t="s">
        <v>347</v>
      </c>
      <c r="C677" t="s">
        <v>348</v>
      </c>
      <c r="D677" t="str">
        <f>VLOOKUP(J677,Location[],2,FALSE)</f>
        <v>Fort Wayne</v>
      </c>
      <c r="E677" t="str">
        <f>VLOOKUP(J677,Location[],3,FALSE)</f>
        <v> Indiana</v>
      </c>
      <c r="F677" t="str">
        <f>VLOOKUP(K677,Dept[],2,FALSE)</f>
        <v>IT</v>
      </c>
      <c r="G677" s="11">
        <f t="shared" si="10"/>
        <v>45139</v>
      </c>
      <c r="H677" t="str">
        <f>VLOOKUP(N677,Status[],2,FALSE)</f>
        <v>Full-Time</v>
      </c>
      <c r="J677" s="7">
        <v>1078</v>
      </c>
      <c r="K677">
        <v>17</v>
      </c>
      <c r="L677">
        <v>2023</v>
      </c>
      <c r="M677">
        <v>8</v>
      </c>
      <c r="N677">
        <v>1</v>
      </c>
    </row>
    <row r="678" spans="1:14" x14ac:dyDescent="0.25">
      <c r="A678" t="s">
        <v>2920</v>
      </c>
      <c r="B678" t="s">
        <v>681</v>
      </c>
      <c r="C678" t="s">
        <v>1478</v>
      </c>
      <c r="D678" t="str">
        <f>VLOOKUP(J678,Location[],2,FALSE)</f>
        <v>Sacramento</v>
      </c>
      <c r="E678" t="str">
        <f>VLOOKUP(J678,Location[],3,FALSE)</f>
        <v> California</v>
      </c>
      <c r="F678" t="str">
        <f>VLOOKUP(K678,Dept[],2,FALSE)</f>
        <v>Sales</v>
      </c>
      <c r="G678" s="11">
        <f t="shared" si="10"/>
        <v>41579</v>
      </c>
      <c r="H678" t="str">
        <f>VLOOKUP(N678,Status[],2,FALSE)</f>
        <v>Full-Time</v>
      </c>
      <c r="J678" s="7">
        <v>1035</v>
      </c>
      <c r="K678">
        <v>22</v>
      </c>
      <c r="L678">
        <v>2013</v>
      </c>
      <c r="M678">
        <v>11</v>
      </c>
      <c r="N678">
        <v>1</v>
      </c>
    </row>
    <row r="679" spans="1:14" x14ac:dyDescent="0.25">
      <c r="A679" t="s">
        <v>2921</v>
      </c>
      <c r="B679" t="s">
        <v>1477</v>
      </c>
      <c r="C679" t="s">
        <v>1478</v>
      </c>
      <c r="D679" t="str">
        <f>VLOOKUP(J679,Location[],2,FALSE)</f>
        <v>Dallas</v>
      </c>
      <c r="E679" t="str">
        <f>VLOOKUP(J679,Location[],3,FALSE)</f>
        <v> Texas</v>
      </c>
      <c r="F679" t="str">
        <f>VLOOKUP(K679,Dept[],2,FALSE)</f>
        <v>Sales</v>
      </c>
      <c r="G679" s="11">
        <f t="shared" si="10"/>
        <v>40848</v>
      </c>
      <c r="H679" t="str">
        <f>VLOOKUP(N679,Status[],2,FALSE)</f>
        <v>Part-Time</v>
      </c>
      <c r="J679" s="7">
        <v>1009</v>
      </c>
      <c r="K679">
        <v>22</v>
      </c>
      <c r="L679">
        <v>2011</v>
      </c>
      <c r="M679">
        <v>11</v>
      </c>
      <c r="N679">
        <v>0</v>
      </c>
    </row>
    <row r="680" spans="1:14" x14ac:dyDescent="0.25">
      <c r="A680" t="s">
        <v>2922</v>
      </c>
      <c r="B680" t="s">
        <v>110</v>
      </c>
      <c r="C680" t="s">
        <v>1042</v>
      </c>
      <c r="D680" t="str">
        <f>VLOOKUP(J680,Location[],2,FALSE)</f>
        <v>Bakersfield</v>
      </c>
      <c r="E680" t="str">
        <f>VLOOKUP(J680,Location[],3,FALSE)</f>
        <v> California</v>
      </c>
      <c r="F680" t="str">
        <f>VLOOKUP(K680,Dept[],2,FALSE)</f>
        <v>IT</v>
      </c>
      <c r="G680" s="11">
        <f t="shared" si="10"/>
        <v>43800</v>
      </c>
      <c r="H680" t="str">
        <f>VLOOKUP(N680,Status[],2,FALSE)</f>
        <v>Full-Time</v>
      </c>
      <c r="J680" s="7">
        <v>1053</v>
      </c>
      <c r="K680">
        <v>17</v>
      </c>
      <c r="L680">
        <v>2019</v>
      </c>
      <c r="M680">
        <v>12</v>
      </c>
      <c r="N680">
        <v>1</v>
      </c>
    </row>
    <row r="681" spans="1:14" x14ac:dyDescent="0.25">
      <c r="A681" t="s">
        <v>2923</v>
      </c>
      <c r="B681" t="s">
        <v>1014</v>
      </c>
      <c r="C681" t="s">
        <v>1015</v>
      </c>
      <c r="D681" t="str">
        <f>VLOOKUP(J681,Location[],2,FALSE)</f>
        <v>Phoenix</v>
      </c>
      <c r="E681" t="str">
        <f>VLOOKUP(J681,Location[],3,FALSE)</f>
        <v> Arizona</v>
      </c>
      <c r="F681" t="str">
        <f>VLOOKUP(K681,Dept[],2,FALSE)</f>
        <v>Accounting</v>
      </c>
      <c r="G681" s="11">
        <f t="shared" si="10"/>
        <v>42675</v>
      </c>
      <c r="H681" t="str">
        <f>VLOOKUP(N681,Status[],2,FALSE)</f>
        <v>Full-Time</v>
      </c>
      <c r="J681" s="7">
        <v>1005</v>
      </c>
      <c r="K681">
        <v>11</v>
      </c>
      <c r="L681">
        <v>2016</v>
      </c>
      <c r="M681">
        <v>11</v>
      </c>
      <c r="N681">
        <v>1</v>
      </c>
    </row>
    <row r="682" spans="1:14" x14ac:dyDescent="0.25">
      <c r="A682" t="s">
        <v>2924</v>
      </c>
      <c r="B682" t="s">
        <v>392</v>
      </c>
      <c r="C682" t="s">
        <v>500</v>
      </c>
      <c r="D682" t="str">
        <f>VLOOKUP(J682,Location[],2,FALSE)</f>
        <v>Washington, D.C.</v>
      </c>
      <c r="E682" t="str">
        <f>VLOOKUP(J682,Location[],3,FALSE)</f>
        <v> District of Columbia</v>
      </c>
      <c r="F682" t="str">
        <f>VLOOKUP(K682,Dept[],2,FALSE)</f>
        <v>Marketing</v>
      </c>
      <c r="G682" s="11">
        <f t="shared" si="10"/>
        <v>44621</v>
      </c>
      <c r="H682" t="str">
        <f>VLOOKUP(N682,Status[],2,FALSE)</f>
        <v>Full-Time</v>
      </c>
      <c r="J682" s="7">
        <v>1020</v>
      </c>
      <c r="K682">
        <v>19</v>
      </c>
      <c r="L682">
        <v>2022</v>
      </c>
      <c r="M682">
        <v>3</v>
      </c>
      <c r="N682">
        <v>1</v>
      </c>
    </row>
    <row r="683" spans="1:14" x14ac:dyDescent="0.25">
      <c r="A683" t="s">
        <v>2925</v>
      </c>
      <c r="B683" t="s">
        <v>1305</v>
      </c>
      <c r="C683" t="s">
        <v>785</v>
      </c>
      <c r="D683" t="str">
        <f>VLOOKUP(J683,Location[],2,FALSE)</f>
        <v>Corpus Christi</v>
      </c>
      <c r="E683" t="str">
        <f>VLOOKUP(J683,Location[],3,FALSE)</f>
        <v> Texas</v>
      </c>
      <c r="F683" t="str">
        <f>VLOOKUP(K683,Dept[],2,FALSE)</f>
        <v>IT</v>
      </c>
      <c r="G683" s="11">
        <f t="shared" si="10"/>
        <v>41061</v>
      </c>
      <c r="H683" t="str">
        <f>VLOOKUP(N683,Status[],2,FALSE)</f>
        <v>Part-Time</v>
      </c>
      <c r="J683" s="7">
        <v>1059</v>
      </c>
      <c r="K683">
        <v>17</v>
      </c>
      <c r="L683">
        <v>2012</v>
      </c>
      <c r="M683">
        <v>6</v>
      </c>
      <c r="N683">
        <v>0</v>
      </c>
    </row>
    <row r="684" spans="1:14" x14ac:dyDescent="0.25">
      <c r="A684" t="s">
        <v>2926</v>
      </c>
      <c r="B684" t="s">
        <v>784</v>
      </c>
      <c r="C684" t="s">
        <v>785</v>
      </c>
      <c r="D684" t="str">
        <f>VLOOKUP(J684,Location[],2,FALSE)</f>
        <v>Phoenix</v>
      </c>
      <c r="E684" t="str">
        <f>VLOOKUP(J684,Location[],3,FALSE)</f>
        <v> Arizona</v>
      </c>
      <c r="F684" t="str">
        <f>VLOOKUP(K684,Dept[],2,FALSE)</f>
        <v>Administration</v>
      </c>
      <c r="G684" s="11">
        <f t="shared" si="10"/>
        <v>42248</v>
      </c>
      <c r="H684" t="str">
        <f>VLOOKUP(N684,Status[],2,FALSE)</f>
        <v>Part-Time</v>
      </c>
      <c r="J684" s="7">
        <v>1005</v>
      </c>
      <c r="K684">
        <v>12</v>
      </c>
      <c r="L684">
        <v>2015</v>
      </c>
      <c r="M684">
        <v>9</v>
      </c>
      <c r="N684">
        <v>0</v>
      </c>
    </row>
    <row r="685" spans="1:14" x14ac:dyDescent="0.25">
      <c r="A685" t="s">
        <v>2927</v>
      </c>
      <c r="B685" t="s">
        <v>1023</v>
      </c>
      <c r="C685" t="s">
        <v>885</v>
      </c>
      <c r="D685" t="str">
        <f>VLOOKUP(J685,Location[],2,FALSE)</f>
        <v>Columbus</v>
      </c>
      <c r="E685" t="str">
        <f>VLOOKUP(J685,Location[],3,FALSE)</f>
        <v> Ohio</v>
      </c>
      <c r="F685" t="str">
        <f>VLOOKUP(K685,Dept[],2,FALSE)</f>
        <v>Administration</v>
      </c>
      <c r="G685" s="11">
        <f t="shared" si="10"/>
        <v>43313</v>
      </c>
      <c r="H685" t="str">
        <f>VLOOKUP(N685,Status[],2,FALSE)</f>
        <v>Part-Time</v>
      </c>
      <c r="J685" s="7">
        <v>1014</v>
      </c>
      <c r="K685">
        <v>12</v>
      </c>
      <c r="L685">
        <v>2018</v>
      </c>
      <c r="M685">
        <v>8</v>
      </c>
      <c r="N685">
        <v>0</v>
      </c>
    </row>
    <row r="686" spans="1:14" x14ac:dyDescent="0.25">
      <c r="A686" t="s">
        <v>2928</v>
      </c>
      <c r="B686" t="s">
        <v>108</v>
      </c>
      <c r="C686" t="s">
        <v>885</v>
      </c>
      <c r="D686" t="str">
        <f>VLOOKUP(J686,Location[],2,FALSE)</f>
        <v>Chicago</v>
      </c>
      <c r="E686" t="str">
        <f>VLOOKUP(J686,Location[],3,FALSE)</f>
        <v> Illinois</v>
      </c>
      <c r="F686" t="str">
        <f>VLOOKUP(K686,Dept[],2,FALSE)</f>
        <v>IT</v>
      </c>
      <c r="G686" s="11">
        <f t="shared" si="10"/>
        <v>43952</v>
      </c>
      <c r="H686" t="str">
        <f>VLOOKUP(N686,Status[],2,FALSE)</f>
        <v>Full-Time</v>
      </c>
      <c r="J686" s="7">
        <v>1003</v>
      </c>
      <c r="K686">
        <v>17</v>
      </c>
      <c r="L686">
        <v>2020</v>
      </c>
      <c r="M686">
        <v>5</v>
      </c>
      <c r="N686">
        <v>1</v>
      </c>
    </row>
    <row r="687" spans="1:14" x14ac:dyDescent="0.25">
      <c r="A687" t="s">
        <v>2815</v>
      </c>
      <c r="B687" t="s">
        <v>1412</v>
      </c>
      <c r="C687" t="s">
        <v>885</v>
      </c>
      <c r="D687" t="str">
        <f>VLOOKUP(J687,Location[],2,FALSE)</f>
        <v>Los Angeles</v>
      </c>
      <c r="E687" t="str">
        <f>VLOOKUP(J687,Location[],3,FALSE)</f>
        <v> California</v>
      </c>
      <c r="F687" t="str">
        <f>VLOOKUP(K687,Dept[],2,FALSE)</f>
        <v>Assessment</v>
      </c>
      <c r="G687" s="11">
        <f t="shared" si="10"/>
        <v>44774</v>
      </c>
      <c r="H687" t="str">
        <f>VLOOKUP(N687,Status[],2,FALSE)</f>
        <v>Full-Time</v>
      </c>
      <c r="J687" s="7">
        <v>1002</v>
      </c>
      <c r="K687">
        <v>13</v>
      </c>
      <c r="L687">
        <v>2022</v>
      </c>
      <c r="M687">
        <v>8</v>
      </c>
      <c r="N687">
        <v>1</v>
      </c>
    </row>
    <row r="688" spans="1:14" x14ac:dyDescent="0.25">
      <c r="A688" t="s">
        <v>2929</v>
      </c>
      <c r="B688" t="s">
        <v>5</v>
      </c>
      <c r="C688" t="s">
        <v>885</v>
      </c>
      <c r="D688" t="str">
        <f>VLOOKUP(J688,Location[],2,FALSE)</f>
        <v>Indianapolis</v>
      </c>
      <c r="E688" t="str">
        <f>VLOOKUP(J688,Location[],3,FALSE)</f>
        <v> Indiana</v>
      </c>
      <c r="F688" t="str">
        <f>VLOOKUP(K688,Dept[],2,FALSE)</f>
        <v>Legal</v>
      </c>
      <c r="G688" s="11">
        <f t="shared" si="10"/>
        <v>43101</v>
      </c>
      <c r="H688" t="str">
        <f>VLOOKUP(N688,Status[],2,FALSE)</f>
        <v>Full-Time</v>
      </c>
      <c r="J688" s="7">
        <v>1016</v>
      </c>
      <c r="K688">
        <v>18</v>
      </c>
      <c r="L688">
        <v>2018</v>
      </c>
      <c r="M688">
        <v>1</v>
      </c>
      <c r="N688">
        <v>1</v>
      </c>
    </row>
    <row r="689" spans="1:14" x14ac:dyDescent="0.25">
      <c r="A689" t="s">
        <v>2930</v>
      </c>
      <c r="B689" t="s">
        <v>379</v>
      </c>
      <c r="C689" t="s">
        <v>380</v>
      </c>
      <c r="D689" t="str">
        <f>VLOOKUP(J689,Location[],2,FALSE)</f>
        <v>Dallas</v>
      </c>
      <c r="E689" t="str">
        <f>VLOOKUP(J689,Location[],3,FALSE)</f>
        <v> Texas</v>
      </c>
      <c r="F689" t="str">
        <f>VLOOKUP(K689,Dept[],2,FALSE)</f>
        <v>Accounting</v>
      </c>
      <c r="G689" s="11">
        <f t="shared" si="10"/>
        <v>41091</v>
      </c>
      <c r="H689" t="str">
        <f>VLOOKUP(N689,Status[],2,FALSE)</f>
        <v>Full-Time</v>
      </c>
      <c r="J689" s="7">
        <v>1009</v>
      </c>
      <c r="K689">
        <v>11</v>
      </c>
      <c r="L689">
        <v>2012</v>
      </c>
      <c r="M689">
        <v>7</v>
      </c>
      <c r="N689">
        <v>1</v>
      </c>
    </row>
    <row r="690" spans="1:14" x14ac:dyDescent="0.25">
      <c r="A690" t="s">
        <v>2931</v>
      </c>
      <c r="B690" t="s">
        <v>679</v>
      </c>
      <c r="C690" t="s">
        <v>380</v>
      </c>
      <c r="D690" t="str">
        <f>VLOOKUP(J690,Location[],2,FALSE)</f>
        <v>Nashville</v>
      </c>
      <c r="E690" t="str">
        <f>VLOOKUP(J690,Location[],3,FALSE)</f>
        <v> Tennessee</v>
      </c>
      <c r="F690" t="str">
        <f>VLOOKUP(K690,Dept[],2,FALSE)</f>
        <v>Assessment</v>
      </c>
      <c r="G690" s="11">
        <f t="shared" si="10"/>
        <v>41883</v>
      </c>
      <c r="H690" t="str">
        <f>VLOOKUP(N690,Status[],2,FALSE)</f>
        <v>Full-Time</v>
      </c>
      <c r="J690" s="7">
        <v>1024</v>
      </c>
      <c r="K690">
        <v>13</v>
      </c>
      <c r="L690">
        <v>2014</v>
      </c>
      <c r="M690">
        <v>9</v>
      </c>
      <c r="N690">
        <v>1</v>
      </c>
    </row>
    <row r="691" spans="1:14" x14ac:dyDescent="0.25">
      <c r="A691" t="s">
        <v>2932</v>
      </c>
      <c r="B691" t="s">
        <v>5</v>
      </c>
      <c r="C691" t="s">
        <v>1427</v>
      </c>
      <c r="D691" t="str">
        <f>VLOOKUP(J691,Location[],2,FALSE)</f>
        <v>Fresno</v>
      </c>
      <c r="E691" t="str">
        <f>VLOOKUP(J691,Location[],3,FALSE)</f>
        <v> California</v>
      </c>
      <c r="F691" t="str">
        <f>VLOOKUP(K691,Dept[],2,FALSE)</f>
        <v>Media</v>
      </c>
      <c r="G691" s="11">
        <f t="shared" si="10"/>
        <v>41153</v>
      </c>
      <c r="H691" t="str">
        <f>VLOOKUP(N691,Status[],2,FALSE)</f>
        <v>Full-Time</v>
      </c>
      <c r="J691" s="7">
        <v>1034</v>
      </c>
      <c r="K691">
        <v>20</v>
      </c>
      <c r="L691">
        <v>2012</v>
      </c>
      <c r="M691">
        <v>9</v>
      </c>
      <c r="N691">
        <v>1</v>
      </c>
    </row>
    <row r="692" spans="1:14" x14ac:dyDescent="0.25">
      <c r="A692" t="s">
        <v>2933</v>
      </c>
      <c r="B692" t="s">
        <v>1156</v>
      </c>
      <c r="C692" t="s">
        <v>1871</v>
      </c>
      <c r="D692" t="str">
        <f>VLOOKUP(J692,Location[],2,FALSE)</f>
        <v>San Antonio</v>
      </c>
      <c r="E692" t="str">
        <f>VLOOKUP(J692,Location[],3,FALSE)</f>
        <v> Texas</v>
      </c>
      <c r="F692" t="str">
        <f>VLOOKUP(K692,Dept[],2,FALSE)</f>
        <v>IT</v>
      </c>
      <c r="G692" s="11">
        <f t="shared" si="10"/>
        <v>42948</v>
      </c>
      <c r="H692" t="str">
        <f>VLOOKUP(N692,Status[],2,FALSE)</f>
        <v>Part-Time</v>
      </c>
      <c r="J692" s="7">
        <v>1007</v>
      </c>
      <c r="K692">
        <v>17</v>
      </c>
      <c r="L692">
        <v>2017</v>
      </c>
      <c r="M692">
        <v>8</v>
      </c>
      <c r="N692">
        <v>0</v>
      </c>
    </row>
    <row r="693" spans="1:14" x14ac:dyDescent="0.25">
      <c r="A693" t="s">
        <v>2934</v>
      </c>
      <c r="B693" t="s">
        <v>843</v>
      </c>
      <c r="C693" t="s">
        <v>204</v>
      </c>
      <c r="D693" t="str">
        <f>VLOOKUP(J693,Location[],2,FALSE)</f>
        <v>Seattle</v>
      </c>
      <c r="E693" t="str">
        <f>VLOOKUP(J693,Location[],3,FALSE)</f>
        <v> Washington</v>
      </c>
      <c r="F693" t="str">
        <f>VLOOKUP(K693,Dept[],2,FALSE)</f>
        <v>Media</v>
      </c>
      <c r="G693" s="11">
        <f t="shared" si="10"/>
        <v>44593</v>
      </c>
      <c r="H693" t="str">
        <f>VLOOKUP(N693,Status[],2,FALSE)</f>
        <v>Part-Time</v>
      </c>
      <c r="J693" s="7">
        <v>1018</v>
      </c>
      <c r="K693">
        <v>20</v>
      </c>
      <c r="L693">
        <v>2022</v>
      </c>
      <c r="M693">
        <v>2</v>
      </c>
      <c r="N693">
        <v>0</v>
      </c>
    </row>
    <row r="694" spans="1:14" x14ac:dyDescent="0.25">
      <c r="A694" t="s">
        <v>2935</v>
      </c>
      <c r="B694" t="s">
        <v>144</v>
      </c>
      <c r="C694" t="s">
        <v>204</v>
      </c>
      <c r="D694" t="str">
        <f>VLOOKUP(J694,Location[],2,FALSE)</f>
        <v>Tucson</v>
      </c>
      <c r="E694" t="str">
        <f>VLOOKUP(J694,Location[],3,FALSE)</f>
        <v> Arizona</v>
      </c>
      <c r="F694" t="str">
        <f>VLOOKUP(K694,Dept[],2,FALSE)</f>
        <v>Accounting</v>
      </c>
      <c r="G694" s="11">
        <f t="shared" si="10"/>
        <v>41944</v>
      </c>
      <c r="H694" t="str">
        <f>VLOOKUP(N694,Status[],2,FALSE)</f>
        <v>Full-Time</v>
      </c>
      <c r="J694" s="7">
        <v>1033</v>
      </c>
      <c r="K694">
        <v>11</v>
      </c>
      <c r="L694">
        <v>2014</v>
      </c>
      <c r="M694">
        <v>11</v>
      </c>
      <c r="N694">
        <v>1</v>
      </c>
    </row>
    <row r="695" spans="1:14" x14ac:dyDescent="0.25">
      <c r="A695" t="s">
        <v>2487</v>
      </c>
      <c r="B695" t="s">
        <v>1055</v>
      </c>
      <c r="C695" t="s">
        <v>204</v>
      </c>
      <c r="D695" t="str">
        <f>VLOOKUP(J695,Location[],2,FALSE)</f>
        <v>Jacksonville</v>
      </c>
      <c r="E695" t="str">
        <f>VLOOKUP(J695,Location[],3,FALSE)</f>
        <v> Florida</v>
      </c>
      <c r="F695" t="str">
        <f>VLOOKUP(K695,Dept[],2,FALSE)</f>
        <v>Customer Support</v>
      </c>
      <c r="G695" s="11">
        <f t="shared" si="10"/>
        <v>44713</v>
      </c>
      <c r="H695" t="str">
        <f>VLOOKUP(N695,Status[],2,FALSE)</f>
        <v>Full-Time</v>
      </c>
      <c r="J695" s="7">
        <v>1012</v>
      </c>
      <c r="K695">
        <v>14</v>
      </c>
      <c r="L695">
        <v>2022</v>
      </c>
      <c r="M695">
        <v>6</v>
      </c>
      <c r="N695">
        <v>1</v>
      </c>
    </row>
    <row r="696" spans="1:14" x14ac:dyDescent="0.25">
      <c r="A696" t="s">
        <v>2936</v>
      </c>
      <c r="B696" t="s">
        <v>5</v>
      </c>
      <c r="C696" t="s">
        <v>204</v>
      </c>
      <c r="D696" t="str">
        <f>VLOOKUP(J696,Location[],2,FALSE)</f>
        <v>Los Angeles</v>
      </c>
      <c r="E696" t="str">
        <f>VLOOKUP(J696,Location[],3,FALSE)</f>
        <v> California</v>
      </c>
      <c r="F696" t="str">
        <f>VLOOKUP(K696,Dept[],2,FALSE)</f>
        <v>Accounting</v>
      </c>
      <c r="G696" s="11">
        <f t="shared" si="10"/>
        <v>42767</v>
      </c>
      <c r="H696" t="str">
        <f>VLOOKUP(N696,Status[],2,FALSE)</f>
        <v>Full-Time</v>
      </c>
      <c r="J696" s="7">
        <v>1002</v>
      </c>
      <c r="K696">
        <v>11</v>
      </c>
      <c r="L696">
        <v>2017</v>
      </c>
      <c r="M696">
        <v>2</v>
      </c>
      <c r="N696">
        <v>1</v>
      </c>
    </row>
    <row r="697" spans="1:14" x14ac:dyDescent="0.25">
      <c r="A697" t="s">
        <v>2937</v>
      </c>
      <c r="B697" t="s">
        <v>617</v>
      </c>
      <c r="C697" t="s">
        <v>618</v>
      </c>
      <c r="D697" t="str">
        <f>VLOOKUP(J697,Location[],2,FALSE)</f>
        <v>Memphis</v>
      </c>
      <c r="E697" t="str">
        <f>VLOOKUP(J697,Location[],3,FALSE)</f>
        <v> Tennessee</v>
      </c>
      <c r="F697" t="str">
        <f>VLOOKUP(K697,Dept[],2,FALSE)</f>
        <v>Sales</v>
      </c>
      <c r="G697" s="11">
        <f t="shared" si="10"/>
        <v>43556</v>
      </c>
      <c r="H697" t="str">
        <f>VLOOKUP(N697,Status[],2,FALSE)</f>
        <v>Full-Time</v>
      </c>
      <c r="J697" s="7">
        <v>1025</v>
      </c>
      <c r="K697">
        <v>22</v>
      </c>
      <c r="L697">
        <v>2019</v>
      </c>
      <c r="M697">
        <v>4</v>
      </c>
      <c r="N697">
        <v>1</v>
      </c>
    </row>
    <row r="698" spans="1:14" x14ac:dyDescent="0.25">
      <c r="A698" t="s">
        <v>2938</v>
      </c>
      <c r="B698" t="s">
        <v>253</v>
      </c>
      <c r="C698" t="s">
        <v>819</v>
      </c>
      <c r="D698" t="str">
        <f>VLOOKUP(J698,Location[],2,FALSE)</f>
        <v>Phoenix</v>
      </c>
      <c r="E698" t="str">
        <f>VLOOKUP(J698,Location[],3,FALSE)</f>
        <v> Arizona</v>
      </c>
      <c r="F698" t="str">
        <f>VLOOKUP(K698,Dept[],2,FALSE)</f>
        <v>Legal</v>
      </c>
      <c r="G698" s="11">
        <f t="shared" si="10"/>
        <v>44287</v>
      </c>
      <c r="H698" t="str">
        <f>VLOOKUP(N698,Status[],2,FALSE)</f>
        <v>Full-Time</v>
      </c>
      <c r="J698" s="7">
        <v>1005</v>
      </c>
      <c r="K698">
        <v>18</v>
      </c>
      <c r="L698">
        <v>2021</v>
      </c>
      <c r="M698">
        <v>4</v>
      </c>
      <c r="N698">
        <v>1</v>
      </c>
    </row>
    <row r="699" spans="1:14" x14ac:dyDescent="0.25">
      <c r="A699" t="s">
        <v>2939</v>
      </c>
      <c r="B699" t="s">
        <v>13</v>
      </c>
      <c r="C699" t="s">
        <v>444</v>
      </c>
      <c r="D699" t="str">
        <f>VLOOKUP(J699,Location[],2,FALSE)</f>
        <v>New York City</v>
      </c>
      <c r="E699" t="str">
        <f>VLOOKUP(J699,Location[],3,FALSE)</f>
        <v> New York</v>
      </c>
      <c r="F699" t="str">
        <f>VLOOKUP(K699,Dept[],2,FALSE)</f>
        <v>Administration</v>
      </c>
      <c r="G699" s="11">
        <f t="shared" si="10"/>
        <v>42736</v>
      </c>
      <c r="H699" t="str">
        <f>VLOOKUP(N699,Status[],2,FALSE)</f>
        <v>Full-Time</v>
      </c>
      <c r="J699" s="7">
        <v>1001</v>
      </c>
      <c r="K699">
        <v>12</v>
      </c>
      <c r="L699">
        <v>2017</v>
      </c>
      <c r="M699">
        <v>1</v>
      </c>
      <c r="N699">
        <v>1</v>
      </c>
    </row>
    <row r="700" spans="1:14" x14ac:dyDescent="0.25">
      <c r="A700" t="s">
        <v>2940</v>
      </c>
      <c r="B700" t="s">
        <v>414</v>
      </c>
      <c r="C700" t="s">
        <v>415</v>
      </c>
      <c r="D700" t="str">
        <f>VLOOKUP(J700,Location[],2,FALSE)</f>
        <v>Portland</v>
      </c>
      <c r="E700" t="str">
        <f>VLOOKUP(J700,Location[],3,FALSE)</f>
        <v> Oregon</v>
      </c>
      <c r="F700" t="str">
        <f>VLOOKUP(K700,Dept[],2,FALSE)</f>
        <v>Administration</v>
      </c>
      <c r="G700" s="11">
        <f t="shared" si="10"/>
        <v>41334</v>
      </c>
      <c r="H700" t="str">
        <f>VLOOKUP(N700,Status[],2,FALSE)</f>
        <v>Full-Time</v>
      </c>
      <c r="J700" s="7">
        <v>1026</v>
      </c>
      <c r="K700">
        <v>12</v>
      </c>
      <c r="L700">
        <v>2013</v>
      </c>
      <c r="M700">
        <v>3</v>
      </c>
      <c r="N700">
        <v>1</v>
      </c>
    </row>
    <row r="701" spans="1:14" x14ac:dyDescent="0.25">
      <c r="A701" t="s">
        <v>2941</v>
      </c>
      <c r="B701" t="s">
        <v>608</v>
      </c>
      <c r="C701" t="s">
        <v>1407</v>
      </c>
      <c r="D701" t="str">
        <f>VLOOKUP(J701,Location[],2,FALSE)</f>
        <v>Lexington</v>
      </c>
      <c r="E701" t="str">
        <f>VLOOKUP(J701,Location[],3,FALSE)</f>
        <v> Kentucky</v>
      </c>
      <c r="F701" t="str">
        <f>VLOOKUP(K701,Dept[],2,FALSE)</f>
        <v>Assessment</v>
      </c>
      <c r="G701" s="11">
        <f t="shared" si="10"/>
        <v>42887</v>
      </c>
      <c r="H701" t="str">
        <f>VLOOKUP(N701,Status[],2,FALSE)</f>
        <v>Full-Time</v>
      </c>
      <c r="J701" s="7">
        <v>1060</v>
      </c>
      <c r="K701">
        <v>13</v>
      </c>
      <c r="L701">
        <v>2017</v>
      </c>
      <c r="M701">
        <v>6</v>
      </c>
      <c r="N701">
        <v>1</v>
      </c>
    </row>
    <row r="702" spans="1:14" x14ac:dyDescent="0.25">
      <c r="A702" t="s">
        <v>2942</v>
      </c>
      <c r="B702" t="s">
        <v>1428</v>
      </c>
      <c r="C702" t="s">
        <v>1407</v>
      </c>
      <c r="D702" t="str">
        <f>VLOOKUP(J702,Location[],2,FALSE)</f>
        <v>Jacksonville</v>
      </c>
      <c r="E702" t="str">
        <f>VLOOKUP(J702,Location[],3,FALSE)</f>
        <v> Florida</v>
      </c>
      <c r="F702" t="str">
        <f>VLOOKUP(K702,Dept[],2,FALSE)</f>
        <v>Administration</v>
      </c>
      <c r="G702" s="11">
        <f t="shared" si="10"/>
        <v>42767</v>
      </c>
      <c r="H702" t="str">
        <f>VLOOKUP(N702,Status[],2,FALSE)</f>
        <v>Full-Time</v>
      </c>
      <c r="J702" s="7">
        <v>1012</v>
      </c>
      <c r="K702">
        <v>12</v>
      </c>
      <c r="L702">
        <v>2017</v>
      </c>
      <c r="M702">
        <v>2</v>
      </c>
      <c r="N702">
        <v>1</v>
      </c>
    </row>
    <row r="703" spans="1:14" x14ac:dyDescent="0.25">
      <c r="A703" t="s">
        <v>2943</v>
      </c>
      <c r="B703" t="s">
        <v>1739</v>
      </c>
      <c r="C703" t="s">
        <v>1740</v>
      </c>
      <c r="D703" t="str">
        <f>VLOOKUP(J703,Location[],2,FALSE)</f>
        <v>El Paso</v>
      </c>
      <c r="E703" t="str">
        <f>VLOOKUP(J703,Location[],3,FALSE)</f>
        <v> Texas</v>
      </c>
      <c r="F703" t="str">
        <f>VLOOKUP(K703,Dept[],2,FALSE)</f>
        <v>Administration</v>
      </c>
      <c r="G703" s="11">
        <f t="shared" si="10"/>
        <v>41609</v>
      </c>
      <c r="H703" t="str">
        <f>VLOOKUP(N703,Status[],2,FALSE)</f>
        <v>Full-Time</v>
      </c>
      <c r="J703" s="7">
        <v>1022</v>
      </c>
      <c r="K703">
        <v>12</v>
      </c>
      <c r="L703">
        <v>2013</v>
      </c>
      <c r="M703">
        <v>12</v>
      </c>
      <c r="N703">
        <v>1</v>
      </c>
    </row>
    <row r="704" spans="1:14" x14ac:dyDescent="0.25">
      <c r="A704" t="s">
        <v>2944</v>
      </c>
      <c r="B704" t="s">
        <v>268</v>
      </c>
      <c r="C704" t="s">
        <v>269</v>
      </c>
      <c r="D704" t="str">
        <f>VLOOKUP(J704,Location[],2,FALSE)</f>
        <v>Los Angeles</v>
      </c>
      <c r="E704" t="str">
        <f>VLOOKUP(J704,Location[],3,FALSE)</f>
        <v> California</v>
      </c>
      <c r="F704" t="str">
        <f>VLOOKUP(K704,Dept[],2,FALSE)</f>
        <v>Finance</v>
      </c>
      <c r="G704" s="11">
        <f t="shared" si="10"/>
        <v>43252</v>
      </c>
      <c r="H704" t="str">
        <f>VLOOKUP(N704,Status[],2,FALSE)</f>
        <v>Full-Time</v>
      </c>
      <c r="J704" s="7">
        <v>1002</v>
      </c>
      <c r="K704">
        <v>15</v>
      </c>
      <c r="L704">
        <v>2018</v>
      </c>
      <c r="M704">
        <v>6</v>
      </c>
      <c r="N704">
        <v>1</v>
      </c>
    </row>
    <row r="705" spans="1:14" x14ac:dyDescent="0.25">
      <c r="A705" t="s">
        <v>2945</v>
      </c>
      <c r="B705" t="s">
        <v>307</v>
      </c>
      <c r="C705" t="s">
        <v>269</v>
      </c>
      <c r="D705" t="str">
        <f>VLOOKUP(J705,Location[],2,FALSE)</f>
        <v>Washington, D.C.</v>
      </c>
      <c r="E705" t="str">
        <f>VLOOKUP(J705,Location[],3,FALSE)</f>
        <v> District of Columbia</v>
      </c>
      <c r="F705" t="str">
        <f>VLOOKUP(K705,Dept[],2,FALSE)</f>
        <v>Marketing</v>
      </c>
      <c r="G705" s="11">
        <f t="shared" si="10"/>
        <v>43191</v>
      </c>
      <c r="H705" t="str">
        <f>VLOOKUP(N705,Status[],2,FALSE)</f>
        <v>Full-Time</v>
      </c>
      <c r="J705" s="7">
        <v>1020</v>
      </c>
      <c r="K705">
        <v>19</v>
      </c>
      <c r="L705">
        <v>2018</v>
      </c>
      <c r="M705">
        <v>4</v>
      </c>
      <c r="N705">
        <v>1</v>
      </c>
    </row>
    <row r="706" spans="1:14" x14ac:dyDescent="0.25">
      <c r="A706" t="s">
        <v>2946</v>
      </c>
      <c r="B706" t="s">
        <v>135</v>
      </c>
      <c r="C706" t="s">
        <v>269</v>
      </c>
      <c r="D706" t="str">
        <f>VLOOKUP(J706,Location[],2,FALSE)</f>
        <v>Albuquerque</v>
      </c>
      <c r="E706" t="str">
        <f>VLOOKUP(J706,Location[],3,FALSE)</f>
        <v> New Mexico</v>
      </c>
      <c r="F706" t="str">
        <f>VLOOKUP(K706,Dept[],2,FALSE)</f>
        <v>R&amp;D</v>
      </c>
      <c r="G706" s="11">
        <f t="shared" si="10"/>
        <v>45108</v>
      </c>
      <c r="H706" t="str">
        <f>VLOOKUP(N706,Status[],2,FALSE)</f>
        <v>Full-Time</v>
      </c>
      <c r="J706" s="7">
        <v>1032</v>
      </c>
      <c r="K706">
        <v>21</v>
      </c>
      <c r="L706">
        <v>2023</v>
      </c>
      <c r="M706">
        <v>7</v>
      </c>
      <c r="N706">
        <v>1</v>
      </c>
    </row>
    <row r="707" spans="1:14" x14ac:dyDescent="0.25">
      <c r="A707" t="s">
        <v>2947</v>
      </c>
      <c r="B707" t="s">
        <v>53</v>
      </c>
      <c r="C707" t="s">
        <v>269</v>
      </c>
      <c r="D707" t="str">
        <f>VLOOKUP(J707,Location[],2,FALSE)</f>
        <v>Houston</v>
      </c>
      <c r="E707" t="str">
        <f>VLOOKUP(J707,Location[],3,FALSE)</f>
        <v> Texas</v>
      </c>
      <c r="F707" t="str">
        <f>VLOOKUP(K707,Dept[],2,FALSE)</f>
        <v>Administration</v>
      </c>
      <c r="G707" s="11">
        <f t="shared" si="10"/>
        <v>42552</v>
      </c>
      <c r="H707" t="str">
        <f>VLOOKUP(N707,Status[],2,FALSE)</f>
        <v>Full-Time</v>
      </c>
      <c r="J707" s="7">
        <v>1004</v>
      </c>
      <c r="K707">
        <v>12</v>
      </c>
      <c r="L707">
        <v>2016</v>
      </c>
      <c r="M707">
        <v>7</v>
      </c>
      <c r="N707">
        <v>1</v>
      </c>
    </row>
    <row r="708" spans="1:14" x14ac:dyDescent="0.25">
      <c r="A708" t="s">
        <v>2948</v>
      </c>
      <c r="B708" t="s">
        <v>53</v>
      </c>
      <c r="C708" t="s">
        <v>653</v>
      </c>
      <c r="D708" t="str">
        <f>VLOOKUP(J708,Location[],2,FALSE)</f>
        <v>Sacramento</v>
      </c>
      <c r="E708" t="str">
        <f>VLOOKUP(J708,Location[],3,FALSE)</f>
        <v> California</v>
      </c>
      <c r="F708" t="str">
        <f>VLOOKUP(K708,Dept[],2,FALSE)</f>
        <v>Finance</v>
      </c>
      <c r="G708" s="11">
        <f t="shared" si="10"/>
        <v>44562</v>
      </c>
      <c r="H708" t="str">
        <f>VLOOKUP(N708,Status[],2,FALSE)</f>
        <v>Full-Time</v>
      </c>
      <c r="J708" s="7">
        <v>1035</v>
      </c>
      <c r="K708">
        <v>15</v>
      </c>
      <c r="L708">
        <v>2022</v>
      </c>
      <c r="M708">
        <v>1</v>
      </c>
      <c r="N708">
        <v>1</v>
      </c>
    </row>
    <row r="709" spans="1:14" x14ac:dyDescent="0.25">
      <c r="A709" t="s">
        <v>2949</v>
      </c>
      <c r="B709" t="s">
        <v>773</v>
      </c>
      <c r="C709" t="s">
        <v>653</v>
      </c>
      <c r="D709" t="str">
        <f>VLOOKUP(J709,Location[],2,FALSE)</f>
        <v>Indianapolis</v>
      </c>
      <c r="E709" t="str">
        <f>VLOOKUP(J709,Location[],3,FALSE)</f>
        <v> Indiana</v>
      </c>
      <c r="F709" t="str">
        <f>VLOOKUP(K709,Dept[],2,FALSE)</f>
        <v>IT</v>
      </c>
      <c r="G709" s="11">
        <f t="shared" ref="G709:G772" si="11">DATE(L709,M709,1)</f>
        <v>40878</v>
      </c>
      <c r="H709" t="str">
        <f>VLOOKUP(N709,Status[],2,FALSE)</f>
        <v>Full-Time</v>
      </c>
      <c r="J709" s="7">
        <v>1016</v>
      </c>
      <c r="K709">
        <v>17</v>
      </c>
      <c r="L709">
        <v>2011</v>
      </c>
      <c r="M709">
        <v>12</v>
      </c>
      <c r="N709">
        <v>1</v>
      </c>
    </row>
    <row r="710" spans="1:14" x14ac:dyDescent="0.25">
      <c r="A710" t="s">
        <v>2950</v>
      </c>
      <c r="B710" t="s">
        <v>253</v>
      </c>
      <c r="C710" t="s">
        <v>792</v>
      </c>
      <c r="D710" t="str">
        <f>VLOOKUP(J710,Location[],2,FALSE)</f>
        <v>Raleigh</v>
      </c>
      <c r="E710" t="str">
        <f>VLOOKUP(J710,Location[],3,FALSE)</f>
        <v> North Carolina</v>
      </c>
      <c r="F710" t="str">
        <f>VLOOKUP(K710,Dept[],2,FALSE)</f>
        <v>Legal</v>
      </c>
      <c r="G710" s="11">
        <f t="shared" si="11"/>
        <v>43466</v>
      </c>
      <c r="H710" t="str">
        <f>VLOOKUP(N710,Status[],2,FALSE)</f>
        <v>Full-Time</v>
      </c>
      <c r="J710" s="7">
        <v>1041</v>
      </c>
      <c r="K710">
        <v>18</v>
      </c>
      <c r="L710">
        <v>2019</v>
      </c>
      <c r="M710">
        <v>1</v>
      </c>
      <c r="N710">
        <v>1</v>
      </c>
    </row>
    <row r="711" spans="1:14" x14ac:dyDescent="0.25">
      <c r="A711" t="s">
        <v>2951</v>
      </c>
      <c r="B711" t="s">
        <v>1210</v>
      </c>
      <c r="C711" t="s">
        <v>1211</v>
      </c>
      <c r="D711" t="str">
        <f>VLOOKUP(J711,Location[],2,FALSE)</f>
        <v>Chula Vista</v>
      </c>
      <c r="E711" t="str">
        <f>VLOOKUP(J711,Location[],3,FALSE)</f>
        <v> California</v>
      </c>
      <c r="F711" t="str">
        <f>VLOOKUP(K711,Dept[],2,FALSE)</f>
        <v>Accounting</v>
      </c>
      <c r="G711" s="11">
        <f t="shared" si="11"/>
        <v>42887</v>
      </c>
      <c r="H711" t="str">
        <f>VLOOKUP(N711,Status[],2,FALSE)</f>
        <v>Full-Time</v>
      </c>
      <c r="J711" s="7">
        <v>1076</v>
      </c>
      <c r="K711">
        <v>11</v>
      </c>
      <c r="L711">
        <v>2017</v>
      </c>
      <c r="M711">
        <v>6</v>
      </c>
      <c r="N711">
        <v>1</v>
      </c>
    </row>
    <row r="712" spans="1:14" x14ac:dyDescent="0.25">
      <c r="A712" t="s">
        <v>2952</v>
      </c>
      <c r="B712" t="s">
        <v>1726</v>
      </c>
      <c r="C712" t="s">
        <v>1727</v>
      </c>
      <c r="D712" t="str">
        <f>VLOOKUP(J712,Location[],2,FALSE)</f>
        <v>Chicago</v>
      </c>
      <c r="E712" t="str">
        <f>VLOOKUP(J712,Location[],3,FALSE)</f>
        <v> Illinois</v>
      </c>
      <c r="F712" t="str">
        <f>VLOOKUP(K712,Dept[],2,FALSE)</f>
        <v>Marketing</v>
      </c>
      <c r="G712" s="11">
        <f t="shared" si="11"/>
        <v>45200</v>
      </c>
      <c r="H712" t="str">
        <f>VLOOKUP(N712,Status[],2,FALSE)</f>
        <v>Full-Time</v>
      </c>
      <c r="J712" s="7">
        <v>1003</v>
      </c>
      <c r="K712">
        <v>19</v>
      </c>
      <c r="L712">
        <v>2023</v>
      </c>
      <c r="M712">
        <v>10</v>
      </c>
      <c r="N712">
        <v>1</v>
      </c>
    </row>
    <row r="713" spans="1:14" x14ac:dyDescent="0.25">
      <c r="A713" t="s">
        <v>2953</v>
      </c>
      <c r="B713" t="s">
        <v>19</v>
      </c>
      <c r="C713" t="s">
        <v>100</v>
      </c>
      <c r="D713" t="str">
        <f>VLOOKUP(J713,Location[],2,FALSE)</f>
        <v>Laredo</v>
      </c>
      <c r="E713" t="str">
        <f>VLOOKUP(J713,Location[],3,FALSE)</f>
        <v> Texas</v>
      </c>
      <c r="F713" t="str">
        <f>VLOOKUP(K713,Dept[],2,FALSE)</f>
        <v>Customer Support</v>
      </c>
      <c r="G713" s="11">
        <f t="shared" si="11"/>
        <v>42948</v>
      </c>
      <c r="H713" t="str">
        <f>VLOOKUP(N713,Status[],2,FALSE)</f>
        <v>Full-Time</v>
      </c>
      <c r="J713" s="7">
        <v>1080</v>
      </c>
      <c r="K713">
        <v>14</v>
      </c>
      <c r="L713">
        <v>2017</v>
      </c>
      <c r="M713">
        <v>8</v>
      </c>
      <c r="N713">
        <v>1</v>
      </c>
    </row>
    <row r="714" spans="1:14" x14ac:dyDescent="0.25">
      <c r="A714" t="s">
        <v>2954</v>
      </c>
      <c r="B714" t="s">
        <v>694</v>
      </c>
      <c r="C714" t="s">
        <v>100</v>
      </c>
      <c r="D714" t="str">
        <f>VLOOKUP(J714,Location[],2,FALSE)</f>
        <v>San Diego</v>
      </c>
      <c r="E714" t="str">
        <f>VLOOKUP(J714,Location[],3,FALSE)</f>
        <v> California</v>
      </c>
      <c r="F714" t="str">
        <f>VLOOKUP(K714,Dept[],2,FALSE)</f>
        <v>Media</v>
      </c>
      <c r="G714" s="11">
        <f t="shared" si="11"/>
        <v>44228</v>
      </c>
      <c r="H714" t="str">
        <f>VLOOKUP(N714,Status[],2,FALSE)</f>
        <v>Full-Time</v>
      </c>
      <c r="J714" s="7">
        <v>1008</v>
      </c>
      <c r="K714">
        <v>20</v>
      </c>
      <c r="L714">
        <v>2021</v>
      </c>
      <c r="M714">
        <v>2</v>
      </c>
      <c r="N714">
        <v>1</v>
      </c>
    </row>
    <row r="715" spans="1:14" x14ac:dyDescent="0.25">
      <c r="A715" t="s">
        <v>2955</v>
      </c>
      <c r="B715" t="s">
        <v>248</v>
      </c>
      <c r="C715" t="s">
        <v>100</v>
      </c>
      <c r="D715" t="str">
        <f>VLOOKUP(J715,Location[],2,FALSE)</f>
        <v>Atlanta</v>
      </c>
      <c r="E715" t="str">
        <f>VLOOKUP(J715,Location[],3,FALSE)</f>
        <v> Georgia</v>
      </c>
      <c r="F715" t="str">
        <f>VLOOKUP(K715,Dept[],2,FALSE)</f>
        <v>Customer Support</v>
      </c>
      <c r="G715" s="11">
        <f t="shared" si="11"/>
        <v>41791</v>
      </c>
      <c r="H715" t="str">
        <f>VLOOKUP(N715,Status[],2,FALSE)</f>
        <v>Full-Time</v>
      </c>
      <c r="J715" s="7">
        <v>1038</v>
      </c>
      <c r="K715">
        <v>14</v>
      </c>
      <c r="L715">
        <v>2014</v>
      </c>
      <c r="M715">
        <v>6</v>
      </c>
      <c r="N715">
        <v>1</v>
      </c>
    </row>
    <row r="716" spans="1:14" x14ac:dyDescent="0.25">
      <c r="A716" t="s">
        <v>2956</v>
      </c>
      <c r="B716" t="s">
        <v>807</v>
      </c>
      <c r="C716" t="s">
        <v>1880</v>
      </c>
      <c r="D716" t="str">
        <f>VLOOKUP(J716,Location[],2,FALSE)</f>
        <v>San Jose</v>
      </c>
      <c r="E716" t="str">
        <f>VLOOKUP(J716,Location[],3,FALSE)</f>
        <v> California</v>
      </c>
      <c r="F716" t="str">
        <f>VLOOKUP(K716,Dept[],2,FALSE)</f>
        <v>Sales</v>
      </c>
      <c r="G716" s="11">
        <f t="shared" si="11"/>
        <v>41214</v>
      </c>
      <c r="H716" t="str">
        <f>VLOOKUP(N716,Status[],2,FALSE)</f>
        <v>Full-Time</v>
      </c>
      <c r="J716" s="7">
        <v>1010</v>
      </c>
      <c r="K716">
        <v>22</v>
      </c>
      <c r="L716">
        <v>2012</v>
      </c>
      <c r="M716">
        <v>11</v>
      </c>
      <c r="N716">
        <v>1</v>
      </c>
    </row>
    <row r="717" spans="1:14" x14ac:dyDescent="0.25">
      <c r="A717" t="s">
        <v>2957</v>
      </c>
      <c r="B717" t="s">
        <v>1089</v>
      </c>
      <c r="C717" t="s">
        <v>1438</v>
      </c>
      <c r="D717" t="str">
        <f>VLOOKUP(J717,Location[],2,FALSE)</f>
        <v>Long Beach</v>
      </c>
      <c r="E717" t="str">
        <f>VLOOKUP(J717,Location[],3,FALSE)</f>
        <v> California</v>
      </c>
      <c r="F717" t="str">
        <f>VLOOKUP(K717,Dept[],2,FALSE)</f>
        <v>Customer Support</v>
      </c>
      <c r="G717" s="11">
        <f t="shared" si="11"/>
        <v>42979</v>
      </c>
      <c r="H717" t="str">
        <f>VLOOKUP(N717,Status[],2,FALSE)</f>
        <v>Full-Time</v>
      </c>
      <c r="J717" s="7">
        <v>1039</v>
      </c>
      <c r="K717">
        <v>14</v>
      </c>
      <c r="L717">
        <v>2017</v>
      </c>
      <c r="M717">
        <v>9</v>
      </c>
      <c r="N717">
        <v>1</v>
      </c>
    </row>
    <row r="718" spans="1:14" x14ac:dyDescent="0.25">
      <c r="A718" t="s">
        <v>2958</v>
      </c>
      <c r="B718" t="s">
        <v>144</v>
      </c>
      <c r="C718" t="s">
        <v>830</v>
      </c>
      <c r="D718" t="str">
        <f>VLOOKUP(J718,Location[],2,FALSE)</f>
        <v>San Diego</v>
      </c>
      <c r="E718" t="str">
        <f>VLOOKUP(J718,Location[],3,FALSE)</f>
        <v> California</v>
      </c>
      <c r="F718" t="str">
        <f>VLOOKUP(K718,Dept[],2,FALSE)</f>
        <v>Human Resources</v>
      </c>
      <c r="G718" s="11">
        <f t="shared" si="11"/>
        <v>44621</v>
      </c>
      <c r="H718" t="str">
        <f>VLOOKUP(N718,Status[],2,FALSE)</f>
        <v>Full-Time</v>
      </c>
      <c r="J718" s="7">
        <v>1008</v>
      </c>
      <c r="K718">
        <v>16</v>
      </c>
      <c r="L718">
        <v>2022</v>
      </c>
      <c r="M718">
        <v>3</v>
      </c>
      <c r="N718">
        <v>1</v>
      </c>
    </row>
    <row r="719" spans="1:14" x14ac:dyDescent="0.25">
      <c r="A719" t="s">
        <v>2959</v>
      </c>
      <c r="B719" t="s">
        <v>1184</v>
      </c>
      <c r="C719" t="s">
        <v>1864</v>
      </c>
      <c r="D719" t="str">
        <f>VLOOKUP(J719,Location[],2,FALSE)</f>
        <v>Orlando</v>
      </c>
      <c r="E719" t="str">
        <f>VLOOKUP(J719,Location[],3,FALSE)</f>
        <v> Florida</v>
      </c>
      <c r="F719" t="str">
        <f>VLOOKUP(K719,Dept[],2,FALSE)</f>
        <v>Accounting</v>
      </c>
      <c r="G719" s="11">
        <f t="shared" si="11"/>
        <v>40909</v>
      </c>
      <c r="H719" t="str">
        <f>VLOOKUP(N719,Status[],2,FALSE)</f>
        <v>Full-Time</v>
      </c>
      <c r="J719" s="7">
        <v>1072</v>
      </c>
      <c r="K719">
        <v>11</v>
      </c>
      <c r="L719">
        <v>2012</v>
      </c>
      <c r="M719">
        <v>1</v>
      </c>
      <c r="N719">
        <v>1</v>
      </c>
    </row>
    <row r="720" spans="1:14" x14ac:dyDescent="0.25">
      <c r="A720" t="s">
        <v>2960</v>
      </c>
      <c r="B720" t="s">
        <v>635</v>
      </c>
      <c r="C720" t="s">
        <v>636</v>
      </c>
      <c r="D720" t="str">
        <f>VLOOKUP(J720,Location[],2,FALSE)</f>
        <v>New York City</v>
      </c>
      <c r="E720" t="str">
        <f>VLOOKUP(J720,Location[],3,FALSE)</f>
        <v> New York</v>
      </c>
      <c r="F720" t="str">
        <f>VLOOKUP(K720,Dept[],2,FALSE)</f>
        <v>IT</v>
      </c>
      <c r="G720" s="11">
        <f t="shared" si="11"/>
        <v>41122</v>
      </c>
      <c r="H720" t="str">
        <f>VLOOKUP(N720,Status[],2,FALSE)</f>
        <v>Full-Time</v>
      </c>
      <c r="J720" s="7">
        <v>1001</v>
      </c>
      <c r="K720">
        <v>17</v>
      </c>
      <c r="L720">
        <v>2012</v>
      </c>
      <c r="M720">
        <v>8</v>
      </c>
      <c r="N720">
        <v>1</v>
      </c>
    </row>
    <row r="721" spans="1:14" x14ac:dyDescent="0.25">
      <c r="A721" t="s">
        <v>2961</v>
      </c>
      <c r="B721" t="s">
        <v>39</v>
      </c>
      <c r="C721" t="s">
        <v>375</v>
      </c>
      <c r="D721" t="str">
        <f>VLOOKUP(J721,Location[],2,FALSE)</f>
        <v>Louisville</v>
      </c>
      <c r="E721" t="str">
        <f>VLOOKUP(J721,Location[],3,FALSE)</f>
        <v> Kentucky</v>
      </c>
      <c r="F721" t="str">
        <f>VLOOKUP(K721,Dept[],2,FALSE)</f>
        <v>Assessment</v>
      </c>
      <c r="G721" s="11">
        <f t="shared" si="11"/>
        <v>42156</v>
      </c>
      <c r="H721" t="str">
        <f>VLOOKUP(N721,Status[],2,FALSE)</f>
        <v>Full-Time</v>
      </c>
      <c r="J721" s="7">
        <v>1029</v>
      </c>
      <c r="K721">
        <v>13</v>
      </c>
      <c r="L721">
        <v>2015</v>
      </c>
      <c r="M721">
        <v>6</v>
      </c>
      <c r="N721">
        <v>1</v>
      </c>
    </row>
    <row r="722" spans="1:14" x14ac:dyDescent="0.25">
      <c r="A722" t="s">
        <v>2962</v>
      </c>
      <c r="B722" t="s">
        <v>1368</v>
      </c>
      <c r="C722" t="s">
        <v>2068</v>
      </c>
      <c r="D722" t="str">
        <f>VLOOKUP(J722,Location[],2,FALSE)</f>
        <v>Baltimore</v>
      </c>
      <c r="E722" t="str">
        <f>VLOOKUP(J722,Location[],3,FALSE)</f>
        <v> Maryland</v>
      </c>
      <c r="F722" t="str">
        <f>VLOOKUP(K722,Dept[],2,FALSE)</f>
        <v>Customer Support</v>
      </c>
      <c r="G722" s="11">
        <f t="shared" si="11"/>
        <v>41579</v>
      </c>
      <c r="H722" t="str">
        <f>VLOOKUP(N722,Status[],2,FALSE)</f>
        <v>Full-Time</v>
      </c>
      <c r="J722" s="7">
        <v>1030</v>
      </c>
      <c r="K722">
        <v>14</v>
      </c>
      <c r="L722">
        <v>2013</v>
      </c>
      <c r="M722">
        <v>11</v>
      </c>
      <c r="N722">
        <v>1</v>
      </c>
    </row>
    <row r="723" spans="1:14" x14ac:dyDescent="0.25">
      <c r="A723" t="s">
        <v>2963</v>
      </c>
      <c r="B723" t="s">
        <v>146</v>
      </c>
      <c r="C723" t="s">
        <v>1140</v>
      </c>
      <c r="D723" t="str">
        <f>VLOOKUP(J723,Location[],2,FALSE)</f>
        <v>Stockton</v>
      </c>
      <c r="E723" t="str">
        <f>VLOOKUP(J723,Location[],3,FALSE)</f>
        <v> California</v>
      </c>
      <c r="F723" t="str">
        <f>VLOOKUP(K723,Dept[],2,FALSE)</f>
        <v>Sales</v>
      </c>
      <c r="G723" s="11">
        <f t="shared" si="11"/>
        <v>42064</v>
      </c>
      <c r="H723" t="str">
        <f>VLOOKUP(N723,Status[],2,FALSE)</f>
        <v>Full-Time</v>
      </c>
      <c r="J723" s="7">
        <v>1061</v>
      </c>
      <c r="K723">
        <v>22</v>
      </c>
      <c r="L723">
        <v>2015</v>
      </c>
      <c r="M723">
        <v>3</v>
      </c>
      <c r="N723">
        <v>1</v>
      </c>
    </row>
    <row r="724" spans="1:14" x14ac:dyDescent="0.25">
      <c r="A724" t="s">
        <v>2964</v>
      </c>
      <c r="B724" t="s">
        <v>573</v>
      </c>
      <c r="C724" t="s">
        <v>574</v>
      </c>
      <c r="D724" t="str">
        <f>VLOOKUP(J724,Location[],2,FALSE)</f>
        <v>New York City</v>
      </c>
      <c r="E724" t="str">
        <f>VLOOKUP(J724,Location[],3,FALSE)</f>
        <v> New York</v>
      </c>
      <c r="F724" t="str">
        <f>VLOOKUP(K724,Dept[],2,FALSE)</f>
        <v>Accounting</v>
      </c>
      <c r="G724" s="11">
        <f t="shared" si="11"/>
        <v>43040</v>
      </c>
      <c r="H724" t="str">
        <f>VLOOKUP(N724,Status[],2,FALSE)</f>
        <v>Full-Time</v>
      </c>
      <c r="J724" s="7">
        <v>1001</v>
      </c>
      <c r="K724">
        <v>11</v>
      </c>
      <c r="L724">
        <v>2017</v>
      </c>
      <c r="M724">
        <v>11</v>
      </c>
      <c r="N724">
        <v>1</v>
      </c>
    </row>
    <row r="725" spans="1:14" x14ac:dyDescent="0.25">
      <c r="A725" t="s">
        <v>2965</v>
      </c>
      <c r="B725" t="s">
        <v>140</v>
      </c>
      <c r="C725" t="s">
        <v>141</v>
      </c>
      <c r="D725" t="str">
        <f>VLOOKUP(J725,Location[],2,FALSE)</f>
        <v>New York City</v>
      </c>
      <c r="E725" t="str">
        <f>VLOOKUP(J725,Location[],3,FALSE)</f>
        <v> New York</v>
      </c>
      <c r="F725" t="str">
        <f>VLOOKUP(K725,Dept[],2,FALSE)</f>
        <v>Administration</v>
      </c>
      <c r="G725" s="11">
        <f t="shared" si="11"/>
        <v>44378</v>
      </c>
      <c r="H725" t="str">
        <f>VLOOKUP(N725,Status[],2,FALSE)</f>
        <v>Full-Time</v>
      </c>
      <c r="J725" s="7">
        <v>1001</v>
      </c>
      <c r="K725">
        <v>12</v>
      </c>
      <c r="L725">
        <v>2021</v>
      </c>
      <c r="M725">
        <v>7</v>
      </c>
      <c r="N725">
        <v>1</v>
      </c>
    </row>
    <row r="726" spans="1:14" x14ac:dyDescent="0.25">
      <c r="A726" t="s">
        <v>2966</v>
      </c>
      <c r="B726" t="s">
        <v>617</v>
      </c>
      <c r="C726" t="s">
        <v>2051</v>
      </c>
      <c r="D726" t="str">
        <f>VLOOKUP(J726,Location[],2,FALSE)</f>
        <v>Las Vegas</v>
      </c>
      <c r="E726" t="str">
        <f>VLOOKUP(J726,Location[],3,FALSE)</f>
        <v> Nevada</v>
      </c>
      <c r="F726" t="str">
        <f>VLOOKUP(K726,Dept[],2,FALSE)</f>
        <v>Marketing</v>
      </c>
      <c r="G726" s="11">
        <f t="shared" si="11"/>
        <v>41671</v>
      </c>
      <c r="H726" t="str">
        <f>VLOOKUP(N726,Status[],2,FALSE)</f>
        <v>Full-Time</v>
      </c>
      <c r="J726" s="7">
        <v>1028</v>
      </c>
      <c r="K726">
        <v>19</v>
      </c>
      <c r="L726">
        <v>2014</v>
      </c>
      <c r="M726">
        <v>2</v>
      </c>
      <c r="N726">
        <v>1</v>
      </c>
    </row>
    <row r="727" spans="1:14" x14ac:dyDescent="0.25">
      <c r="A727" t="s">
        <v>2967</v>
      </c>
      <c r="B727" t="s">
        <v>173</v>
      </c>
      <c r="C727" t="s">
        <v>174</v>
      </c>
      <c r="D727" t="str">
        <f>VLOOKUP(J727,Location[],2,FALSE)</f>
        <v>Nashville</v>
      </c>
      <c r="E727" t="str">
        <f>VLOOKUP(J727,Location[],3,FALSE)</f>
        <v> Tennessee</v>
      </c>
      <c r="F727" t="str">
        <f>VLOOKUP(K727,Dept[],2,FALSE)</f>
        <v>Administration</v>
      </c>
      <c r="G727" s="11">
        <f t="shared" si="11"/>
        <v>41852</v>
      </c>
      <c r="H727" t="str">
        <f>VLOOKUP(N727,Status[],2,FALSE)</f>
        <v>Full-Time</v>
      </c>
      <c r="J727" s="7">
        <v>1024</v>
      </c>
      <c r="K727">
        <v>12</v>
      </c>
      <c r="L727">
        <v>2014</v>
      </c>
      <c r="M727">
        <v>8</v>
      </c>
      <c r="N727">
        <v>1</v>
      </c>
    </row>
    <row r="728" spans="1:14" x14ac:dyDescent="0.25">
      <c r="A728" t="s">
        <v>2968</v>
      </c>
      <c r="B728" t="s">
        <v>1529</v>
      </c>
      <c r="C728" t="s">
        <v>1530</v>
      </c>
      <c r="D728" t="str">
        <f>VLOOKUP(J728,Location[],2,FALSE)</f>
        <v>Mesa</v>
      </c>
      <c r="E728" t="str">
        <f>VLOOKUP(J728,Location[],3,FALSE)</f>
        <v> Arizona</v>
      </c>
      <c r="F728" t="str">
        <f>VLOOKUP(K728,Dept[],2,FALSE)</f>
        <v>Customer Support</v>
      </c>
      <c r="G728" s="11">
        <f t="shared" si="11"/>
        <v>42583</v>
      </c>
      <c r="H728" t="str">
        <f>VLOOKUP(N728,Status[],2,FALSE)</f>
        <v>Full-Time</v>
      </c>
      <c r="J728" s="7">
        <v>1036</v>
      </c>
      <c r="K728">
        <v>14</v>
      </c>
      <c r="L728">
        <v>2016</v>
      </c>
      <c r="M728">
        <v>8</v>
      </c>
      <c r="N728">
        <v>1</v>
      </c>
    </row>
    <row r="729" spans="1:14" x14ac:dyDescent="0.25">
      <c r="A729" t="s">
        <v>2969</v>
      </c>
      <c r="B729" t="s">
        <v>1100</v>
      </c>
      <c r="C729" t="s">
        <v>1787</v>
      </c>
      <c r="D729" t="str">
        <f>VLOOKUP(J729,Location[],2,FALSE)</f>
        <v>Austin</v>
      </c>
      <c r="E729" t="str">
        <f>VLOOKUP(J729,Location[],3,FALSE)</f>
        <v> Texas</v>
      </c>
      <c r="F729" t="str">
        <f>VLOOKUP(K729,Dept[],2,FALSE)</f>
        <v>Marketing</v>
      </c>
      <c r="G729" s="11">
        <f t="shared" si="11"/>
        <v>42795</v>
      </c>
      <c r="H729" t="str">
        <f>VLOOKUP(N729,Status[],2,FALSE)</f>
        <v>Part-Time</v>
      </c>
      <c r="J729" s="7">
        <v>1011</v>
      </c>
      <c r="K729">
        <v>19</v>
      </c>
      <c r="L729">
        <v>2017</v>
      </c>
      <c r="M729">
        <v>3</v>
      </c>
      <c r="N729">
        <v>0</v>
      </c>
    </row>
    <row r="730" spans="1:14" x14ac:dyDescent="0.25">
      <c r="A730" t="s">
        <v>2970</v>
      </c>
      <c r="B730" t="s">
        <v>860</v>
      </c>
      <c r="C730" t="s">
        <v>1205</v>
      </c>
      <c r="D730" t="str">
        <f>VLOOKUP(J730,Location[],2,FALSE)</f>
        <v>San Jose</v>
      </c>
      <c r="E730" t="str">
        <f>VLOOKUP(J730,Location[],3,FALSE)</f>
        <v> California</v>
      </c>
      <c r="F730" t="str">
        <f>VLOOKUP(K730,Dept[],2,FALSE)</f>
        <v>Administration</v>
      </c>
      <c r="G730" s="11">
        <f t="shared" si="11"/>
        <v>43952</v>
      </c>
      <c r="H730" t="str">
        <f>VLOOKUP(N730,Status[],2,FALSE)</f>
        <v>Full-Time</v>
      </c>
      <c r="J730" s="7">
        <v>1010</v>
      </c>
      <c r="K730">
        <v>12</v>
      </c>
      <c r="L730">
        <v>2020</v>
      </c>
      <c r="M730">
        <v>5</v>
      </c>
      <c r="N730">
        <v>1</v>
      </c>
    </row>
    <row r="731" spans="1:14" x14ac:dyDescent="0.25">
      <c r="A731" t="s">
        <v>2971</v>
      </c>
      <c r="B731" t="s">
        <v>1309</v>
      </c>
      <c r="C731" t="s">
        <v>1205</v>
      </c>
      <c r="D731" t="str">
        <f>VLOOKUP(J731,Location[],2,FALSE)</f>
        <v>Saint Paul</v>
      </c>
      <c r="E731" t="str">
        <f>VLOOKUP(J731,Location[],3,FALSE)</f>
        <v> Minnesota</v>
      </c>
      <c r="F731" t="str">
        <f>VLOOKUP(K731,Dept[],2,FALSE)</f>
        <v>Media</v>
      </c>
      <c r="G731" s="11">
        <f t="shared" si="11"/>
        <v>42278</v>
      </c>
      <c r="H731" t="str">
        <f>VLOOKUP(N731,Status[],2,FALSE)</f>
        <v>Full-Time</v>
      </c>
      <c r="J731" s="7">
        <v>1063</v>
      </c>
      <c r="K731">
        <v>20</v>
      </c>
      <c r="L731">
        <v>2015</v>
      </c>
      <c r="M731">
        <v>10</v>
      </c>
      <c r="N731">
        <v>1</v>
      </c>
    </row>
    <row r="732" spans="1:14" x14ac:dyDescent="0.25">
      <c r="A732" t="s">
        <v>2972</v>
      </c>
      <c r="B732" t="s">
        <v>11</v>
      </c>
      <c r="C732" t="s">
        <v>12</v>
      </c>
      <c r="D732" t="str">
        <f>VLOOKUP(J732,Location[],2,FALSE)</f>
        <v>Chicago</v>
      </c>
      <c r="E732" t="str">
        <f>VLOOKUP(J732,Location[],3,FALSE)</f>
        <v> Illinois</v>
      </c>
      <c r="F732" t="str">
        <f>VLOOKUP(K732,Dept[],2,FALSE)</f>
        <v>IT</v>
      </c>
      <c r="G732" s="11">
        <f t="shared" si="11"/>
        <v>45078</v>
      </c>
      <c r="H732" t="str">
        <f>VLOOKUP(N732,Status[],2,FALSE)</f>
        <v>Full-Time</v>
      </c>
      <c r="J732" s="7">
        <v>1003</v>
      </c>
      <c r="K732">
        <v>17</v>
      </c>
      <c r="L732">
        <v>2023</v>
      </c>
      <c r="M732">
        <v>6</v>
      </c>
      <c r="N732">
        <v>1</v>
      </c>
    </row>
    <row r="733" spans="1:14" x14ac:dyDescent="0.25">
      <c r="A733" t="s">
        <v>2973</v>
      </c>
      <c r="B733" t="s">
        <v>888</v>
      </c>
      <c r="C733" t="s">
        <v>12</v>
      </c>
      <c r="D733" t="str">
        <f>VLOOKUP(J733,Location[],2,FALSE)</f>
        <v>Cleveland</v>
      </c>
      <c r="E733" t="str">
        <f>VLOOKUP(J733,Location[],3,FALSE)</f>
        <v> Ohio</v>
      </c>
      <c r="F733" t="str">
        <f>VLOOKUP(K733,Dept[],2,FALSE)</f>
        <v>Assessment</v>
      </c>
      <c r="G733" s="11">
        <f t="shared" si="11"/>
        <v>43221</v>
      </c>
      <c r="H733" t="str">
        <f>VLOOKUP(N733,Status[],2,FALSE)</f>
        <v>Full-Time</v>
      </c>
      <c r="J733" s="7">
        <v>1051</v>
      </c>
      <c r="K733">
        <v>13</v>
      </c>
      <c r="L733">
        <v>2018</v>
      </c>
      <c r="M733">
        <v>5</v>
      </c>
      <c r="N733">
        <v>1</v>
      </c>
    </row>
    <row r="734" spans="1:14" x14ac:dyDescent="0.25">
      <c r="A734" t="s">
        <v>2974</v>
      </c>
      <c r="B734" t="s">
        <v>1010</v>
      </c>
      <c r="C734" t="s">
        <v>814</v>
      </c>
      <c r="D734" t="str">
        <f>VLOOKUP(J734,Location[],2,FALSE)</f>
        <v>Milwaukee</v>
      </c>
      <c r="E734" t="str">
        <f>VLOOKUP(J734,Location[],3,FALSE)</f>
        <v> Wisconsin</v>
      </c>
      <c r="F734" t="str">
        <f>VLOOKUP(K734,Dept[],2,FALSE)</f>
        <v>Human Resources</v>
      </c>
      <c r="G734" s="11">
        <f t="shared" si="11"/>
        <v>43922</v>
      </c>
      <c r="H734" t="str">
        <f>VLOOKUP(N734,Status[],2,FALSE)</f>
        <v>Part-Time</v>
      </c>
      <c r="J734" s="7">
        <v>1031</v>
      </c>
      <c r="K734">
        <v>16</v>
      </c>
      <c r="L734">
        <v>2020</v>
      </c>
      <c r="M734">
        <v>4</v>
      </c>
      <c r="N734">
        <v>0</v>
      </c>
    </row>
    <row r="735" spans="1:14" x14ac:dyDescent="0.25">
      <c r="A735" t="s">
        <v>2975</v>
      </c>
      <c r="B735" t="s">
        <v>813</v>
      </c>
      <c r="C735" t="s">
        <v>814</v>
      </c>
      <c r="D735" t="str">
        <f>VLOOKUP(J735,Location[],2,FALSE)</f>
        <v>San Jose</v>
      </c>
      <c r="E735" t="str">
        <f>VLOOKUP(J735,Location[],3,FALSE)</f>
        <v> California</v>
      </c>
      <c r="F735" t="str">
        <f>VLOOKUP(K735,Dept[],2,FALSE)</f>
        <v>IT</v>
      </c>
      <c r="G735" s="11">
        <f t="shared" si="11"/>
        <v>44531</v>
      </c>
      <c r="H735" t="str">
        <f>VLOOKUP(N735,Status[],2,FALSE)</f>
        <v>Part-Time</v>
      </c>
      <c r="J735" s="7">
        <v>1010</v>
      </c>
      <c r="K735">
        <v>17</v>
      </c>
      <c r="L735">
        <v>2021</v>
      </c>
      <c r="M735">
        <v>12</v>
      </c>
      <c r="N735">
        <v>0</v>
      </c>
    </row>
    <row r="736" spans="1:14" x14ac:dyDescent="0.25">
      <c r="A736" t="s">
        <v>2976</v>
      </c>
      <c r="B736" t="s">
        <v>532</v>
      </c>
      <c r="C736" t="s">
        <v>533</v>
      </c>
      <c r="D736" t="str">
        <f>VLOOKUP(J736,Location[],2,FALSE)</f>
        <v>Indianapolis</v>
      </c>
      <c r="E736" t="str">
        <f>VLOOKUP(J736,Location[],3,FALSE)</f>
        <v> Indiana</v>
      </c>
      <c r="F736" t="str">
        <f>VLOOKUP(K736,Dept[],2,FALSE)</f>
        <v>Customer Support</v>
      </c>
      <c r="G736" s="11">
        <f t="shared" si="11"/>
        <v>43556</v>
      </c>
      <c r="H736" t="str">
        <f>VLOOKUP(N736,Status[],2,FALSE)</f>
        <v>Full-Time</v>
      </c>
      <c r="J736" s="7">
        <v>1016</v>
      </c>
      <c r="K736">
        <v>14</v>
      </c>
      <c r="L736">
        <v>2019</v>
      </c>
      <c r="M736">
        <v>4</v>
      </c>
      <c r="N736">
        <v>1</v>
      </c>
    </row>
    <row r="737" spans="1:14" x14ac:dyDescent="0.25">
      <c r="A737" t="s">
        <v>2977</v>
      </c>
      <c r="B737" t="s">
        <v>1905</v>
      </c>
      <c r="C737" t="s">
        <v>1906</v>
      </c>
      <c r="D737" t="str">
        <f>VLOOKUP(J737,Location[],2,FALSE)</f>
        <v>Saint Paul</v>
      </c>
      <c r="E737" t="str">
        <f>VLOOKUP(J737,Location[],3,FALSE)</f>
        <v> Minnesota</v>
      </c>
      <c r="F737" t="str">
        <f>VLOOKUP(K737,Dept[],2,FALSE)</f>
        <v>Legal</v>
      </c>
      <c r="G737" s="11">
        <f t="shared" si="11"/>
        <v>44501</v>
      </c>
      <c r="H737" t="str">
        <f>VLOOKUP(N737,Status[],2,FALSE)</f>
        <v>Full-Time</v>
      </c>
      <c r="J737" s="7">
        <v>1063</v>
      </c>
      <c r="K737">
        <v>18</v>
      </c>
      <c r="L737">
        <v>2021</v>
      </c>
      <c r="M737">
        <v>11</v>
      </c>
      <c r="N737">
        <v>1</v>
      </c>
    </row>
    <row r="738" spans="1:14" x14ac:dyDescent="0.25">
      <c r="A738" t="s">
        <v>2978</v>
      </c>
      <c r="B738" t="s">
        <v>33</v>
      </c>
      <c r="C738" t="s">
        <v>34</v>
      </c>
      <c r="D738" t="str">
        <f>VLOOKUP(J738,Location[],2,FALSE)</f>
        <v>Houston</v>
      </c>
      <c r="E738" t="str">
        <f>VLOOKUP(J738,Location[],3,FALSE)</f>
        <v> Texas</v>
      </c>
      <c r="F738" t="str">
        <f>VLOOKUP(K738,Dept[],2,FALSE)</f>
        <v>R&amp;D</v>
      </c>
      <c r="G738" s="11">
        <f t="shared" si="11"/>
        <v>43831</v>
      </c>
      <c r="H738" t="str">
        <f>VLOOKUP(N738,Status[],2,FALSE)</f>
        <v>Full-Time</v>
      </c>
      <c r="J738" s="7">
        <v>1004</v>
      </c>
      <c r="K738">
        <v>21</v>
      </c>
      <c r="L738">
        <v>2020</v>
      </c>
      <c r="M738">
        <v>1</v>
      </c>
      <c r="N738">
        <v>1</v>
      </c>
    </row>
    <row r="739" spans="1:14" x14ac:dyDescent="0.25">
      <c r="A739" t="s">
        <v>2979</v>
      </c>
      <c r="B739" t="s">
        <v>144</v>
      </c>
      <c r="C739" t="s">
        <v>847</v>
      </c>
      <c r="D739" t="str">
        <f>VLOOKUP(J739,Location[],2,FALSE)</f>
        <v>San Antonio</v>
      </c>
      <c r="E739" t="str">
        <f>VLOOKUP(J739,Location[],3,FALSE)</f>
        <v> Texas</v>
      </c>
      <c r="F739" t="str">
        <f>VLOOKUP(K739,Dept[],2,FALSE)</f>
        <v>Marketing</v>
      </c>
      <c r="G739" s="11">
        <f t="shared" si="11"/>
        <v>43617</v>
      </c>
      <c r="H739" t="str">
        <f>VLOOKUP(N739,Status[],2,FALSE)</f>
        <v>Full-Time</v>
      </c>
      <c r="J739" s="7">
        <v>1007</v>
      </c>
      <c r="K739">
        <v>19</v>
      </c>
      <c r="L739">
        <v>2019</v>
      </c>
      <c r="M739">
        <v>6</v>
      </c>
      <c r="N739">
        <v>1</v>
      </c>
    </row>
    <row r="740" spans="1:14" x14ac:dyDescent="0.25">
      <c r="A740" t="s">
        <v>2980</v>
      </c>
      <c r="B740" t="s">
        <v>71</v>
      </c>
      <c r="C740" t="s">
        <v>32</v>
      </c>
      <c r="D740" t="str">
        <f>VLOOKUP(J740,Location[],2,FALSE)</f>
        <v>Chicago</v>
      </c>
      <c r="E740" t="str">
        <f>VLOOKUP(J740,Location[],3,FALSE)</f>
        <v> Illinois</v>
      </c>
      <c r="F740" t="str">
        <f>VLOOKUP(K740,Dept[],2,FALSE)</f>
        <v>Customer Support</v>
      </c>
      <c r="G740" s="11">
        <f t="shared" si="11"/>
        <v>41821</v>
      </c>
      <c r="H740" t="str">
        <f>VLOOKUP(N740,Status[],2,FALSE)</f>
        <v>Full-Time</v>
      </c>
      <c r="J740" s="7">
        <v>1003</v>
      </c>
      <c r="K740">
        <v>14</v>
      </c>
      <c r="L740">
        <v>2014</v>
      </c>
      <c r="M740">
        <v>7</v>
      </c>
      <c r="N740">
        <v>1</v>
      </c>
    </row>
    <row r="741" spans="1:14" x14ac:dyDescent="0.25">
      <c r="A741" t="s">
        <v>2981</v>
      </c>
      <c r="B741" t="s">
        <v>108</v>
      </c>
      <c r="C741" t="s">
        <v>32</v>
      </c>
      <c r="D741" t="str">
        <f>VLOOKUP(J741,Location[],2,FALSE)</f>
        <v>Plano</v>
      </c>
      <c r="E741" t="str">
        <f>VLOOKUP(J741,Location[],3,FALSE)</f>
        <v> Texas</v>
      </c>
      <c r="F741" t="str">
        <f>VLOOKUP(K741,Dept[],2,FALSE)</f>
        <v>Accounting</v>
      </c>
      <c r="G741" s="11">
        <f t="shared" si="11"/>
        <v>43435</v>
      </c>
      <c r="H741" t="str">
        <f>VLOOKUP(N741,Status[],2,FALSE)</f>
        <v>Full-Time</v>
      </c>
      <c r="J741" s="7">
        <v>1069</v>
      </c>
      <c r="K741">
        <v>11</v>
      </c>
      <c r="L741">
        <v>2018</v>
      </c>
      <c r="M741">
        <v>12</v>
      </c>
      <c r="N741">
        <v>1</v>
      </c>
    </row>
    <row r="742" spans="1:14" x14ac:dyDescent="0.25">
      <c r="A742" t="s">
        <v>2982</v>
      </c>
      <c r="B742" t="s">
        <v>144</v>
      </c>
      <c r="C742" t="s">
        <v>32</v>
      </c>
      <c r="D742" t="str">
        <f>VLOOKUP(J742,Location[],2,FALSE)</f>
        <v>San Antonio</v>
      </c>
      <c r="E742" t="str">
        <f>VLOOKUP(J742,Location[],3,FALSE)</f>
        <v> Texas</v>
      </c>
      <c r="F742" t="str">
        <f>VLOOKUP(K742,Dept[],2,FALSE)</f>
        <v>Administration</v>
      </c>
      <c r="G742" s="11">
        <f t="shared" si="11"/>
        <v>40664</v>
      </c>
      <c r="H742" t="str">
        <f>VLOOKUP(N742,Status[],2,FALSE)</f>
        <v>Full-Time</v>
      </c>
      <c r="J742" s="7">
        <v>1007</v>
      </c>
      <c r="K742">
        <v>12</v>
      </c>
      <c r="L742">
        <v>2011</v>
      </c>
      <c r="M742">
        <v>5</v>
      </c>
      <c r="N742">
        <v>1</v>
      </c>
    </row>
    <row r="743" spans="1:14" x14ac:dyDescent="0.25">
      <c r="A743" t="s">
        <v>2983</v>
      </c>
      <c r="B743" t="s">
        <v>89</v>
      </c>
      <c r="C743" t="s">
        <v>32</v>
      </c>
      <c r="D743" t="str">
        <f>VLOOKUP(J743,Location[],2,FALSE)</f>
        <v>Los Angeles</v>
      </c>
      <c r="E743" t="str">
        <f>VLOOKUP(J743,Location[],3,FALSE)</f>
        <v> California</v>
      </c>
      <c r="F743" t="str">
        <f>VLOOKUP(K743,Dept[],2,FALSE)</f>
        <v>R&amp;D</v>
      </c>
      <c r="G743" s="11">
        <f t="shared" si="11"/>
        <v>44136</v>
      </c>
      <c r="H743" t="str">
        <f>VLOOKUP(N743,Status[],2,FALSE)</f>
        <v>Full-Time</v>
      </c>
      <c r="J743" s="7">
        <v>1002</v>
      </c>
      <c r="K743">
        <v>21</v>
      </c>
      <c r="L743">
        <v>2020</v>
      </c>
      <c r="M743">
        <v>11</v>
      </c>
      <c r="N743">
        <v>1</v>
      </c>
    </row>
    <row r="744" spans="1:14" x14ac:dyDescent="0.25">
      <c r="A744" t="s">
        <v>2984</v>
      </c>
      <c r="B744" t="s">
        <v>31</v>
      </c>
      <c r="C744" t="s">
        <v>32</v>
      </c>
      <c r="D744" t="str">
        <f>VLOOKUP(J744,Location[],2,FALSE)</f>
        <v>Fresno</v>
      </c>
      <c r="E744" t="str">
        <f>VLOOKUP(J744,Location[],3,FALSE)</f>
        <v> California</v>
      </c>
      <c r="F744" t="str">
        <f>VLOOKUP(K744,Dept[],2,FALSE)</f>
        <v>Media</v>
      </c>
      <c r="G744" s="11">
        <f t="shared" si="11"/>
        <v>41395</v>
      </c>
      <c r="H744" t="str">
        <f>VLOOKUP(N744,Status[],2,FALSE)</f>
        <v>Full-Time</v>
      </c>
      <c r="J744" s="7">
        <v>1034</v>
      </c>
      <c r="K744">
        <v>20</v>
      </c>
      <c r="L744">
        <v>2013</v>
      </c>
      <c r="M744">
        <v>5</v>
      </c>
      <c r="N744">
        <v>1</v>
      </c>
    </row>
    <row r="745" spans="1:14" x14ac:dyDescent="0.25">
      <c r="A745" t="s">
        <v>2985</v>
      </c>
      <c r="B745" t="s">
        <v>599</v>
      </c>
      <c r="C745" t="s">
        <v>32</v>
      </c>
      <c r="D745" t="str">
        <f>VLOOKUP(J745,Location[],2,FALSE)</f>
        <v>Chicago</v>
      </c>
      <c r="E745" t="str">
        <f>VLOOKUP(J745,Location[],3,FALSE)</f>
        <v> Illinois</v>
      </c>
      <c r="F745" t="str">
        <f>VLOOKUP(K745,Dept[],2,FALSE)</f>
        <v>Legal</v>
      </c>
      <c r="G745" s="11">
        <f t="shared" si="11"/>
        <v>44317</v>
      </c>
      <c r="H745" t="str">
        <f>VLOOKUP(N745,Status[],2,FALSE)</f>
        <v>Full-Time</v>
      </c>
      <c r="J745" s="7">
        <v>1003</v>
      </c>
      <c r="K745">
        <v>18</v>
      </c>
      <c r="L745">
        <v>2021</v>
      </c>
      <c r="M745">
        <v>5</v>
      </c>
      <c r="N745">
        <v>1</v>
      </c>
    </row>
    <row r="746" spans="1:14" x14ac:dyDescent="0.25">
      <c r="A746" t="s">
        <v>2986</v>
      </c>
      <c r="B746" t="s">
        <v>2032</v>
      </c>
      <c r="C746" t="s">
        <v>32</v>
      </c>
      <c r="D746" t="str">
        <f>VLOOKUP(J746,Location[],2,FALSE)</f>
        <v>Chicago</v>
      </c>
      <c r="E746" t="str">
        <f>VLOOKUP(J746,Location[],3,FALSE)</f>
        <v> Illinois</v>
      </c>
      <c r="F746" t="str">
        <f>VLOOKUP(K746,Dept[],2,FALSE)</f>
        <v>Accounting</v>
      </c>
      <c r="G746" s="11">
        <f t="shared" si="11"/>
        <v>42614</v>
      </c>
      <c r="H746" t="str">
        <f>VLOOKUP(N746,Status[],2,FALSE)</f>
        <v>Full-Time</v>
      </c>
      <c r="J746" s="7">
        <v>1003</v>
      </c>
      <c r="K746">
        <v>11</v>
      </c>
      <c r="L746">
        <v>2016</v>
      </c>
      <c r="M746">
        <v>9</v>
      </c>
      <c r="N746">
        <v>1</v>
      </c>
    </row>
    <row r="747" spans="1:14" x14ac:dyDescent="0.25">
      <c r="A747" t="s">
        <v>2987</v>
      </c>
      <c r="B747" t="s">
        <v>1101</v>
      </c>
      <c r="C747" t="s">
        <v>1725</v>
      </c>
      <c r="D747" t="str">
        <f>VLOOKUP(J747,Location[],2,FALSE)</f>
        <v>Los Angeles</v>
      </c>
      <c r="E747" t="str">
        <f>VLOOKUP(J747,Location[],3,FALSE)</f>
        <v> California</v>
      </c>
      <c r="F747" t="str">
        <f>VLOOKUP(K747,Dept[],2,FALSE)</f>
        <v>Accounting</v>
      </c>
      <c r="G747" s="11">
        <f t="shared" si="11"/>
        <v>41791</v>
      </c>
      <c r="H747" t="str">
        <f>VLOOKUP(N747,Status[],2,FALSE)</f>
        <v>Full-Time</v>
      </c>
      <c r="J747" s="7">
        <v>1002</v>
      </c>
      <c r="K747">
        <v>11</v>
      </c>
      <c r="L747">
        <v>2014</v>
      </c>
      <c r="M747">
        <v>6</v>
      </c>
      <c r="N747">
        <v>1</v>
      </c>
    </row>
    <row r="748" spans="1:14" x14ac:dyDescent="0.25">
      <c r="A748" t="s">
        <v>2988</v>
      </c>
      <c r="B748" t="s">
        <v>49</v>
      </c>
      <c r="C748" t="s">
        <v>50</v>
      </c>
      <c r="D748" t="str">
        <f>VLOOKUP(J748,Location[],2,FALSE)</f>
        <v>Tucson</v>
      </c>
      <c r="E748" t="str">
        <f>VLOOKUP(J748,Location[],3,FALSE)</f>
        <v> Arizona</v>
      </c>
      <c r="F748" t="str">
        <f>VLOOKUP(K748,Dept[],2,FALSE)</f>
        <v>Sales</v>
      </c>
      <c r="G748" s="11">
        <f t="shared" si="11"/>
        <v>42552</v>
      </c>
      <c r="H748" t="str">
        <f>VLOOKUP(N748,Status[],2,FALSE)</f>
        <v>Full-Time</v>
      </c>
      <c r="J748" s="7">
        <v>1033</v>
      </c>
      <c r="K748">
        <v>22</v>
      </c>
      <c r="L748">
        <v>2016</v>
      </c>
      <c r="M748">
        <v>7</v>
      </c>
      <c r="N748">
        <v>1</v>
      </c>
    </row>
    <row r="749" spans="1:14" x14ac:dyDescent="0.25">
      <c r="A749" t="s">
        <v>2989</v>
      </c>
      <c r="B749" t="s">
        <v>103</v>
      </c>
      <c r="C749" t="s">
        <v>2019</v>
      </c>
      <c r="D749" t="str">
        <f>VLOOKUP(J749,Location[],2,FALSE)</f>
        <v>Mesa</v>
      </c>
      <c r="E749" t="str">
        <f>VLOOKUP(J749,Location[],3,FALSE)</f>
        <v> Arizona</v>
      </c>
      <c r="F749" t="str">
        <f>VLOOKUP(K749,Dept[],2,FALSE)</f>
        <v>Accounting</v>
      </c>
      <c r="G749" s="11">
        <f t="shared" si="11"/>
        <v>41000</v>
      </c>
      <c r="H749" t="str">
        <f>VLOOKUP(N749,Status[],2,FALSE)</f>
        <v>Full-Time</v>
      </c>
      <c r="J749" s="7">
        <v>1036</v>
      </c>
      <c r="K749">
        <v>11</v>
      </c>
      <c r="L749">
        <v>2012</v>
      </c>
      <c r="M749">
        <v>4</v>
      </c>
      <c r="N749">
        <v>1</v>
      </c>
    </row>
    <row r="750" spans="1:14" x14ac:dyDescent="0.25">
      <c r="A750" t="s">
        <v>2990</v>
      </c>
      <c r="B750" t="s">
        <v>790</v>
      </c>
      <c r="C750" t="s">
        <v>1710</v>
      </c>
      <c r="D750" t="str">
        <f>VLOOKUP(J750,Location[],2,FALSE)</f>
        <v>Tucson</v>
      </c>
      <c r="E750" t="str">
        <f>VLOOKUP(J750,Location[],3,FALSE)</f>
        <v> Arizona</v>
      </c>
      <c r="F750" t="str">
        <f>VLOOKUP(K750,Dept[],2,FALSE)</f>
        <v>Accounting</v>
      </c>
      <c r="G750" s="11">
        <f t="shared" si="11"/>
        <v>43556</v>
      </c>
      <c r="H750" t="str">
        <f>VLOOKUP(N750,Status[],2,FALSE)</f>
        <v>Full-Time</v>
      </c>
      <c r="J750" s="7">
        <v>1033</v>
      </c>
      <c r="K750">
        <v>11</v>
      </c>
      <c r="L750">
        <v>2019</v>
      </c>
      <c r="M750">
        <v>4</v>
      </c>
      <c r="N750">
        <v>1</v>
      </c>
    </row>
    <row r="751" spans="1:14" x14ac:dyDescent="0.25">
      <c r="A751" t="s">
        <v>2991</v>
      </c>
      <c r="B751" t="s">
        <v>1953</v>
      </c>
      <c r="C751" t="s">
        <v>1007</v>
      </c>
      <c r="D751" t="str">
        <f>VLOOKUP(J751,Location[],2,FALSE)</f>
        <v>Colorado Springs</v>
      </c>
      <c r="E751" t="str">
        <f>VLOOKUP(J751,Location[],3,FALSE)</f>
        <v> Colorado</v>
      </c>
      <c r="F751" t="str">
        <f>VLOOKUP(K751,Dept[],2,FALSE)</f>
        <v>Legal</v>
      </c>
      <c r="G751" s="11">
        <f t="shared" si="11"/>
        <v>43313</v>
      </c>
      <c r="H751" t="str">
        <f>VLOOKUP(N751,Status[],2,FALSE)</f>
        <v>Full-Time</v>
      </c>
      <c r="J751" s="7">
        <v>1042</v>
      </c>
      <c r="K751">
        <v>18</v>
      </c>
      <c r="L751">
        <v>2018</v>
      </c>
      <c r="M751">
        <v>8</v>
      </c>
      <c r="N751">
        <v>1</v>
      </c>
    </row>
    <row r="752" spans="1:14" x14ac:dyDescent="0.25">
      <c r="A752" t="s">
        <v>2992</v>
      </c>
      <c r="B752" t="s">
        <v>561</v>
      </c>
      <c r="C752" t="s">
        <v>1007</v>
      </c>
      <c r="D752" t="str">
        <f>VLOOKUP(J752,Location[],2,FALSE)</f>
        <v>Virginia Beach</v>
      </c>
      <c r="E752" t="str">
        <f>VLOOKUP(J752,Location[],3,FALSE)</f>
        <v> Virginia</v>
      </c>
      <c r="F752" t="str">
        <f>VLOOKUP(K752,Dept[],2,FALSE)</f>
        <v>Sales</v>
      </c>
      <c r="G752" s="11">
        <f t="shared" si="11"/>
        <v>42826</v>
      </c>
      <c r="H752" t="str">
        <f>VLOOKUP(N752,Status[],2,FALSE)</f>
        <v>Full-Time</v>
      </c>
      <c r="J752" s="7">
        <v>1044</v>
      </c>
      <c r="K752">
        <v>22</v>
      </c>
      <c r="L752">
        <v>2017</v>
      </c>
      <c r="M752">
        <v>4</v>
      </c>
      <c r="N752">
        <v>1</v>
      </c>
    </row>
    <row r="753" spans="1:14" x14ac:dyDescent="0.25">
      <c r="A753" t="s">
        <v>2993</v>
      </c>
      <c r="B753" t="s">
        <v>5</v>
      </c>
      <c r="C753" t="s">
        <v>1007</v>
      </c>
      <c r="D753" t="str">
        <f>VLOOKUP(J753,Location[],2,FALSE)</f>
        <v>Tucson</v>
      </c>
      <c r="E753" t="str">
        <f>VLOOKUP(J753,Location[],3,FALSE)</f>
        <v> Arizona</v>
      </c>
      <c r="F753" t="str">
        <f>VLOOKUP(K753,Dept[],2,FALSE)</f>
        <v>Legal</v>
      </c>
      <c r="G753" s="11">
        <f t="shared" si="11"/>
        <v>42186</v>
      </c>
      <c r="H753" t="str">
        <f>VLOOKUP(N753,Status[],2,FALSE)</f>
        <v>Full-Time</v>
      </c>
      <c r="J753" s="7">
        <v>1033</v>
      </c>
      <c r="K753">
        <v>18</v>
      </c>
      <c r="L753">
        <v>2015</v>
      </c>
      <c r="M753">
        <v>7</v>
      </c>
      <c r="N753">
        <v>1</v>
      </c>
    </row>
    <row r="754" spans="1:14" x14ac:dyDescent="0.25">
      <c r="A754" t="s">
        <v>2994</v>
      </c>
      <c r="B754" t="s">
        <v>771</v>
      </c>
      <c r="C754" t="s">
        <v>772</v>
      </c>
      <c r="D754" t="str">
        <f>VLOOKUP(J754,Location[],2,FALSE)</f>
        <v>Louisville</v>
      </c>
      <c r="E754" t="str">
        <f>VLOOKUP(J754,Location[],3,FALSE)</f>
        <v> Kentucky</v>
      </c>
      <c r="F754" t="str">
        <f>VLOOKUP(K754,Dept[],2,FALSE)</f>
        <v>Administration</v>
      </c>
      <c r="G754" s="11">
        <f t="shared" si="11"/>
        <v>43556</v>
      </c>
      <c r="H754" t="str">
        <f>VLOOKUP(N754,Status[],2,FALSE)</f>
        <v>Full-Time</v>
      </c>
      <c r="J754" s="7">
        <v>1029</v>
      </c>
      <c r="K754">
        <v>12</v>
      </c>
      <c r="L754">
        <v>2019</v>
      </c>
      <c r="M754">
        <v>4</v>
      </c>
      <c r="N754">
        <v>1</v>
      </c>
    </row>
    <row r="755" spans="1:14" x14ac:dyDescent="0.25">
      <c r="A755" t="s">
        <v>2995</v>
      </c>
      <c r="B755" t="s">
        <v>1117</v>
      </c>
      <c r="C755" t="s">
        <v>1596</v>
      </c>
      <c r="D755" t="str">
        <f>VLOOKUP(J755,Location[],2,FALSE)</f>
        <v>San Antonio</v>
      </c>
      <c r="E755" t="str">
        <f>VLOOKUP(J755,Location[],3,FALSE)</f>
        <v> Texas</v>
      </c>
      <c r="F755" t="str">
        <f>VLOOKUP(K755,Dept[],2,FALSE)</f>
        <v>Marketing</v>
      </c>
      <c r="G755" s="11">
        <f t="shared" si="11"/>
        <v>43739</v>
      </c>
      <c r="H755" t="str">
        <f>VLOOKUP(N755,Status[],2,FALSE)</f>
        <v>Part-Time</v>
      </c>
      <c r="J755" s="7">
        <v>1007</v>
      </c>
      <c r="K755">
        <v>19</v>
      </c>
      <c r="L755">
        <v>2019</v>
      </c>
      <c r="M755">
        <v>10</v>
      </c>
      <c r="N755">
        <v>0</v>
      </c>
    </row>
    <row r="756" spans="1:14" x14ac:dyDescent="0.25">
      <c r="A756" t="s">
        <v>2996</v>
      </c>
      <c r="B756" t="s">
        <v>222</v>
      </c>
      <c r="C756" t="s">
        <v>1596</v>
      </c>
      <c r="D756" t="str">
        <f>VLOOKUP(J756,Location[],2,FALSE)</f>
        <v>Indianapolis</v>
      </c>
      <c r="E756" t="str">
        <f>VLOOKUP(J756,Location[],3,FALSE)</f>
        <v> Indiana</v>
      </c>
      <c r="F756" t="str">
        <f>VLOOKUP(K756,Dept[],2,FALSE)</f>
        <v>Administration</v>
      </c>
      <c r="G756" s="11">
        <f t="shared" si="11"/>
        <v>43617</v>
      </c>
      <c r="H756" t="str">
        <f>VLOOKUP(N756,Status[],2,FALSE)</f>
        <v>Part-Time</v>
      </c>
      <c r="J756" s="7">
        <v>1016</v>
      </c>
      <c r="K756">
        <v>12</v>
      </c>
      <c r="L756">
        <v>2019</v>
      </c>
      <c r="M756">
        <v>6</v>
      </c>
      <c r="N756">
        <v>0</v>
      </c>
    </row>
    <row r="757" spans="1:14" x14ac:dyDescent="0.25">
      <c r="A757" t="s">
        <v>2997</v>
      </c>
      <c r="B757" t="s">
        <v>13</v>
      </c>
      <c r="C757" t="s">
        <v>14</v>
      </c>
      <c r="D757" t="str">
        <f>VLOOKUP(J757,Location[],2,FALSE)</f>
        <v>Austin</v>
      </c>
      <c r="E757" t="str">
        <f>VLOOKUP(J757,Location[],3,FALSE)</f>
        <v> Texas</v>
      </c>
      <c r="F757" t="str">
        <f>VLOOKUP(K757,Dept[],2,FALSE)</f>
        <v>Legal</v>
      </c>
      <c r="G757" s="11">
        <f t="shared" si="11"/>
        <v>40634</v>
      </c>
      <c r="H757" t="str">
        <f>VLOOKUP(N757,Status[],2,FALSE)</f>
        <v>Full-Time</v>
      </c>
      <c r="J757" s="7">
        <v>1011</v>
      </c>
      <c r="K757">
        <v>18</v>
      </c>
      <c r="L757">
        <v>2011</v>
      </c>
      <c r="M757">
        <v>4</v>
      </c>
      <c r="N757">
        <v>1</v>
      </c>
    </row>
    <row r="758" spans="1:14" x14ac:dyDescent="0.25">
      <c r="A758" t="s">
        <v>2998</v>
      </c>
      <c r="B758" t="s">
        <v>1428</v>
      </c>
      <c r="C758" t="s">
        <v>1538</v>
      </c>
      <c r="D758" t="str">
        <f>VLOOKUP(J758,Location[],2,FALSE)</f>
        <v>Lubbock</v>
      </c>
      <c r="E758" t="str">
        <f>VLOOKUP(J758,Location[],3,FALSE)</f>
        <v> Texas</v>
      </c>
      <c r="F758" t="str">
        <f>VLOOKUP(K758,Dept[],2,FALSE)</f>
        <v>Sales</v>
      </c>
      <c r="G758" s="11">
        <f t="shared" si="11"/>
        <v>43191</v>
      </c>
      <c r="H758" t="str">
        <f>VLOOKUP(N758,Status[],2,FALSE)</f>
        <v>Full-Time</v>
      </c>
      <c r="J758" s="7">
        <v>1083</v>
      </c>
      <c r="K758">
        <v>22</v>
      </c>
      <c r="L758">
        <v>2018</v>
      </c>
      <c r="M758">
        <v>4</v>
      </c>
      <c r="N758">
        <v>1</v>
      </c>
    </row>
    <row r="759" spans="1:14" x14ac:dyDescent="0.25">
      <c r="A759" t="s">
        <v>2999</v>
      </c>
      <c r="B759" t="s">
        <v>988</v>
      </c>
      <c r="C759" t="s">
        <v>1869</v>
      </c>
      <c r="D759" t="str">
        <f>VLOOKUP(J759,Location[],2,FALSE)</f>
        <v>Cleveland</v>
      </c>
      <c r="E759" t="str">
        <f>VLOOKUP(J759,Location[],3,FALSE)</f>
        <v> Ohio</v>
      </c>
      <c r="F759" t="str">
        <f>VLOOKUP(K759,Dept[],2,FALSE)</f>
        <v>Sales</v>
      </c>
      <c r="G759" s="11">
        <f t="shared" si="11"/>
        <v>41153</v>
      </c>
      <c r="H759" t="str">
        <f>VLOOKUP(N759,Status[],2,FALSE)</f>
        <v>Full-Time</v>
      </c>
      <c r="J759" s="7">
        <v>1051</v>
      </c>
      <c r="K759">
        <v>22</v>
      </c>
      <c r="L759">
        <v>2012</v>
      </c>
      <c r="M759">
        <v>9</v>
      </c>
      <c r="N759">
        <v>1</v>
      </c>
    </row>
    <row r="760" spans="1:14" x14ac:dyDescent="0.25">
      <c r="A760" t="s">
        <v>3000</v>
      </c>
      <c r="B760" t="s">
        <v>1656</v>
      </c>
      <c r="C760" t="s">
        <v>1415</v>
      </c>
      <c r="D760" t="str">
        <f>VLOOKUP(J760,Location[],2,FALSE)</f>
        <v>Kansas City</v>
      </c>
      <c r="E760" t="str">
        <f>VLOOKUP(J760,Location[],3,FALSE)</f>
        <v> Missouri</v>
      </c>
      <c r="F760" t="str">
        <f>VLOOKUP(K760,Dept[],2,FALSE)</f>
        <v>Customer Support</v>
      </c>
      <c r="G760" s="11">
        <f t="shared" si="11"/>
        <v>43800</v>
      </c>
      <c r="H760" t="str">
        <f>VLOOKUP(N760,Status[],2,FALSE)</f>
        <v>Full-Time</v>
      </c>
      <c r="J760" s="7">
        <v>1037</v>
      </c>
      <c r="K760">
        <v>14</v>
      </c>
      <c r="L760">
        <v>2019</v>
      </c>
      <c r="M760">
        <v>12</v>
      </c>
      <c r="N760">
        <v>1</v>
      </c>
    </row>
    <row r="761" spans="1:14" x14ac:dyDescent="0.25">
      <c r="A761" t="s">
        <v>3001</v>
      </c>
      <c r="B761" t="s">
        <v>75</v>
      </c>
      <c r="C761" t="s">
        <v>1415</v>
      </c>
      <c r="D761" t="str">
        <f>VLOOKUP(J761,Location[],2,FALSE)</f>
        <v>Chicago</v>
      </c>
      <c r="E761" t="str">
        <f>VLOOKUP(J761,Location[],3,FALSE)</f>
        <v> Illinois</v>
      </c>
      <c r="F761" t="str">
        <f>VLOOKUP(K761,Dept[],2,FALSE)</f>
        <v>Finance</v>
      </c>
      <c r="G761" s="11">
        <f t="shared" si="11"/>
        <v>43983</v>
      </c>
      <c r="H761" t="str">
        <f>VLOOKUP(N761,Status[],2,FALSE)</f>
        <v>Full-Time</v>
      </c>
      <c r="J761" s="7">
        <v>1003</v>
      </c>
      <c r="K761">
        <v>15</v>
      </c>
      <c r="L761">
        <v>2020</v>
      </c>
      <c r="M761">
        <v>6</v>
      </c>
      <c r="N761">
        <v>1</v>
      </c>
    </row>
    <row r="762" spans="1:14" x14ac:dyDescent="0.25">
      <c r="A762" t="s">
        <v>3002</v>
      </c>
      <c r="B762" t="s">
        <v>35</v>
      </c>
      <c r="C762" t="s">
        <v>36</v>
      </c>
      <c r="D762" t="str">
        <f>VLOOKUP(J762,Location[],2,FALSE)</f>
        <v>San Francisco</v>
      </c>
      <c r="E762" t="str">
        <f>VLOOKUP(J762,Location[],3,FALSE)</f>
        <v> California</v>
      </c>
      <c r="F762" t="str">
        <f>VLOOKUP(K762,Dept[],2,FALSE)</f>
        <v>IT</v>
      </c>
      <c r="G762" s="11">
        <f t="shared" si="11"/>
        <v>41244</v>
      </c>
      <c r="H762" t="str">
        <f>VLOOKUP(N762,Status[],2,FALSE)</f>
        <v>Full-Time</v>
      </c>
      <c r="J762" s="7">
        <v>1013</v>
      </c>
      <c r="K762">
        <v>17</v>
      </c>
      <c r="L762">
        <v>2012</v>
      </c>
      <c r="M762">
        <v>12</v>
      </c>
      <c r="N762">
        <v>1</v>
      </c>
    </row>
    <row r="763" spans="1:14" x14ac:dyDescent="0.25">
      <c r="A763" t="s">
        <v>3003</v>
      </c>
      <c r="B763" t="s">
        <v>534</v>
      </c>
      <c r="C763" t="s">
        <v>535</v>
      </c>
      <c r="D763" t="str">
        <f>VLOOKUP(J763,Location[],2,FALSE)</f>
        <v>San Diego</v>
      </c>
      <c r="E763" t="str">
        <f>VLOOKUP(J763,Location[],3,FALSE)</f>
        <v> California</v>
      </c>
      <c r="F763" t="str">
        <f>VLOOKUP(K763,Dept[],2,FALSE)</f>
        <v>Legal</v>
      </c>
      <c r="G763" s="11">
        <f t="shared" si="11"/>
        <v>41487</v>
      </c>
      <c r="H763" t="str">
        <f>VLOOKUP(N763,Status[],2,FALSE)</f>
        <v>Full-Time</v>
      </c>
      <c r="J763" s="7">
        <v>1008</v>
      </c>
      <c r="K763">
        <v>18</v>
      </c>
      <c r="L763">
        <v>2013</v>
      </c>
      <c r="M763">
        <v>8</v>
      </c>
      <c r="N763">
        <v>1</v>
      </c>
    </row>
    <row r="764" spans="1:14" x14ac:dyDescent="0.25">
      <c r="A764" t="s">
        <v>3004</v>
      </c>
      <c r="B764" t="s">
        <v>35</v>
      </c>
      <c r="C764" t="s">
        <v>588</v>
      </c>
      <c r="D764" t="str">
        <f>VLOOKUP(J764,Location[],2,FALSE)</f>
        <v>Anaheim</v>
      </c>
      <c r="E764" t="str">
        <f>VLOOKUP(J764,Location[],3,FALSE)</f>
        <v> California</v>
      </c>
      <c r="F764" t="str">
        <f>VLOOKUP(K764,Dept[],2,FALSE)</f>
        <v>R&amp;D</v>
      </c>
      <c r="G764" s="11">
        <f t="shared" si="11"/>
        <v>43678</v>
      </c>
      <c r="H764" t="str">
        <f>VLOOKUP(N764,Status[],2,FALSE)</f>
        <v>Full-Time</v>
      </c>
      <c r="J764" s="7">
        <v>1055</v>
      </c>
      <c r="K764">
        <v>21</v>
      </c>
      <c r="L764">
        <v>2019</v>
      </c>
      <c r="M764">
        <v>8</v>
      </c>
      <c r="N764">
        <v>1</v>
      </c>
    </row>
    <row r="765" spans="1:14" x14ac:dyDescent="0.25">
      <c r="A765" t="s">
        <v>3005</v>
      </c>
      <c r="B765" t="s">
        <v>587</v>
      </c>
      <c r="C765" t="s">
        <v>588</v>
      </c>
      <c r="D765" t="str">
        <f>VLOOKUP(J765,Location[],2,FALSE)</f>
        <v>Dallas</v>
      </c>
      <c r="E765" t="str">
        <f>VLOOKUP(J765,Location[],3,FALSE)</f>
        <v> Texas</v>
      </c>
      <c r="F765" t="str">
        <f>VLOOKUP(K765,Dept[],2,FALSE)</f>
        <v>Customer Support</v>
      </c>
      <c r="G765" s="11">
        <f t="shared" si="11"/>
        <v>42522</v>
      </c>
      <c r="H765" t="str">
        <f>VLOOKUP(N765,Status[],2,FALSE)</f>
        <v>Full-Time</v>
      </c>
      <c r="J765" s="7">
        <v>1009</v>
      </c>
      <c r="K765">
        <v>14</v>
      </c>
      <c r="L765">
        <v>2016</v>
      </c>
      <c r="M765">
        <v>6</v>
      </c>
      <c r="N765">
        <v>1</v>
      </c>
    </row>
    <row r="766" spans="1:14" x14ac:dyDescent="0.25">
      <c r="A766" t="s">
        <v>3006</v>
      </c>
      <c r="B766" t="s">
        <v>339</v>
      </c>
      <c r="C766" t="s">
        <v>588</v>
      </c>
      <c r="D766" t="str">
        <f>VLOOKUP(J766,Location[],2,FALSE)</f>
        <v>Memphis</v>
      </c>
      <c r="E766" t="str">
        <f>VLOOKUP(J766,Location[],3,FALSE)</f>
        <v> Tennessee</v>
      </c>
      <c r="F766" t="str">
        <f>VLOOKUP(K766,Dept[],2,FALSE)</f>
        <v>Accounting</v>
      </c>
      <c r="G766" s="11">
        <f t="shared" si="11"/>
        <v>42278</v>
      </c>
      <c r="H766" t="str">
        <f>VLOOKUP(N766,Status[],2,FALSE)</f>
        <v>Full-Time</v>
      </c>
      <c r="J766" s="7">
        <v>1025</v>
      </c>
      <c r="K766">
        <v>11</v>
      </c>
      <c r="L766">
        <v>2015</v>
      </c>
      <c r="M766">
        <v>10</v>
      </c>
      <c r="N766">
        <v>1</v>
      </c>
    </row>
    <row r="767" spans="1:14" x14ac:dyDescent="0.25">
      <c r="A767" t="s">
        <v>3007</v>
      </c>
      <c r="B767" t="s">
        <v>235</v>
      </c>
      <c r="C767" t="s">
        <v>588</v>
      </c>
      <c r="D767" t="str">
        <f>VLOOKUP(J767,Location[],2,FALSE)</f>
        <v>St. Petersburg</v>
      </c>
      <c r="E767" t="str">
        <f>VLOOKUP(J767,Location[],3,FALSE)</f>
        <v> Florida</v>
      </c>
      <c r="F767" t="str">
        <f>VLOOKUP(K767,Dept[],2,FALSE)</f>
        <v>Customer Support</v>
      </c>
      <c r="G767" s="11">
        <f t="shared" si="11"/>
        <v>41913</v>
      </c>
      <c r="H767" t="str">
        <f>VLOOKUP(N767,Status[],2,FALSE)</f>
        <v>Full-Time</v>
      </c>
      <c r="J767" s="7">
        <v>1079</v>
      </c>
      <c r="K767">
        <v>14</v>
      </c>
      <c r="L767">
        <v>2014</v>
      </c>
      <c r="M767">
        <v>10</v>
      </c>
      <c r="N767">
        <v>1</v>
      </c>
    </row>
    <row r="768" spans="1:14" x14ac:dyDescent="0.25">
      <c r="A768" t="s">
        <v>3008</v>
      </c>
      <c r="B768" t="s">
        <v>262</v>
      </c>
      <c r="C768" t="s">
        <v>263</v>
      </c>
      <c r="D768" t="str">
        <f>VLOOKUP(J768,Location[],2,FALSE)</f>
        <v>New York City</v>
      </c>
      <c r="E768" t="str">
        <f>VLOOKUP(J768,Location[],3,FALSE)</f>
        <v> New York</v>
      </c>
      <c r="F768" t="str">
        <f>VLOOKUP(K768,Dept[],2,FALSE)</f>
        <v>Finance</v>
      </c>
      <c r="G768" s="11">
        <f t="shared" si="11"/>
        <v>41944</v>
      </c>
      <c r="H768" t="str">
        <f>VLOOKUP(N768,Status[],2,FALSE)</f>
        <v>Full-Time</v>
      </c>
      <c r="J768" s="7">
        <v>1001</v>
      </c>
      <c r="K768">
        <v>15</v>
      </c>
      <c r="L768">
        <v>2014</v>
      </c>
      <c r="M768">
        <v>11</v>
      </c>
      <c r="N768">
        <v>1</v>
      </c>
    </row>
    <row r="769" spans="1:14" x14ac:dyDescent="0.25">
      <c r="A769" t="s">
        <v>3009</v>
      </c>
      <c r="B769" t="s">
        <v>1307</v>
      </c>
      <c r="C769" t="s">
        <v>1308</v>
      </c>
      <c r="D769" t="str">
        <f>VLOOKUP(J769,Location[],2,FALSE)</f>
        <v>Washington, D.C.</v>
      </c>
      <c r="E769" t="str">
        <f>VLOOKUP(J769,Location[],3,FALSE)</f>
        <v> District of Columbia</v>
      </c>
      <c r="F769" t="str">
        <f>VLOOKUP(K769,Dept[],2,FALSE)</f>
        <v>Assessment</v>
      </c>
      <c r="G769" s="11">
        <f t="shared" si="11"/>
        <v>44774</v>
      </c>
      <c r="H769" t="str">
        <f>VLOOKUP(N769,Status[],2,FALSE)</f>
        <v>Full-Time</v>
      </c>
      <c r="J769" s="7">
        <v>1020</v>
      </c>
      <c r="K769">
        <v>13</v>
      </c>
      <c r="L769">
        <v>2022</v>
      </c>
      <c r="M769">
        <v>8</v>
      </c>
      <c r="N769">
        <v>1</v>
      </c>
    </row>
    <row r="770" spans="1:14" x14ac:dyDescent="0.25">
      <c r="A770" t="s">
        <v>3010</v>
      </c>
      <c r="B770" t="s">
        <v>1525</v>
      </c>
      <c r="C770" t="s">
        <v>1526</v>
      </c>
      <c r="D770" t="str">
        <f>VLOOKUP(J770,Location[],2,FALSE)</f>
        <v>Virginia Beach</v>
      </c>
      <c r="E770" t="str">
        <f>VLOOKUP(J770,Location[],3,FALSE)</f>
        <v> Virginia</v>
      </c>
      <c r="F770" t="str">
        <f>VLOOKUP(K770,Dept[],2,FALSE)</f>
        <v>Administration</v>
      </c>
      <c r="G770" s="11">
        <f t="shared" si="11"/>
        <v>43617</v>
      </c>
      <c r="H770" t="str">
        <f>VLOOKUP(N770,Status[],2,FALSE)</f>
        <v>Full-Time</v>
      </c>
      <c r="J770" s="7">
        <v>1044</v>
      </c>
      <c r="K770">
        <v>12</v>
      </c>
      <c r="L770">
        <v>2019</v>
      </c>
      <c r="M770">
        <v>6</v>
      </c>
      <c r="N770">
        <v>1</v>
      </c>
    </row>
    <row r="771" spans="1:14" x14ac:dyDescent="0.25">
      <c r="A771" t="s">
        <v>3011</v>
      </c>
      <c r="B771" t="s">
        <v>580</v>
      </c>
      <c r="C771" t="s">
        <v>1376</v>
      </c>
      <c r="D771" t="str">
        <f>VLOOKUP(J771,Location[],2,FALSE)</f>
        <v>Wichita</v>
      </c>
      <c r="E771" t="str">
        <f>VLOOKUP(J771,Location[],3,FALSE)</f>
        <v> Kansas</v>
      </c>
      <c r="F771" t="str">
        <f>VLOOKUP(K771,Dept[],2,FALSE)</f>
        <v>Legal</v>
      </c>
      <c r="G771" s="11">
        <f t="shared" si="11"/>
        <v>40848</v>
      </c>
      <c r="H771" t="str">
        <f>VLOOKUP(N771,Status[],2,FALSE)</f>
        <v>Full-Time</v>
      </c>
      <c r="J771" s="7">
        <v>1050</v>
      </c>
      <c r="K771">
        <v>18</v>
      </c>
      <c r="L771">
        <v>2011</v>
      </c>
      <c r="M771">
        <v>11</v>
      </c>
      <c r="N771">
        <v>1</v>
      </c>
    </row>
    <row r="772" spans="1:14" x14ac:dyDescent="0.25">
      <c r="A772" t="s">
        <v>3012</v>
      </c>
      <c r="B772" t="s">
        <v>569</v>
      </c>
      <c r="C772" t="s">
        <v>570</v>
      </c>
      <c r="D772" t="str">
        <f>VLOOKUP(J772,Location[],2,FALSE)</f>
        <v>Houston</v>
      </c>
      <c r="E772" t="str">
        <f>VLOOKUP(J772,Location[],3,FALSE)</f>
        <v> Texas</v>
      </c>
      <c r="F772" t="str">
        <f>VLOOKUP(K772,Dept[],2,FALSE)</f>
        <v>Sales</v>
      </c>
      <c r="G772" s="11">
        <f t="shared" si="11"/>
        <v>40603</v>
      </c>
      <c r="H772" t="str">
        <f>VLOOKUP(N772,Status[],2,FALSE)</f>
        <v>Full-Time</v>
      </c>
      <c r="J772" s="7">
        <v>1004</v>
      </c>
      <c r="K772">
        <v>22</v>
      </c>
      <c r="L772">
        <v>2011</v>
      </c>
      <c r="M772">
        <v>3</v>
      </c>
      <c r="N772">
        <v>1</v>
      </c>
    </row>
    <row r="773" spans="1:14" x14ac:dyDescent="0.25">
      <c r="A773" t="s">
        <v>3013</v>
      </c>
      <c r="B773" t="s">
        <v>457</v>
      </c>
      <c r="C773" t="s">
        <v>458</v>
      </c>
      <c r="D773" t="str">
        <f>VLOOKUP(J773,Location[],2,FALSE)</f>
        <v>Denver</v>
      </c>
      <c r="E773" t="str">
        <f>VLOOKUP(J773,Location[],3,FALSE)</f>
        <v> Colorado</v>
      </c>
      <c r="F773" t="str">
        <f>VLOOKUP(K773,Dept[],2,FALSE)</f>
        <v>Administration</v>
      </c>
      <c r="G773" s="11">
        <f t="shared" ref="G773:G836" si="12">DATE(L773,M773,1)</f>
        <v>40725</v>
      </c>
      <c r="H773" t="str">
        <f>VLOOKUP(N773,Status[],2,FALSE)</f>
        <v>Full-Time</v>
      </c>
      <c r="J773" s="7">
        <v>1019</v>
      </c>
      <c r="K773">
        <v>12</v>
      </c>
      <c r="L773">
        <v>2011</v>
      </c>
      <c r="M773">
        <v>7</v>
      </c>
      <c r="N773">
        <v>1</v>
      </c>
    </row>
    <row r="774" spans="1:14" x14ac:dyDescent="0.25">
      <c r="A774" t="s">
        <v>3014</v>
      </c>
      <c r="B774" t="s">
        <v>35</v>
      </c>
      <c r="C774" t="s">
        <v>765</v>
      </c>
      <c r="D774" t="str">
        <f>VLOOKUP(J774,Location[],2,FALSE)</f>
        <v>Los Angeles</v>
      </c>
      <c r="E774" t="str">
        <f>VLOOKUP(J774,Location[],3,FALSE)</f>
        <v> California</v>
      </c>
      <c r="F774" t="str">
        <f>VLOOKUP(K774,Dept[],2,FALSE)</f>
        <v>Administration</v>
      </c>
      <c r="G774" s="11">
        <f t="shared" si="12"/>
        <v>41395</v>
      </c>
      <c r="H774" t="str">
        <f>VLOOKUP(N774,Status[],2,FALSE)</f>
        <v>Part-Time</v>
      </c>
      <c r="J774" s="7">
        <v>1002</v>
      </c>
      <c r="K774">
        <v>12</v>
      </c>
      <c r="L774">
        <v>2013</v>
      </c>
      <c r="M774">
        <v>5</v>
      </c>
      <c r="N774">
        <v>0</v>
      </c>
    </row>
    <row r="775" spans="1:14" x14ac:dyDescent="0.25">
      <c r="A775" t="s">
        <v>3015</v>
      </c>
      <c r="B775" t="s">
        <v>1145</v>
      </c>
      <c r="C775" t="s">
        <v>765</v>
      </c>
      <c r="D775" t="str">
        <f>VLOOKUP(J775,Location[],2,FALSE)</f>
        <v>Miami</v>
      </c>
      <c r="E775" t="str">
        <f>VLOOKUP(J775,Location[],3,FALSE)</f>
        <v> Florida</v>
      </c>
      <c r="F775" t="str">
        <f>VLOOKUP(K775,Dept[],2,FALSE)</f>
        <v>Legal</v>
      </c>
      <c r="G775" s="11">
        <f t="shared" si="12"/>
        <v>41671</v>
      </c>
      <c r="H775" t="str">
        <f>VLOOKUP(N775,Status[],2,FALSE)</f>
        <v>Full-Time</v>
      </c>
      <c r="J775" s="7">
        <v>1043</v>
      </c>
      <c r="K775">
        <v>18</v>
      </c>
      <c r="L775">
        <v>2014</v>
      </c>
      <c r="M775">
        <v>2</v>
      </c>
      <c r="N775">
        <v>1</v>
      </c>
    </row>
    <row r="776" spans="1:14" x14ac:dyDescent="0.25">
      <c r="A776" t="s">
        <v>3016</v>
      </c>
      <c r="B776" t="s">
        <v>256</v>
      </c>
      <c r="C776" t="s">
        <v>765</v>
      </c>
      <c r="D776" t="str">
        <f>VLOOKUP(J776,Location[],2,FALSE)</f>
        <v>Las Vegas</v>
      </c>
      <c r="E776" t="str">
        <f>VLOOKUP(J776,Location[],3,FALSE)</f>
        <v> Nevada</v>
      </c>
      <c r="F776" t="str">
        <f>VLOOKUP(K776,Dept[],2,FALSE)</f>
        <v>Human Resources</v>
      </c>
      <c r="G776" s="11">
        <f t="shared" si="12"/>
        <v>41000</v>
      </c>
      <c r="H776" t="str">
        <f>VLOOKUP(N776,Status[],2,FALSE)</f>
        <v>Full-Time</v>
      </c>
      <c r="J776" s="7">
        <v>1028</v>
      </c>
      <c r="K776">
        <v>16</v>
      </c>
      <c r="L776">
        <v>2012</v>
      </c>
      <c r="M776">
        <v>4</v>
      </c>
      <c r="N776">
        <v>1</v>
      </c>
    </row>
    <row r="777" spans="1:14" x14ac:dyDescent="0.25">
      <c r="A777" t="s">
        <v>3017</v>
      </c>
      <c r="B777" t="s">
        <v>429</v>
      </c>
      <c r="C777" t="s">
        <v>1839</v>
      </c>
      <c r="D777" t="str">
        <f>VLOOKUP(J777,Location[],2,FALSE)</f>
        <v>Saint Paul</v>
      </c>
      <c r="E777" t="str">
        <f>VLOOKUP(J777,Location[],3,FALSE)</f>
        <v> Minnesota</v>
      </c>
      <c r="F777" t="str">
        <f>VLOOKUP(K777,Dept[],2,FALSE)</f>
        <v>Marketing</v>
      </c>
      <c r="G777" s="11">
        <f t="shared" si="12"/>
        <v>43497</v>
      </c>
      <c r="H777" t="str">
        <f>VLOOKUP(N777,Status[],2,FALSE)</f>
        <v>Full-Time</v>
      </c>
      <c r="J777" s="7">
        <v>1063</v>
      </c>
      <c r="K777">
        <v>19</v>
      </c>
      <c r="L777">
        <v>2019</v>
      </c>
      <c r="M777">
        <v>2</v>
      </c>
      <c r="N777">
        <v>1</v>
      </c>
    </row>
    <row r="778" spans="1:14" x14ac:dyDescent="0.25">
      <c r="A778" t="s">
        <v>3018</v>
      </c>
      <c r="B778" t="s">
        <v>354</v>
      </c>
      <c r="C778" t="s">
        <v>844</v>
      </c>
      <c r="D778" t="str">
        <f>VLOOKUP(J778,Location[],2,FALSE)</f>
        <v>Philadelphia</v>
      </c>
      <c r="E778" t="str">
        <f>VLOOKUP(J778,Location[],3,FALSE)</f>
        <v> Pennsylvania</v>
      </c>
      <c r="F778" t="str">
        <f>VLOOKUP(K778,Dept[],2,FALSE)</f>
        <v>Assessment</v>
      </c>
      <c r="G778" s="11">
        <f t="shared" si="12"/>
        <v>42826</v>
      </c>
      <c r="H778" t="str">
        <f>VLOOKUP(N778,Status[],2,FALSE)</f>
        <v>Full-Time</v>
      </c>
      <c r="J778" s="7">
        <v>1006</v>
      </c>
      <c r="K778">
        <v>13</v>
      </c>
      <c r="L778">
        <v>2017</v>
      </c>
      <c r="M778">
        <v>4</v>
      </c>
      <c r="N778">
        <v>1</v>
      </c>
    </row>
    <row r="779" spans="1:14" x14ac:dyDescent="0.25">
      <c r="A779" t="s">
        <v>2831</v>
      </c>
      <c r="B779" t="s">
        <v>604</v>
      </c>
      <c r="C779" t="s">
        <v>605</v>
      </c>
      <c r="D779" t="str">
        <f>VLOOKUP(J779,Location[],2,FALSE)</f>
        <v>Los Angeles</v>
      </c>
      <c r="E779" t="str">
        <f>VLOOKUP(J779,Location[],3,FALSE)</f>
        <v> California</v>
      </c>
      <c r="F779" t="str">
        <f>VLOOKUP(K779,Dept[],2,FALSE)</f>
        <v>Customer Support</v>
      </c>
      <c r="G779" s="11">
        <f t="shared" si="12"/>
        <v>44866</v>
      </c>
      <c r="H779" t="str">
        <f>VLOOKUP(N779,Status[],2,FALSE)</f>
        <v>Full-Time</v>
      </c>
      <c r="J779" s="7">
        <v>1002</v>
      </c>
      <c r="K779">
        <v>14</v>
      </c>
      <c r="L779">
        <v>2022</v>
      </c>
      <c r="M779">
        <v>11</v>
      </c>
      <c r="N779">
        <v>1</v>
      </c>
    </row>
    <row r="780" spans="1:14" x14ac:dyDescent="0.25">
      <c r="A780" t="s">
        <v>3019</v>
      </c>
      <c r="B780" t="s">
        <v>13</v>
      </c>
      <c r="C780" t="s">
        <v>605</v>
      </c>
      <c r="D780" t="str">
        <f>VLOOKUP(J780,Location[],2,FALSE)</f>
        <v>San Diego</v>
      </c>
      <c r="E780" t="str">
        <f>VLOOKUP(J780,Location[],3,FALSE)</f>
        <v> California</v>
      </c>
      <c r="F780" t="str">
        <f>VLOOKUP(K780,Dept[],2,FALSE)</f>
        <v>Sales</v>
      </c>
      <c r="G780" s="11">
        <f t="shared" si="12"/>
        <v>41395</v>
      </c>
      <c r="H780" t="str">
        <f>VLOOKUP(N780,Status[],2,FALSE)</f>
        <v>Full-Time</v>
      </c>
      <c r="J780" s="7">
        <v>1008</v>
      </c>
      <c r="K780">
        <v>22</v>
      </c>
      <c r="L780">
        <v>2013</v>
      </c>
      <c r="M780">
        <v>5</v>
      </c>
      <c r="N780">
        <v>1</v>
      </c>
    </row>
    <row r="781" spans="1:14" x14ac:dyDescent="0.25">
      <c r="A781" t="s">
        <v>3020</v>
      </c>
      <c r="B781" t="s">
        <v>188</v>
      </c>
      <c r="C781" t="s">
        <v>364</v>
      </c>
      <c r="D781" t="str">
        <f>VLOOKUP(J781,Location[],2,FALSE)</f>
        <v>Milwaukee</v>
      </c>
      <c r="E781" t="str">
        <f>VLOOKUP(J781,Location[],3,FALSE)</f>
        <v> Wisconsin</v>
      </c>
      <c r="F781" t="str">
        <f>VLOOKUP(K781,Dept[],2,FALSE)</f>
        <v>Assessment</v>
      </c>
      <c r="G781" s="11">
        <f t="shared" si="12"/>
        <v>42491</v>
      </c>
      <c r="H781" t="str">
        <f>VLOOKUP(N781,Status[],2,FALSE)</f>
        <v>Full-Time</v>
      </c>
      <c r="J781" s="7">
        <v>1031</v>
      </c>
      <c r="K781">
        <v>13</v>
      </c>
      <c r="L781">
        <v>2016</v>
      </c>
      <c r="M781">
        <v>5</v>
      </c>
      <c r="N781">
        <v>1</v>
      </c>
    </row>
    <row r="782" spans="1:14" x14ac:dyDescent="0.25">
      <c r="A782" t="s">
        <v>3021</v>
      </c>
      <c r="B782" t="s">
        <v>65</v>
      </c>
      <c r="C782" t="s">
        <v>66</v>
      </c>
      <c r="D782" t="str">
        <f>VLOOKUP(J782,Location[],2,FALSE)</f>
        <v>Wichita</v>
      </c>
      <c r="E782" t="str">
        <f>VLOOKUP(J782,Location[],3,FALSE)</f>
        <v> Kansas</v>
      </c>
      <c r="F782" t="str">
        <f>VLOOKUP(K782,Dept[],2,FALSE)</f>
        <v>Legal</v>
      </c>
      <c r="G782" s="11">
        <f t="shared" si="12"/>
        <v>40940</v>
      </c>
      <c r="H782" t="str">
        <f>VLOOKUP(N782,Status[],2,FALSE)</f>
        <v>Full-Time</v>
      </c>
      <c r="J782" s="7">
        <v>1050</v>
      </c>
      <c r="K782">
        <v>18</v>
      </c>
      <c r="L782">
        <v>2012</v>
      </c>
      <c r="M782">
        <v>2</v>
      </c>
      <c r="N782">
        <v>1</v>
      </c>
    </row>
    <row r="783" spans="1:14" x14ac:dyDescent="0.25">
      <c r="A783" t="s">
        <v>3022</v>
      </c>
      <c r="B783" t="s">
        <v>552</v>
      </c>
      <c r="C783" t="s">
        <v>66</v>
      </c>
      <c r="D783" t="str">
        <f>VLOOKUP(J783,Location[],2,FALSE)</f>
        <v>Saint Paul</v>
      </c>
      <c r="E783" t="str">
        <f>VLOOKUP(J783,Location[],3,FALSE)</f>
        <v> Minnesota</v>
      </c>
      <c r="F783" t="str">
        <f>VLOOKUP(K783,Dept[],2,FALSE)</f>
        <v>Accounting</v>
      </c>
      <c r="G783" s="11">
        <f t="shared" si="12"/>
        <v>42856</v>
      </c>
      <c r="H783" t="str">
        <f>VLOOKUP(N783,Status[],2,FALSE)</f>
        <v>Full-Time</v>
      </c>
      <c r="J783" s="7">
        <v>1063</v>
      </c>
      <c r="K783">
        <v>11</v>
      </c>
      <c r="L783">
        <v>2017</v>
      </c>
      <c r="M783">
        <v>5</v>
      </c>
      <c r="N783">
        <v>1</v>
      </c>
    </row>
    <row r="784" spans="1:14" x14ac:dyDescent="0.25">
      <c r="A784" t="s">
        <v>3023</v>
      </c>
      <c r="B784" t="s">
        <v>253</v>
      </c>
      <c r="C784" t="s">
        <v>760</v>
      </c>
      <c r="D784" t="str">
        <f>VLOOKUP(J784,Location[],2,FALSE)</f>
        <v>Austin</v>
      </c>
      <c r="E784" t="str">
        <f>VLOOKUP(J784,Location[],3,FALSE)</f>
        <v> Texas</v>
      </c>
      <c r="F784" t="str">
        <f>VLOOKUP(K784,Dept[],2,FALSE)</f>
        <v>Sales</v>
      </c>
      <c r="G784" s="11">
        <f t="shared" si="12"/>
        <v>44958</v>
      </c>
      <c r="H784" t="str">
        <f>VLOOKUP(N784,Status[],2,FALSE)</f>
        <v>Full-Time</v>
      </c>
      <c r="J784" s="7">
        <v>1011</v>
      </c>
      <c r="K784">
        <v>22</v>
      </c>
      <c r="L784">
        <v>2023</v>
      </c>
      <c r="M784">
        <v>2</v>
      </c>
      <c r="N784">
        <v>1</v>
      </c>
    </row>
    <row r="785" spans="1:14" x14ac:dyDescent="0.25">
      <c r="A785" t="s">
        <v>3024</v>
      </c>
      <c r="B785" t="s">
        <v>1389</v>
      </c>
      <c r="C785" t="s">
        <v>1390</v>
      </c>
      <c r="D785" t="str">
        <f>VLOOKUP(J785,Location[],2,FALSE)</f>
        <v>New York City</v>
      </c>
      <c r="E785" t="str">
        <f>VLOOKUP(J785,Location[],3,FALSE)</f>
        <v> New York</v>
      </c>
      <c r="F785" t="str">
        <f>VLOOKUP(K785,Dept[],2,FALSE)</f>
        <v>IT</v>
      </c>
      <c r="G785" s="11">
        <f t="shared" si="12"/>
        <v>40787</v>
      </c>
      <c r="H785" t="str">
        <f>VLOOKUP(N785,Status[],2,FALSE)</f>
        <v>Part-Time</v>
      </c>
      <c r="J785" s="7">
        <v>1001</v>
      </c>
      <c r="K785">
        <v>17</v>
      </c>
      <c r="L785">
        <v>2011</v>
      </c>
      <c r="M785">
        <v>9</v>
      </c>
      <c r="N785">
        <v>0</v>
      </c>
    </row>
    <row r="786" spans="1:14" x14ac:dyDescent="0.25">
      <c r="A786" t="s">
        <v>3025</v>
      </c>
      <c r="B786" t="s">
        <v>127</v>
      </c>
      <c r="C786" t="s">
        <v>128</v>
      </c>
      <c r="D786" t="str">
        <f>VLOOKUP(J786,Location[],2,FALSE)</f>
        <v>Anchorage</v>
      </c>
      <c r="E786" t="str">
        <f>VLOOKUP(J786,Location[],3,FALSE)</f>
        <v> Alaska</v>
      </c>
      <c r="F786" t="str">
        <f>VLOOKUP(K786,Dept[],2,FALSE)</f>
        <v>Shipping</v>
      </c>
      <c r="G786" s="11">
        <f t="shared" si="12"/>
        <v>42705</v>
      </c>
      <c r="H786" t="str">
        <f>VLOOKUP(N786,Status[],2,FALSE)</f>
        <v>Part-Time</v>
      </c>
      <c r="J786" s="7">
        <v>1067</v>
      </c>
      <c r="K786">
        <v>23</v>
      </c>
      <c r="L786">
        <v>2016</v>
      </c>
      <c r="M786">
        <v>12</v>
      </c>
      <c r="N786">
        <v>0</v>
      </c>
    </row>
    <row r="787" spans="1:14" x14ac:dyDescent="0.25">
      <c r="A787" t="s">
        <v>3026</v>
      </c>
      <c r="B787" t="s">
        <v>297</v>
      </c>
      <c r="C787" t="s">
        <v>298</v>
      </c>
      <c r="D787" t="str">
        <f>VLOOKUP(J787,Location[],2,FALSE)</f>
        <v>Raleigh</v>
      </c>
      <c r="E787" t="str">
        <f>VLOOKUP(J787,Location[],3,FALSE)</f>
        <v> North Carolina</v>
      </c>
      <c r="F787" t="str">
        <f>VLOOKUP(K787,Dept[],2,FALSE)</f>
        <v>Marketing</v>
      </c>
      <c r="G787" s="11">
        <f t="shared" si="12"/>
        <v>43191</v>
      </c>
      <c r="H787" t="str">
        <f>VLOOKUP(N787,Status[],2,FALSE)</f>
        <v>Full-Time</v>
      </c>
      <c r="J787" s="7">
        <v>1041</v>
      </c>
      <c r="K787">
        <v>19</v>
      </c>
      <c r="L787">
        <v>2018</v>
      </c>
      <c r="M787">
        <v>4</v>
      </c>
      <c r="N787">
        <v>1</v>
      </c>
    </row>
    <row r="788" spans="1:14" x14ac:dyDescent="0.25">
      <c r="A788" t="s">
        <v>3027</v>
      </c>
      <c r="B788" t="s">
        <v>266</v>
      </c>
      <c r="C788" t="s">
        <v>267</v>
      </c>
      <c r="D788" t="str">
        <f>VLOOKUP(J788,Location[],2,FALSE)</f>
        <v>Las Vegas</v>
      </c>
      <c r="E788" t="str">
        <f>VLOOKUP(J788,Location[],3,FALSE)</f>
        <v> Nevada</v>
      </c>
      <c r="F788" t="str">
        <f>VLOOKUP(K788,Dept[],2,FALSE)</f>
        <v>Legal</v>
      </c>
      <c r="G788" s="11">
        <f t="shared" si="12"/>
        <v>42491</v>
      </c>
      <c r="H788" t="str">
        <f>VLOOKUP(N788,Status[],2,FALSE)</f>
        <v>Full-Time</v>
      </c>
      <c r="J788" s="7">
        <v>1028</v>
      </c>
      <c r="K788">
        <v>18</v>
      </c>
      <c r="L788">
        <v>2016</v>
      </c>
      <c r="M788">
        <v>5</v>
      </c>
      <c r="N788">
        <v>1</v>
      </c>
    </row>
    <row r="789" spans="1:14" x14ac:dyDescent="0.25">
      <c r="A789" t="s">
        <v>3028</v>
      </c>
      <c r="B789" t="s">
        <v>292</v>
      </c>
      <c r="C789" t="s">
        <v>549</v>
      </c>
      <c r="D789" t="str">
        <f>VLOOKUP(J789,Location[],2,FALSE)</f>
        <v>Chicago</v>
      </c>
      <c r="E789" t="str">
        <f>VLOOKUP(J789,Location[],3,FALSE)</f>
        <v> Illinois</v>
      </c>
      <c r="F789" t="str">
        <f>VLOOKUP(K789,Dept[],2,FALSE)</f>
        <v>Sales</v>
      </c>
      <c r="G789" s="11">
        <f t="shared" si="12"/>
        <v>42887</v>
      </c>
      <c r="H789" t="str">
        <f>VLOOKUP(N789,Status[],2,FALSE)</f>
        <v>Part-Time</v>
      </c>
      <c r="J789" s="7">
        <v>1003</v>
      </c>
      <c r="K789">
        <v>22</v>
      </c>
      <c r="L789">
        <v>2017</v>
      </c>
      <c r="M789">
        <v>6</v>
      </c>
      <c r="N789">
        <v>0</v>
      </c>
    </row>
    <row r="790" spans="1:14" x14ac:dyDescent="0.25">
      <c r="A790" t="s">
        <v>3029</v>
      </c>
      <c r="B790" t="s">
        <v>524</v>
      </c>
      <c r="C790" t="s">
        <v>549</v>
      </c>
      <c r="D790" t="str">
        <f>VLOOKUP(J790,Location[],2,FALSE)</f>
        <v>Wichita</v>
      </c>
      <c r="E790" t="str">
        <f>VLOOKUP(J790,Location[],3,FALSE)</f>
        <v> Kansas</v>
      </c>
      <c r="F790" t="str">
        <f>VLOOKUP(K790,Dept[],2,FALSE)</f>
        <v>Accounting</v>
      </c>
      <c r="G790" s="11">
        <f t="shared" si="12"/>
        <v>41000</v>
      </c>
      <c r="H790" t="str">
        <f>VLOOKUP(N790,Status[],2,FALSE)</f>
        <v>Full-Time</v>
      </c>
      <c r="J790" s="7">
        <v>1050</v>
      </c>
      <c r="K790">
        <v>11</v>
      </c>
      <c r="L790">
        <v>2012</v>
      </c>
      <c r="M790">
        <v>4</v>
      </c>
      <c r="N790">
        <v>1</v>
      </c>
    </row>
    <row r="791" spans="1:14" x14ac:dyDescent="0.25">
      <c r="A791" t="s">
        <v>3030</v>
      </c>
      <c r="B791" t="s">
        <v>448</v>
      </c>
      <c r="C791" t="s">
        <v>2094</v>
      </c>
      <c r="D791" t="str">
        <f>VLOOKUP(J791,Location[],2,FALSE)</f>
        <v>Portland</v>
      </c>
      <c r="E791" t="str">
        <f>VLOOKUP(J791,Location[],3,FALSE)</f>
        <v> Oregon</v>
      </c>
      <c r="F791" t="str">
        <f>VLOOKUP(K791,Dept[],2,FALSE)</f>
        <v>Media</v>
      </c>
      <c r="G791" s="11">
        <f t="shared" si="12"/>
        <v>43191</v>
      </c>
      <c r="H791" t="str">
        <f>VLOOKUP(N791,Status[],2,FALSE)</f>
        <v>Full-Time</v>
      </c>
      <c r="J791" s="7">
        <v>1026</v>
      </c>
      <c r="K791">
        <v>20</v>
      </c>
      <c r="L791">
        <v>2018</v>
      </c>
      <c r="M791">
        <v>4</v>
      </c>
      <c r="N791">
        <v>1</v>
      </c>
    </row>
    <row r="792" spans="1:14" x14ac:dyDescent="0.25">
      <c r="A792" t="s">
        <v>3031</v>
      </c>
      <c r="B792" t="s">
        <v>83</v>
      </c>
      <c r="C792" t="s">
        <v>1364</v>
      </c>
      <c r="D792" t="str">
        <f>VLOOKUP(J792,Location[],2,FALSE)</f>
        <v>Raleigh</v>
      </c>
      <c r="E792" t="str">
        <f>VLOOKUP(J792,Location[],3,FALSE)</f>
        <v> North Carolina</v>
      </c>
      <c r="F792" t="str">
        <f>VLOOKUP(K792,Dept[],2,FALSE)</f>
        <v>Administration</v>
      </c>
      <c r="G792" s="11">
        <f t="shared" si="12"/>
        <v>40634</v>
      </c>
      <c r="H792" t="str">
        <f>VLOOKUP(N792,Status[],2,FALSE)</f>
        <v>Full-Time</v>
      </c>
      <c r="J792" s="7">
        <v>1041</v>
      </c>
      <c r="K792">
        <v>12</v>
      </c>
      <c r="L792">
        <v>2011</v>
      </c>
      <c r="M792">
        <v>4</v>
      </c>
      <c r="N792">
        <v>1</v>
      </c>
    </row>
    <row r="793" spans="1:14" x14ac:dyDescent="0.25">
      <c r="A793" t="s">
        <v>3032</v>
      </c>
      <c r="B793" t="s">
        <v>1363</v>
      </c>
      <c r="C793" t="s">
        <v>1364</v>
      </c>
      <c r="D793" t="str">
        <f>VLOOKUP(J793,Location[],2,FALSE)</f>
        <v>Henderson</v>
      </c>
      <c r="E793" t="str">
        <f>VLOOKUP(J793,Location[],3,FALSE)</f>
        <v> Nevada</v>
      </c>
      <c r="F793" t="str">
        <f>VLOOKUP(K793,Dept[],2,FALSE)</f>
        <v>IT</v>
      </c>
      <c r="G793" s="11">
        <f t="shared" si="12"/>
        <v>43525</v>
      </c>
      <c r="H793" t="str">
        <f>VLOOKUP(N793,Status[],2,FALSE)</f>
        <v>Full-Time</v>
      </c>
      <c r="J793" s="7">
        <v>1064</v>
      </c>
      <c r="K793">
        <v>17</v>
      </c>
      <c r="L793">
        <v>2019</v>
      </c>
      <c r="M793">
        <v>3</v>
      </c>
      <c r="N793">
        <v>1</v>
      </c>
    </row>
    <row r="794" spans="1:14" x14ac:dyDescent="0.25">
      <c r="A794" t="s">
        <v>3033</v>
      </c>
      <c r="B794" t="s">
        <v>95</v>
      </c>
      <c r="C794" t="s">
        <v>1969</v>
      </c>
      <c r="D794" t="str">
        <f>VLOOKUP(J794,Location[],2,FALSE)</f>
        <v>Riverside</v>
      </c>
      <c r="E794" t="str">
        <f>VLOOKUP(J794,Location[],3,FALSE)</f>
        <v> California</v>
      </c>
      <c r="F794" t="str">
        <f>VLOOKUP(K794,Dept[],2,FALSE)</f>
        <v>Sales</v>
      </c>
      <c r="G794" s="11">
        <f t="shared" si="12"/>
        <v>43221</v>
      </c>
      <c r="H794" t="str">
        <f>VLOOKUP(N794,Status[],2,FALSE)</f>
        <v>Full-Time</v>
      </c>
      <c r="J794" s="7">
        <v>1058</v>
      </c>
      <c r="K794">
        <v>22</v>
      </c>
      <c r="L794">
        <v>2018</v>
      </c>
      <c r="M794">
        <v>5</v>
      </c>
      <c r="N794">
        <v>1</v>
      </c>
    </row>
    <row r="795" spans="1:14" x14ac:dyDescent="0.25">
      <c r="A795" t="s">
        <v>3034</v>
      </c>
      <c r="B795" t="s">
        <v>983</v>
      </c>
      <c r="C795" t="s">
        <v>984</v>
      </c>
      <c r="D795" t="str">
        <f>VLOOKUP(J795,Location[],2,FALSE)</f>
        <v>Honolulu</v>
      </c>
      <c r="E795" t="str">
        <f>VLOOKUP(J795,Location[],3,FALSE)</f>
        <v> Hawaii</v>
      </c>
      <c r="F795" t="str">
        <f>VLOOKUP(K795,Dept[],2,FALSE)</f>
        <v>Shipping</v>
      </c>
      <c r="G795" s="11">
        <f t="shared" si="12"/>
        <v>42522</v>
      </c>
      <c r="H795" t="str">
        <f>VLOOKUP(N795,Status[],2,FALSE)</f>
        <v>Full-Time</v>
      </c>
      <c r="J795" s="7">
        <v>1056</v>
      </c>
      <c r="K795">
        <v>23</v>
      </c>
      <c r="L795">
        <v>2016</v>
      </c>
      <c r="M795">
        <v>6</v>
      </c>
      <c r="N795">
        <v>1</v>
      </c>
    </row>
    <row r="796" spans="1:14" x14ac:dyDescent="0.25">
      <c r="A796" t="s">
        <v>3035</v>
      </c>
      <c r="B796" t="s">
        <v>1434</v>
      </c>
      <c r="C796" t="s">
        <v>1435</v>
      </c>
      <c r="D796" t="str">
        <f>VLOOKUP(J796,Location[],2,FALSE)</f>
        <v>Scottsdale</v>
      </c>
      <c r="E796" t="str">
        <f>VLOOKUP(J796,Location[],3,FALSE)</f>
        <v> Arizona</v>
      </c>
      <c r="F796" t="str">
        <f>VLOOKUP(K796,Dept[],2,FALSE)</f>
        <v>Shipping</v>
      </c>
      <c r="G796" s="11">
        <f t="shared" si="12"/>
        <v>43891</v>
      </c>
      <c r="H796" t="str">
        <f>VLOOKUP(N796,Status[],2,FALSE)</f>
        <v>Full-Time</v>
      </c>
      <c r="J796" s="7">
        <v>1085</v>
      </c>
      <c r="K796">
        <v>23</v>
      </c>
      <c r="L796">
        <v>2020</v>
      </c>
      <c r="M796">
        <v>3</v>
      </c>
      <c r="N796">
        <v>1</v>
      </c>
    </row>
    <row r="797" spans="1:14" x14ac:dyDescent="0.25">
      <c r="A797" t="s">
        <v>3036</v>
      </c>
      <c r="B797" t="s">
        <v>828</v>
      </c>
      <c r="C797" t="s">
        <v>117</v>
      </c>
      <c r="D797" t="str">
        <f>VLOOKUP(J797,Location[],2,FALSE)</f>
        <v>Chicago</v>
      </c>
      <c r="E797" t="str">
        <f>VLOOKUP(J797,Location[],3,FALSE)</f>
        <v> Illinois</v>
      </c>
      <c r="F797" t="str">
        <f>VLOOKUP(K797,Dept[],2,FALSE)</f>
        <v>Accounting</v>
      </c>
      <c r="G797" s="11">
        <f t="shared" si="12"/>
        <v>42005</v>
      </c>
      <c r="H797" t="str">
        <f>VLOOKUP(N797,Status[],2,FALSE)</f>
        <v>Full-Time</v>
      </c>
      <c r="J797" s="7">
        <v>1003</v>
      </c>
      <c r="K797">
        <v>11</v>
      </c>
      <c r="L797">
        <v>2015</v>
      </c>
      <c r="M797">
        <v>1</v>
      </c>
      <c r="N797">
        <v>1</v>
      </c>
    </row>
    <row r="798" spans="1:14" x14ac:dyDescent="0.25">
      <c r="A798" t="s">
        <v>3037</v>
      </c>
      <c r="B798" t="s">
        <v>261</v>
      </c>
      <c r="C798" t="s">
        <v>1423</v>
      </c>
      <c r="D798" t="str">
        <f>VLOOKUP(J798,Location[],2,FALSE)</f>
        <v>Los Angeles</v>
      </c>
      <c r="E798" t="str">
        <f>VLOOKUP(J798,Location[],3,FALSE)</f>
        <v> California</v>
      </c>
      <c r="F798" t="str">
        <f>VLOOKUP(K798,Dept[],2,FALSE)</f>
        <v>IT</v>
      </c>
      <c r="G798" s="11">
        <f t="shared" si="12"/>
        <v>40940</v>
      </c>
      <c r="H798" t="str">
        <f>VLOOKUP(N798,Status[],2,FALSE)</f>
        <v>Full-Time</v>
      </c>
      <c r="J798" s="7">
        <v>1002</v>
      </c>
      <c r="K798">
        <v>17</v>
      </c>
      <c r="L798">
        <v>2012</v>
      </c>
      <c r="M798">
        <v>2</v>
      </c>
      <c r="N798">
        <v>1</v>
      </c>
    </row>
    <row r="799" spans="1:14" x14ac:dyDescent="0.25">
      <c r="A799" t="s">
        <v>3038</v>
      </c>
      <c r="B799" t="s">
        <v>805</v>
      </c>
      <c r="C799" t="s">
        <v>710</v>
      </c>
      <c r="D799" t="str">
        <f>VLOOKUP(J799,Location[],2,FALSE)</f>
        <v>New York City</v>
      </c>
      <c r="E799" t="str">
        <f>VLOOKUP(J799,Location[],3,FALSE)</f>
        <v> New York</v>
      </c>
      <c r="F799" t="str">
        <f>VLOOKUP(K799,Dept[],2,FALSE)</f>
        <v>Finance</v>
      </c>
      <c r="G799" s="11">
        <f t="shared" si="12"/>
        <v>43800</v>
      </c>
      <c r="H799" t="str">
        <f>VLOOKUP(N799,Status[],2,FALSE)</f>
        <v>Full-Time</v>
      </c>
      <c r="J799" s="7">
        <v>1001</v>
      </c>
      <c r="K799">
        <v>15</v>
      </c>
      <c r="L799">
        <v>2019</v>
      </c>
      <c r="M799">
        <v>12</v>
      </c>
      <c r="N799">
        <v>1</v>
      </c>
    </row>
    <row r="800" spans="1:14" x14ac:dyDescent="0.25">
      <c r="A800" t="s">
        <v>3039</v>
      </c>
      <c r="B800" t="s">
        <v>1266</v>
      </c>
      <c r="C800" t="s">
        <v>710</v>
      </c>
      <c r="D800" t="str">
        <f>VLOOKUP(J800,Location[],2,FALSE)</f>
        <v>Detroit</v>
      </c>
      <c r="E800" t="str">
        <f>VLOOKUP(J800,Location[],3,FALSE)</f>
        <v> Michigan</v>
      </c>
      <c r="F800" t="str">
        <f>VLOOKUP(K800,Dept[],2,FALSE)</f>
        <v>Assessment</v>
      </c>
      <c r="G800" s="11">
        <f t="shared" si="12"/>
        <v>41365</v>
      </c>
      <c r="H800" t="str">
        <f>VLOOKUP(N800,Status[],2,FALSE)</f>
        <v>Full-Time</v>
      </c>
      <c r="J800" s="7">
        <v>1023</v>
      </c>
      <c r="K800">
        <v>13</v>
      </c>
      <c r="L800">
        <v>2013</v>
      </c>
      <c r="M800">
        <v>4</v>
      </c>
      <c r="N800">
        <v>1</v>
      </c>
    </row>
    <row r="801" spans="1:14" x14ac:dyDescent="0.25">
      <c r="A801" t="s">
        <v>3040</v>
      </c>
      <c r="B801" t="s">
        <v>144</v>
      </c>
      <c r="C801" t="s">
        <v>710</v>
      </c>
      <c r="D801" t="str">
        <f>VLOOKUP(J801,Location[],2,FALSE)</f>
        <v>Anchorage</v>
      </c>
      <c r="E801" t="str">
        <f>VLOOKUP(J801,Location[],3,FALSE)</f>
        <v> Alaska</v>
      </c>
      <c r="F801" t="str">
        <f>VLOOKUP(K801,Dept[],2,FALSE)</f>
        <v>Finance</v>
      </c>
      <c r="G801" s="11">
        <f t="shared" si="12"/>
        <v>40634</v>
      </c>
      <c r="H801" t="str">
        <f>VLOOKUP(N801,Status[],2,FALSE)</f>
        <v>Full-Time</v>
      </c>
      <c r="J801" s="7">
        <v>1067</v>
      </c>
      <c r="K801">
        <v>15</v>
      </c>
      <c r="L801">
        <v>2011</v>
      </c>
      <c r="M801">
        <v>4</v>
      </c>
      <c r="N801">
        <v>1</v>
      </c>
    </row>
    <row r="802" spans="1:14" x14ac:dyDescent="0.25">
      <c r="A802" t="s">
        <v>3041</v>
      </c>
      <c r="B802" t="s">
        <v>248</v>
      </c>
      <c r="C802" t="s">
        <v>710</v>
      </c>
      <c r="D802" t="str">
        <f>VLOOKUP(J802,Location[],2,FALSE)</f>
        <v>Omaha</v>
      </c>
      <c r="E802" t="str">
        <f>VLOOKUP(J802,Location[],3,FALSE)</f>
        <v> Nebraska</v>
      </c>
      <c r="F802" t="str">
        <f>VLOOKUP(K802,Dept[],2,FALSE)</f>
        <v>Accounting</v>
      </c>
      <c r="G802" s="11">
        <f t="shared" si="12"/>
        <v>44105</v>
      </c>
      <c r="H802" t="str">
        <f>VLOOKUP(N802,Status[],2,FALSE)</f>
        <v>Full-Time</v>
      </c>
      <c r="J802" s="7">
        <v>1040</v>
      </c>
      <c r="K802">
        <v>11</v>
      </c>
      <c r="L802">
        <v>2020</v>
      </c>
      <c r="M802">
        <v>10</v>
      </c>
      <c r="N802">
        <v>1</v>
      </c>
    </row>
    <row r="803" spans="1:14" x14ac:dyDescent="0.25">
      <c r="A803" t="s">
        <v>3042</v>
      </c>
      <c r="B803" t="s">
        <v>826</v>
      </c>
      <c r="C803" t="s">
        <v>710</v>
      </c>
      <c r="D803" t="str">
        <f>VLOOKUP(J803,Location[],2,FALSE)</f>
        <v>Chicago</v>
      </c>
      <c r="E803" t="str">
        <f>VLOOKUP(J803,Location[],3,FALSE)</f>
        <v> Illinois</v>
      </c>
      <c r="F803" t="str">
        <f>VLOOKUP(K803,Dept[],2,FALSE)</f>
        <v>Sales</v>
      </c>
      <c r="G803" s="11">
        <f t="shared" si="12"/>
        <v>43282</v>
      </c>
      <c r="H803" t="str">
        <f>VLOOKUP(N803,Status[],2,FALSE)</f>
        <v>Full-Time</v>
      </c>
      <c r="J803" s="7">
        <v>1003</v>
      </c>
      <c r="K803">
        <v>22</v>
      </c>
      <c r="L803">
        <v>2018</v>
      </c>
      <c r="M803">
        <v>7</v>
      </c>
      <c r="N803">
        <v>1</v>
      </c>
    </row>
    <row r="804" spans="1:14" x14ac:dyDescent="0.25">
      <c r="A804" t="s">
        <v>3043</v>
      </c>
      <c r="B804" t="s">
        <v>92</v>
      </c>
      <c r="C804" t="s">
        <v>93</v>
      </c>
      <c r="D804" t="str">
        <f>VLOOKUP(J804,Location[],2,FALSE)</f>
        <v>San Antonio</v>
      </c>
      <c r="E804" t="str">
        <f>VLOOKUP(J804,Location[],3,FALSE)</f>
        <v> Texas</v>
      </c>
      <c r="F804" t="str">
        <f>VLOOKUP(K804,Dept[],2,FALSE)</f>
        <v>Accounting</v>
      </c>
      <c r="G804" s="11">
        <f t="shared" si="12"/>
        <v>42156</v>
      </c>
      <c r="H804" t="str">
        <f>VLOOKUP(N804,Status[],2,FALSE)</f>
        <v>Full-Time</v>
      </c>
      <c r="J804" s="7">
        <v>1007</v>
      </c>
      <c r="K804">
        <v>11</v>
      </c>
      <c r="L804">
        <v>2015</v>
      </c>
      <c r="M804">
        <v>6</v>
      </c>
      <c r="N804">
        <v>1</v>
      </c>
    </row>
    <row r="805" spans="1:14" x14ac:dyDescent="0.25">
      <c r="A805" t="s">
        <v>3044</v>
      </c>
      <c r="B805" t="s">
        <v>2015</v>
      </c>
      <c r="C805" t="s">
        <v>2016</v>
      </c>
      <c r="D805" t="str">
        <f>VLOOKUP(J805,Location[],2,FALSE)</f>
        <v>Los Angeles</v>
      </c>
      <c r="E805" t="str">
        <f>VLOOKUP(J805,Location[],3,FALSE)</f>
        <v> California</v>
      </c>
      <c r="F805" t="str">
        <f>VLOOKUP(K805,Dept[],2,FALSE)</f>
        <v>Administration</v>
      </c>
      <c r="G805" s="11">
        <f t="shared" si="12"/>
        <v>44105</v>
      </c>
      <c r="H805" t="str">
        <f>VLOOKUP(N805,Status[],2,FALSE)</f>
        <v>Full-Time</v>
      </c>
      <c r="J805" s="7">
        <v>1002</v>
      </c>
      <c r="K805">
        <v>12</v>
      </c>
      <c r="L805">
        <v>2020</v>
      </c>
      <c r="M805">
        <v>10</v>
      </c>
      <c r="N805">
        <v>1</v>
      </c>
    </row>
    <row r="806" spans="1:14" x14ac:dyDescent="0.25">
      <c r="A806" t="s">
        <v>3045</v>
      </c>
      <c r="B806" t="s">
        <v>1077</v>
      </c>
      <c r="C806" t="s">
        <v>1078</v>
      </c>
      <c r="D806" t="str">
        <f>VLOOKUP(J806,Location[],2,FALSE)</f>
        <v>Los Angeles</v>
      </c>
      <c r="E806" t="str">
        <f>VLOOKUP(J806,Location[],3,FALSE)</f>
        <v> California</v>
      </c>
      <c r="F806" t="str">
        <f>VLOOKUP(K806,Dept[],2,FALSE)</f>
        <v>Shipping</v>
      </c>
      <c r="G806" s="11">
        <f t="shared" si="12"/>
        <v>42339</v>
      </c>
      <c r="H806" t="str">
        <f>VLOOKUP(N806,Status[],2,FALSE)</f>
        <v>Full-Time</v>
      </c>
      <c r="J806" s="7">
        <v>1002</v>
      </c>
      <c r="K806">
        <v>23</v>
      </c>
      <c r="L806">
        <v>2015</v>
      </c>
      <c r="M806">
        <v>12</v>
      </c>
      <c r="N806">
        <v>1</v>
      </c>
    </row>
    <row r="807" spans="1:14" x14ac:dyDescent="0.25">
      <c r="A807" t="s">
        <v>3046</v>
      </c>
      <c r="B807" t="s">
        <v>166</v>
      </c>
      <c r="C807" t="s">
        <v>167</v>
      </c>
      <c r="D807" t="str">
        <f>VLOOKUP(J807,Location[],2,FALSE)</f>
        <v>El Paso</v>
      </c>
      <c r="E807" t="str">
        <f>VLOOKUP(J807,Location[],3,FALSE)</f>
        <v> Texas</v>
      </c>
      <c r="F807" t="str">
        <f>VLOOKUP(K807,Dept[],2,FALSE)</f>
        <v>Customer Support</v>
      </c>
      <c r="G807" s="11">
        <f t="shared" si="12"/>
        <v>41913</v>
      </c>
      <c r="H807" t="str">
        <f>VLOOKUP(N807,Status[],2,FALSE)</f>
        <v>Full-Time</v>
      </c>
      <c r="J807" s="7">
        <v>1022</v>
      </c>
      <c r="K807">
        <v>14</v>
      </c>
      <c r="L807">
        <v>2014</v>
      </c>
      <c r="M807">
        <v>10</v>
      </c>
      <c r="N807">
        <v>1</v>
      </c>
    </row>
    <row r="808" spans="1:14" x14ac:dyDescent="0.25">
      <c r="A808" t="s">
        <v>3047</v>
      </c>
      <c r="B808" t="s">
        <v>339</v>
      </c>
      <c r="C808" t="s">
        <v>167</v>
      </c>
      <c r="D808" t="str">
        <f>VLOOKUP(J808,Location[],2,FALSE)</f>
        <v>New York City</v>
      </c>
      <c r="E808" t="str">
        <f>VLOOKUP(J808,Location[],3,FALSE)</f>
        <v> New York</v>
      </c>
      <c r="F808" t="str">
        <f>VLOOKUP(K808,Dept[],2,FALSE)</f>
        <v>Customer Support</v>
      </c>
      <c r="G808" s="11">
        <f t="shared" si="12"/>
        <v>42186</v>
      </c>
      <c r="H808" t="str">
        <f>VLOOKUP(N808,Status[],2,FALSE)</f>
        <v>Full-Time</v>
      </c>
      <c r="J808" s="7">
        <v>1001</v>
      </c>
      <c r="K808">
        <v>14</v>
      </c>
      <c r="L808">
        <v>2015</v>
      </c>
      <c r="M808">
        <v>7</v>
      </c>
      <c r="N808">
        <v>1</v>
      </c>
    </row>
    <row r="809" spans="1:14" x14ac:dyDescent="0.25">
      <c r="A809" t="s">
        <v>3048</v>
      </c>
      <c r="B809" t="s">
        <v>21</v>
      </c>
      <c r="C809" t="s">
        <v>22</v>
      </c>
      <c r="D809" t="str">
        <f>VLOOKUP(J809,Location[],2,FALSE)</f>
        <v>Chandler</v>
      </c>
      <c r="E809" t="str">
        <f>VLOOKUP(J809,Location[],3,FALSE)</f>
        <v> Arizona</v>
      </c>
      <c r="F809" t="str">
        <f>VLOOKUP(K809,Dept[],2,FALSE)</f>
        <v>Customer Support</v>
      </c>
      <c r="G809" s="11">
        <f t="shared" si="12"/>
        <v>44136</v>
      </c>
      <c r="H809" t="str">
        <f>VLOOKUP(N809,Status[],2,FALSE)</f>
        <v>Full-Time</v>
      </c>
      <c r="J809" s="7">
        <v>1084</v>
      </c>
      <c r="K809">
        <v>14</v>
      </c>
      <c r="L809">
        <v>2020</v>
      </c>
      <c r="M809">
        <v>11</v>
      </c>
      <c r="N809">
        <v>1</v>
      </c>
    </row>
    <row r="810" spans="1:14" x14ac:dyDescent="0.25">
      <c r="A810" t="s">
        <v>3049</v>
      </c>
      <c r="B810" t="s">
        <v>39</v>
      </c>
      <c r="C810" t="s">
        <v>351</v>
      </c>
      <c r="D810" t="str">
        <f>VLOOKUP(J810,Location[],2,FALSE)</f>
        <v>Cincinnati</v>
      </c>
      <c r="E810" t="str">
        <f>VLOOKUP(J810,Location[],3,FALSE)</f>
        <v> Ohio</v>
      </c>
      <c r="F810" t="str">
        <f>VLOOKUP(K810,Dept[],2,FALSE)</f>
        <v>Legal</v>
      </c>
      <c r="G810" s="11">
        <f t="shared" si="12"/>
        <v>43191</v>
      </c>
      <c r="H810" t="str">
        <f>VLOOKUP(N810,Status[],2,FALSE)</f>
        <v>Full-Time</v>
      </c>
      <c r="J810" s="7">
        <v>1066</v>
      </c>
      <c r="K810">
        <v>18</v>
      </c>
      <c r="L810">
        <v>2018</v>
      </c>
      <c r="M810">
        <v>4</v>
      </c>
      <c r="N810">
        <v>1</v>
      </c>
    </row>
    <row r="811" spans="1:14" x14ac:dyDescent="0.25">
      <c r="A811" t="s">
        <v>3050</v>
      </c>
      <c r="B811" t="s">
        <v>450</v>
      </c>
      <c r="C811" t="s">
        <v>1443</v>
      </c>
      <c r="D811" t="str">
        <f>VLOOKUP(J811,Location[],2,FALSE)</f>
        <v>St. Louis</v>
      </c>
      <c r="E811" t="str">
        <f>VLOOKUP(J811,Location[],3,FALSE)</f>
        <v> Missouri</v>
      </c>
      <c r="F811" t="str">
        <f>VLOOKUP(K811,Dept[],2,FALSE)</f>
        <v>Accounting</v>
      </c>
      <c r="G811" s="11">
        <f t="shared" si="12"/>
        <v>41000</v>
      </c>
      <c r="H811" t="str">
        <f>VLOOKUP(N811,Status[],2,FALSE)</f>
        <v>Full-Time</v>
      </c>
      <c r="J811" s="7">
        <v>1062</v>
      </c>
      <c r="K811">
        <v>11</v>
      </c>
      <c r="L811">
        <v>2012</v>
      </c>
      <c r="M811">
        <v>4</v>
      </c>
      <c r="N811">
        <v>1</v>
      </c>
    </row>
    <row r="812" spans="1:14" x14ac:dyDescent="0.25">
      <c r="A812" t="s">
        <v>3051</v>
      </c>
      <c r="B812" t="s">
        <v>296</v>
      </c>
      <c r="C812" t="s">
        <v>895</v>
      </c>
      <c r="D812" t="str">
        <f>VLOOKUP(J812,Location[],2,FALSE)</f>
        <v>Washington, D.C.</v>
      </c>
      <c r="E812" t="str">
        <f>VLOOKUP(J812,Location[],3,FALSE)</f>
        <v> District of Columbia</v>
      </c>
      <c r="F812" t="str">
        <f>VLOOKUP(K812,Dept[],2,FALSE)</f>
        <v>Marketing</v>
      </c>
      <c r="G812" s="11">
        <f t="shared" si="12"/>
        <v>43009</v>
      </c>
      <c r="H812" t="str">
        <f>VLOOKUP(N812,Status[],2,FALSE)</f>
        <v>Full-Time</v>
      </c>
      <c r="J812" s="7">
        <v>1020</v>
      </c>
      <c r="K812">
        <v>19</v>
      </c>
      <c r="L812">
        <v>2017</v>
      </c>
      <c r="M812">
        <v>10</v>
      </c>
      <c r="N812">
        <v>1</v>
      </c>
    </row>
    <row r="813" spans="1:14" x14ac:dyDescent="0.25">
      <c r="A813" t="s">
        <v>3052</v>
      </c>
      <c r="B813" t="s">
        <v>71</v>
      </c>
      <c r="C813" t="s">
        <v>1645</v>
      </c>
      <c r="D813" t="str">
        <f>VLOOKUP(J813,Location[],2,FALSE)</f>
        <v>Kansas City</v>
      </c>
      <c r="E813" t="str">
        <f>VLOOKUP(J813,Location[],3,FALSE)</f>
        <v> Missouri</v>
      </c>
      <c r="F813" t="str">
        <f>VLOOKUP(K813,Dept[],2,FALSE)</f>
        <v>Human Resources</v>
      </c>
      <c r="G813" s="11">
        <f t="shared" si="12"/>
        <v>42856</v>
      </c>
      <c r="H813" t="str">
        <f>VLOOKUP(N813,Status[],2,FALSE)</f>
        <v>Full-Time</v>
      </c>
      <c r="J813" s="7">
        <v>1037</v>
      </c>
      <c r="K813">
        <v>16</v>
      </c>
      <c r="L813">
        <v>2017</v>
      </c>
      <c r="M813">
        <v>5</v>
      </c>
      <c r="N813">
        <v>1</v>
      </c>
    </row>
    <row r="814" spans="1:14" x14ac:dyDescent="0.25">
      <c r="A814" t="s">
        <v>3053</v>
      </c>
      <c r="B814" t="s">
        <v>1550</v>
      </c>
      <c r="C814" t="s">
        <v>1551</v>
      </c>
      <c r="D814" t="str">
        <f>VLOOKUP(J814,Location[],2,FALSE)</f>
        <v>Austin</v>
      </c>
      <c r="E814" t="str">
        <f>VLOOKUP(J814,Location[],3,FALSE)</f>
        <v> Texas</v>
      </c>
      <c r="F814" t="str">
        <f>VLOOKUP(K814,Dept[],2,FALSE)</f>
        <v>Shipping</v>
      </c>
      <c r="G814" s="11">
        <f t="shared" si="12"/>
        <v>43132</v>
      </c>
      <c r="H814" t="str">
        <f>VLOOKUP(N814,Status[],2,FALSE)</f>
        <v>Full-Time</v>
      </c>
      <c r="J814" s="7">
        <v>1011</v>
      </c>
      <c r="K814">
        <v>23</v>
      </c>
      <c r="L814">
        <v>2018</v>
      </c>
      <c r="M814">
        <v>2</v>
      </c>
      <c r="N814">
        <v>1</v>
      </c>
    </row>
    <row r="815" spans="1:14" x14ac:dyDescent="0.25">
      <c r="A815" t="s">
        <v>3054</v>
      </c>
      <c r="B815" t="s">
        <v>601</v>
      </c>
      <c r="C815" t="s">
        <v>1682</v>
      </c>
      <c r="D815" t="str">
        <f>VLOOKUP(J815,Location[],2,FALSE)</f>
        <v>Raleigh</v>
      </c>
      <c r="E815" t="str">
        <f>VLOOKUP(J815,Location[],3,FALSE)</f>
        <v> North Carolina</v>
      </c>
      <c r="F815" t="str">
        <f>VLOOKUP(K815,Dept[],2,FALSE)</f>
        <v>Accounting</v>
      </c>
      <c r="G815" s="11">
        <f t="shared" si="12"/>
        <v>44378</v>
      </c>
      <c r="H815" t="str">
        <f>VLOOKUP(N815,Status[],2,FALSE)</f>
        <v>Full-Time</v>
      </c>
      <c r="J815" s="7">
        <v>1041</v>
      </c>
      <c r="K815">
        <v>11</v>
      </c>
      <c r="L815">
        <v>2021</v>
      </c>
      <c r="M815">
        <v>7</v>
      </c>
      <c r="N815">
        <v>1</v>
      </c>
    </row>
    <row r="816" spans="1:14" x14ac:dyDescent="0.25">
      <c r="A816" t="s">
        <v>3055</v>
      </c>
      <c r="B816" t="s">
        <v>1019</v>
      </c>
      <c r="C816" t="s">
        <v>1020</v>
      </c>
      <c r="D816" t="str">
        <f>VLOOKUP(J816,Location[],2,FALSE)</f>
        <v>Tucson</v>
      </c>
      <c r="E816" t="str">
        <f>VLOOKUP(J816,Location[],3,FALSE)</f>
        <v> Arizona</v>
      </c>
      <c r="F816" t="str">
        <f>VLOOKUP(K816,Dept[],2,FALSE)</f>
        <v>Accounting</v>
      </c>
      <c r="G816" s="11">
        <f t="shared" si="12"/>
        <v>41821</v>
      </c>
      <c r="H816" t="str">
        <f>VLOOKUP(N816,Status[],2,FALSE)</f>
        <v>Full-Time</v>
      </c>
      <c r="J816" s="7">
        <v>1033</v>
      </c>
      <c r="K816">
        <v>11</v>
      </c>
      <c r="L816">
        <v>2014</v>
      </c>
      <c r="M816">
        <v>7</v>
      </c>
      <c r="N816">
        <v>1</v>
      </c>
    </row>
    <row r="817" spans="1:14" x14ac:dyDescent="0.25">
      <c r="A817" t="s">
        <v>3056</v>
      </c>
      <c r="B817" t="s">
        <v>601</v>
      </c>
      <c r="C817" t="s">
        <v>592</v>
      </c>
      <c r="D817" t="str">
        <f>VLOOKUP(J817,Location[],2,FALSE)</f>
        <v>Chandler</v>
      </c>
      <c r="E817" t="str">
        <f>VLOOKUP(J817,Location[],3,FALSE)</f>
        <v> Arizona</v>
      </c>
      <c r="F817" t="str">
        <f>VLOOKUP(K817,Dept[],2,FALSE)</f>
        <v>Administration</v>
      </c>
      <c r="G817" s="11">
        <f t="shared" si="12"/>
        <v>44774</v>
      </c>
      <c r="H817" t="str">
        <f>VLOOKUP(N817,Status[],2,FALSE)</f>
        <v>Full-Time</v>
      </c>
      <c r="J817" s="7">
        <v>1084</v>
      </c>
      <c r="K817">
        <v>12</v>
      </c>
      <c r="L817">
        <v>2022</v>
      </c>
      <c r="M817">
        <v>8</v>
      </c>
      <c r="N817">
        <v>1</v>
      </c>
    </row>
    <row r="818" spans="1:14" x14ac:dyDescent="0.25">
      <c r="A818" t="s">
        <v>3057</v>
      </c>
      <c r="B818" t="s">
        <v>1310</v>
      </c>
      <c r="C818" t="s">
        <v>592</v>
      </c>
      <c r="D818" t="str">
        <f>VLOOKUP(J818,Location[],2,FALSE)</f>
        <v>Fort Worth</v>
      </c>
      <c r="E818" t="str">
        <f>VLOOKUP(J818,Location[],3,FALSE)</f>
        <v> Texas</v>
      </c>
      <c r="F818" t="str">
        <f>VLOOKUP(K818,Dept[],2,FALSE)</f>
        <v>Accounting</v>
      </c>
      <c r="G818" s="11">
        <f t="shared" si="12"/>
        <v>40664</v>
      </c>
      <c r="H818" t="str">
        <f>VLOOKUP(N818,Status[],2,FALSE)</f>
        <v>Full-Time</v>
      </c>
      <c r="J818" s="7">
        <v>1015</v>
      </c>
      <c r="K818">
        <v>11</v>
      </c>
      <c r="L818">
        <v>2011</v>
      </c>
      <c r="M818">
        <v>5</v>
      </c>
      <c r="N818">
        <v>1</v>
      </c>
    </row>
    <row r="819" spans="1:14" x14ac:dyDescent="0.25">
      <c r="A819" t="s">
        <v>3058</v>
      </c>
      <c r="B819" t="s">
        <v>591</v>
      </c>
      <c r="C819" t="s">
        <v>592</v>
      </c>
      <c r="D819" t="str">
        <f>VLOOKUP(J819,Location[],2,FALSE)</f>
        <v>Tucson</v>
      </c>
      <c r="E819" t="str">
        <f>VLOOKUP(J819,Location[],3,FALSE)</f>
        <v> Arizona</v>
      </c>
      <c r="F819" t="str">
        <f>VLOOKUP(K819,Dept[],2,FALSE)</f>
        <v>Accounting</v>
      </c>
      <c r="G819" s="11">
        <f t="shared" si="12"/>
        <v>44621</v>
      </c>
      <c r="H819" t="str">
        <f>VLOOKUP(N819,Status[],2,FALSE)</f>
        <v>Full-Time</v>
      </c>
      <c r="J819" s="7">
        <v>1033</v>
      </c>
      <c r="K819">
        <v>11</v>
      </c>
      <c r="L819">
        <v>2022</v>
      </c>
      <c r="M819">
        <v>3</v>
      </c>
      <c r="N819">
        <v>1</v>
      </c>
    </row>
    <row r="820" spans="1:14" x14ac:dyDescent="0.25">
      <c r="A820" t="s">
        <v>3059</v>
      </c>
      <c r="B820" t="s">
        <v>1184</v>
      </c>
      <c r="C820" t="s">
        <v>592</v>
      </c>
      <c r="D820" t="str">
        <f>VLOOKUP(J820,Location[],2,FALSE)</f>
        <v>Fort Worth</v>
      </c>
      <c r="E820" t="str">
        <f>VLOOKUP(J820,Location[],3,FALSE)</f>
        <v> Texas</v>
      </c>
      <c r="F820" t="str">
        <f>VLOOKUP(K820,Dept[],2,FALSE)</f>
        <v>Accounting</v>
      </c>
      <c r="G820" s="11">
        <f t="shared" si="12"/>
        <v>45231</v>
      </c>
      <c r="H820" t="str">
        <f>VLOOKUP(N820,Status[],2,FALSE)</f>
        <v>Full-Time</v>
      </c>
      <c r="J820" s="7">
        <v>1015</v>
      </c>
      <c r="K820">
        <v>11</v>
      </c>
      <c r="L820">
        <v>2023</v>
      </c>
      <c r="M820">
        <v>11</v>
      </c>
      <c r="N820">
        <v>1</v>
      </c>
    </row>
    <row r="821" spans="1:14" x14ac:dyDescent="0.25">
      <c r="A821" t="s">
        <v>3060</v>
      </c>
      <c r="B821" t="s">
        <v>418</v>
      </c>
      <c r="C821" t="s">
        <v>1037</v>
      </c>
      <c r="D821" t="str">
        <f>VLOOKUP(J821,Location[],2,FALSE)</f>
        <v>New York City</v>
      </c>
      <c r="E821" t="str">
        <f>VLOOKUP(J821,Location[],3,FALSE)</f>
        <v> New York</v>
      </c>
      <c r="F821" t="str">
        <f>VLOOKUP(K821,Dept[],2,FALSE)</f>
        <v>Legal</v>
      </c>
      <c r="G821" s="11">
        <f t="shared" si="12"/>
        <v>44256</v>
      </c>
      <c r="H821" t="str">
        <f>VLOOKUP(N821,Status[],2,FALSE)</f>
        <v>Full-Time</v>
      </c>
      <c r="J821" s="7">
        <v>1001</v>
      </c>
      <c r="K821">
        <v>18</v>
      </c>
      <c r="L821">
        <v>2021</v>
      </c>
      <c r="M821">
        <v>3</v>
      </c>
      <c r="N821">
        <v>1</v>
      </c>
    </row>
    <row r="822" spans="1:14" x14ac:dyDescent="0.25">
      <c r="A822" t="s">
        <v>3061</v>
      </c>
      <c r="B822" t="s">
        <v>2003</v>
      </c>
      <c r="C822" t="s">
        <v>2004</v>
      </c>
      <c r="D822" t="str">
        <f>VLOOKUP(J822,Location[],2,FALSE)</f>
        <v>Columbus</v>
      </c>
      <c r="E822" t="str">
        <f>VLOOKUP(J822,Location[],3,FALSE)</f>
        <v> Ohio</v>
      </c>
      <c r="F822" t="str">
        <f>VLOOKUP(K822,Dept[],2,FALSE)</f>
        <v>Administration</v>
      </c>
      <c r="G822" s="11">
        <f t="shared" si="12"/>
        <v>42917</v>
      </c>
      <c r="H822" t="str">
        <f>VLOOKUP(N822,Status[],2,FALSE)</f>
        <v>Full-Time</v>
      </c>
      <c r="J822" s="7">
        <v>1014</v>
      </c>
      <c r="K822">
        <v>12</v>
      </c>
      <c r="L822">
        <v>2017</v>
      </c>
      <c r="M822">
        <v>7</v>
      </c>
      <c r="N822">
        <v>1</v>
      </c>
    </row>
    <row r="823" spans="1:14" x14ac:dyDescent="0.25">
      <c r="A823" t="s">
        <v>3062</v>
      </c>
      <c r="B823" t="s">
        <v>171</v>
      </c>
      <c r="C823" t="s">
        <v>1099</v>
      </c>
      <c r="D823" t="str">
        <f>VLOOKUP(J823,Location[],2,FALSE)</f>
        <v>Glendale</v>
      </c>
      <c r="E823" t="str">
        <f>VLOOKUP(J823,Location[],3,FALSE)</f>
        <v> Arizona</v>
      </c>
      <c r="F823" t="str">
        <f>VLOOKUP(K823,Dept[],2,FALSE)</f>
        <v>Finance</v>
      </c>
      <c r="G823" s="11">
        <f t="shared" si="12"/>
        <v>42125</v>
      </c>
      <c r="H823" t="str">
        <f>VLOOKUP(N823,Status[],2,FALSE)</f>
        <v>Full-Time</v>
      </c>
      <c r="J823" s="7">
        <v>1087</v>
      </c>
      <c r="K823">
        <v>15</v>
      </c>
      <c r="L823">
        <v>2015</v>
      </c>
      <c r="M823">
        <v>5</v>
      </c>
      <c r="N823">
        <v>1</v>
      </c>
    </row>
    <row r="824" spans="1:14" x14ac:dyDescent="0.25">
      <c r="A824" t="s">
        <v>3063</v>
      </c>
      <c r="B824" t="s">
        <v>1158</v>
      </c>
      <c r="C824" t="s">
        <v>1318</v>
      </c>
      <c r="D824" t="str">
        <f>VLOOKUP(J824,Location[],2,FALSE)</f>
        <v>Long Beach</v>
      </c>
      <c r="E824" t="str">
        <f>VLOOKUP(J824,Location[],3,FALSE)</f>
        <v> California</v>
      </c>
      <c r="F824" t="str">
        <f>VLOOKUP(K824,Dept[],2,FALSE)</f>
        <v>Finance</v>
      </c>
      <c r="G824" s="11">
        <f t="shared" si="12"/>
        <v>41030</v>
      </c>
      <c r="H824" t="str">
        <f>VLOOKUP(N824,Status[],2,FALSE)</f>
        <v>Full-Time</v>
      </c>
      <c r="J824" s="7">
        <v>1039</v>
      </c>
      <c r="K824">
        <v>15</v>
      </c>
      <c r="L824">
        <v>2012</v>
      </c>
      <c r="M824">
        <v>5</v>
      </c>
      <c r="N824">
        <v>1</v>
      </c>
    </row>
    <row r="825" spans="1:14" x14ac:dyDescent="0.25">
      <c r="A825" t="s">
        <v>3064</v>
      </c>
      <c r="B825" t="s">
        <v>246</v>
      </c>
      <c r="C825" t="s">
        <v>1189</v>
      </c>
      <c r="D825" t="str">
        <f>VLOOKUP(J825,Location[],2,FALSE)</f>
        <v>Los Angeles</v>
      </c>
      <c r="E825" t="str">
        <f>VLOOKUP(J825,Location[],3,FALSE)</f>
        <v> California</v>
      </c>
      <c r="F825" t="str">
        <f>VLOOKUP(K825,Dept[],2,FALSE)</f>
        <v>Accounting</v>
      </c>
      <c r="G825" s="11">
        <f t="shared" si="12"/>
        <v>44440</v>
      </c>
      <c r="H825" t="str">
        <f>VLOOKUP(N825,Status[],2,FALSE)</f>
        <v>Full-Time</v>
      </c>
      <c r="J825" s="7">
        <v>1002</v>
      </c>
      <c r="K825">
        <v>11</v>
      </c>
      <c r="L825">
        <v>2021</v>
      </c>
      <c r="M825">
        <v>9</v>
      </c>
      <c r="N825">
        <v>1</v>
      </c>
    </row>
    <row r="826" spans="1:14" x14ac:dyDescent="0.25">
      <c r="A826" t="s">
        <v>3065</v>
      </c>
      <c r="B826" t="s">
        <v>261</v>
      </c>
      <c r="C826" t="s">
        <v>1648</v>
      </c>
      <c r="D826" t="str">
        <f>VLOOKUP(J826,Location[],2,FALSE)</f>
        <v>Houston</v>
      </c>
      <c r="E826" t="str">
        <f>VLOOKUP(J826,Location[],3,FALSE)</f>
        <v> Texas</v>
      </c>
      <c r="F826" t="str">
        <f>VLOOKUP(K826,Dept[],2,FALSE)</f>
        <v>Administration</v>
      </c>
      <c r="G826" s="11">
        <f t="shared" si="12"/>
        <v>42064</v>
      </c>
      <c r="H826" t="str">
        <f>VLOOKUP(N826,Status[],2,FALSE)</f>
        <v>Full-Time</v>
      </c>
      <c r="J826" s="7">
        <v>1004</v>
      </c>
      <c r="K826">
        <v>12</v>
      </c>
      <c r="L826">
        <v>2015</v>
      </c>
      <c r="M826">
        <v>3</v>
      </c>
      <c r="N826">
        <v>1</v>
      </c>
    </row>
    <row r="827" spans="1:14" x14ac:dyDescent="0.25">
      <c r="A827" t="s">
        <v>3066</v>
      </c>
      <c r="B827" t="s">
        <v>1295</v>
      </c>
      <c r="C827" t="s">
        <v>1619</v>
      </c>
      <c r="D827" t="str">
        <f>VLOOKUP(J827,Location[],2,FALSE)</f>
        <v>Washington, D.C.</v>
      </c>
      <c r="E827" t="str">
        <f>VLOOKUP(J827,Location[],3,FALSE)</f>
        <v> District of Columbia</v>
      </c>
      <c r="F827" t="str">
        <f>VLOOKUP(K827,Dept[],2,FALSE)</f>
        <v>Finance</v>
      </c>
      <c r="G827" s="11">
        <f t="shared" si="12"/>
        <v>42036</v>
      </c>
      <c r="H827" t="str">
        <f>VLOOKUP(N827,Status[],2,FALSE)</f>
        <v>Full-Time</v>
      </c>
      <c r="J827" s="7">
        <v>1020</v>
      </c>
      <c r="K827">
        <v>15</v>
      </c>
      <c r="L827">
        <v>2015</v>
      </c>
      <c r="M827">
        <v>2</v>
      </c>
      <c r="N827">
        <v>1</v>
      </c>
    </row>
    <row r="828" spans="1:14" x14ac:dyDescent="0.25">
      <c r="A828" t="s">
        <v>3067</v>
      </c>
      <c r="B828" t="s">
        <v>344</v>
      </c>
      <c r="C828" t="s">
        <v>1113</v>
      </c>
      <c r="D828" t="str">
        <f>VLOOKUP(J828,Location[],2,FALSE)</f>
        <v>Tampa</v>
      </c>
      <c r="E828" t="str">
        <f>VLOOKUP(J828,Location[],3,FALSE)</f>
        <v> Florida</v>
      </c>
      <c r="F828" t="str">
        <f>VLOOKUP(K828,Dept[],2,FALSE)</f>
        <v>Administration</v>
      </c>
      <c r="G828" s="11">
        <f t="shared" si="12"/>
        <v>41061</v>
      </c>
      <c r="H828" t="str">
        <f>VLOOKUP(N828,Status[],2,FALSE)</f>
        <v>Part-Time</v>
      </c>
      <c r="J828" s="7">
        <v>1052</v>
      </c>
      <c r="K828">
        <v>12</v>
      </c>
      <c r="L828">
        <v>2012</v>
      </c>
      <c r="M828">
        <v>6</v>
      </c>
      <c r="N828">
        <v>0</v>
      </c>
    </row>
    <row r="829" spans="1:14" x14ac:dyDescent="0.25">
      <c r="A829" t="s">
        <v>3068</v>
      </c>
      <c r="B829" t="s">
        <v>655</v>
      </c>
      <c r="C829" t="s">
        <v>656</v>
      </c>
      <c r="D829" t="str">
        <f>VLOOKUP(J829,Location[],2,FALSE)</f>
        <v>Raleigh</v>
      </c>
      <c r="E829" t="str">
        <f>VLOOKUP(J829,Location[],3,FALSE)</f>
        <v> North Carolina</v>
      </c>
      <c r="F829" t="str">
        <f>VLOOKUP(K829,Dept[],2,FALSE)</f>
        <v>Customer Support</v>
      </c>
      <c r="G829" s="11">
        <f t="shared" si="12"/>
        <v>44805</v>
      </c>
      <c r="H829" t="str">
        <f>VLOOKUP(N829,Status[],2,FALSE)</f>
        <v>Part-Time</v>
      </c>
      <c r="J829" s="7">
        <v>1041</v>
      </c>
      <c r="K829">
        <v>14</v>
      </c>
      <c r="L829">
        <v>2022</v>
      </c>
      <c r="M829">
        <v>9</v>
      </c>
      <c r="N829">
        <v>0</v>
      </c>
    </row>
    <row r="830" spans="1:14" x14ac:dyDescent="0.25">
      <c r="A830" t="s">
        <v>3069</v>
      </c>
      <c r="B830" t="s">
        <v>47</v>
      </c>
      <c r="C830" t="s">
        <v>48</v>
      </c>
      <c r="D830" t="str">
        <f>VLOOKUP(J830,Location[],2,FALSE)</f>
        <v>New York City</v>
      </c>
      <c r="E830" t="str">
        <f>VLOOKUP(J830,Location[],3,FALSE)</f>
        <v> New York</v>
      </c>
      <c r="F830" t="str">
        <f>VLOOKUP(K830,Dept[],2,FALSE)</f>
        <v>Customer Support</v>
      </c>
      <c r="G830" s="11">
        <f t="shared" si="12"/>
        <v>41365</v>
      </c>
      <c r="H830" t="str">
        <f>VLOOKUP(N830,Status[],2,FALSE)</f>
        <v>Part-Time</v>
      </c>
      <c r="J830" s="7">
        <v>1001</v>
      </c>
      <c r="K830">
        <v>14</v>
      </c>
      <c r="L830">
        <v>2013</v>
      </c>
      <c r="M830">
        <v>4</v>
      </c>
      <c r="N830">
        <v>0</v>
      </c>
    </row>
    <row r="831" spans="1:14" x14ac:dyDescent="0.25">
      <c r="A831" t="s">
        <v>3070</v>
      </c>
      <c r="B831" t="s">
        <v>1625</v>
      </c>
      <c r="C831" t="s">
        <v>1626</v>
      </c>
      <c r="D831" t="str">
        <f>VLOOKUP(J831,Location[],2,FALSE)</f>
        <v>Los Angeles</v>
      </c>
      <c r="E831" t="str">
        <f>VLOOKUP(J831,Location[],3,FALSE)</f>
        <v> California</v>
      </c>
      <c r="F831" t="str">
        <f>VLOOKUP(K831,Dept[],2,FALSE)</f>
        <v>Accounting</v>
      </c>
      <c r="G831" s="11">
        <f t="shared" si="12"/>
        <v>41974</v>
      </c>
      <c r="H831" t="str">
        <f>VLOOKUP(N831,Status[],2,FALSE)</f>
        <v>Full-Time</v>
      </c>
      <c r="J831" s="7">
        <v>1002</v>
      </c>
      <c r="K831">
        <v>11</v>
      </c>
      <c r="L831">
        <v>2014</v>
      </c>
      <c r="M831">
        <v>12</v>
      </c>
      <c r="N831">
        <v>1</v>
      </c>
    </row>
    <row r="832" spans="1:14" x14ac:dyDescent="0.25">
      <c r="A832" t="s">
        <v>3071</v>
      </c>
      <c r="B832" t="s">
        <v>1692</v>
      </c>
      <c r="C832" t="s">
        <v>1693</v>
      </c>
      <c r="D832" t="str">
        <f>VLOOKUP(J832,Location[],2,FALSE)</f>
        <v>Dallas</v>
      </c>
      <c r="E832" t="str">
        <f>VLOOKUP(J832,Location[],3,FALSE)</f>
        <v> Texas</v>
      </c>
      <c r="F832" t="str">
        <f>VLOOKUP(K832,Dept[],2,FALSE)</f>
        <v>IT</v>
      </c>
      <c r="G832" s="11">
        <f t="shared" si="12"/>
        <v>42856</v>
      </c>
      <c r="H832" t="str">
        <f>VLOOKUP(N832,Status[],2,FALSE)</f>
        <v>Part-Time</v>
      </c>
      <c r="J832" s="7">
        <v>1009</v>
      </c>
      <c r="K832">
        <v>17</v>
      </c>
      <c r="L832">
        <v>2017</v>
      </c>
      <c r="M832">
        <v>5</v>
      </c>
      <c r="N832">
        <v>0</v>
      </c>
    </row>
    <row r="833" spans="1:14" x14ac:dyDescent="0.25">
      <c r="A833" t="s">
        <v>3072</v>
      </c>
      <c r="B833" t="s">
        <v>1011</v>
      </c>
      <c r="C833" t="s">
        <v>1012</v>
      </c>
      <c r="D833" t="str">
        <f>VLOOKUP(J833,Location[],2,FALSE)</f>
        <v>Las Vegas</v>
      </c>
      <c r="E833" t="str">
        <f>VLOOKUP(J833,Location[],3,FALSE)</f>
        <v> Nevada</v>
      </c>
      <c r="F833" t="str">
        <f>VLOOKUP(K833,Dept[],2,FALSE)</f>
        <v>Sales</v>
      </c>
      <c r="G833" s="11">
        <f t="shared" si="12"/>
        <v>44774</v>
      </c>
      <c r="H833" t="str">
        <f>VLOOKUP(N833,Status[],2,FALSE)</f>
        <v>Full-Time</v>
      </c>
      <c r="J833" s="7">
        <v>1028</v>
      </c>
      <c r="K833">
        <v>22</v>
      </c>
      <c r="L833">
        <v>2022</v>
      </c>
      <c r="M833">
        <v>8</v>
      </c>
      <c r="N833">
        <v>1</v>
      </c>
    </row>
    <row r="834" spans="1:14" x14ac:dyDescent="0.25">
      <c r="A834" t="s">
        <v>3073</v>
      </c>
      <c r="B834" t="s">
        <v>117</v>
      </c>
      <c r="C834" t="s">
        <v>1723</v>
      </c>
      <c r="D834" t="str">
        <f>VLOOKUP(J834,Location[],2,FALSE)</f>
        <v>Philadelphia</v>
      </c>
      <c r="E834" t="str">
        <f>VLOOKUP(J834,Location[],3,FALSE)</f>
        <v> Pennsylvania</v>
      </c>
      <c r="F834" t="str">
        <f>VLOOKUP(K834,Dept[],2,FALSE)</f>
        <v>Sales</v>
      </c>
      <c r="G834" s="11">
        <f t="shared" si="12"/>
        <v>42948</v>
      </c>
      <c r="H834" t="str">
        <f>VLOOKUP(N834,Status[],2,FALSE)</f>
        <v>Part-Time</v>
      </c>
      <c r="J834" s="7">
        <v>1006</v>
      </c>
      <c r="K834">
        <v>22</v>
      </c>
      <c r="L834">
        <v>2017</v>
      </c>
      <c r="M834">
        <v>8</v>
      </c>
      <c r="N834">
        <v>0</v>
      </c>
    </row>
    <row r="835" spans="1:14" x14ac:dyDescent="0.25">
      <c r="A835" t="s">
        <v>3074</v>
      </c>
      <c r="B835" t="s">
        <v>1722</v>
      </c>
      <c r="C835" t="s">
        <v>1723</v>
      </c>
      <c r="D835" t="str">
        <f>VLOOKUP(J835,Location[],2,FALSE)</f>
        <v>Las Vegas</v>
      </c>
      <c r="E835" t="str">
        <f>VLOOKUP(J835,Location[],3,FALSE)</f>
        <v> Nevada</v>
      </c>
      <c r="F835" t="str">
        <f>VLOOKUP(K835,Dept[],2,FALSE)</f>
        <v>Customer Support</v>
      </c>
      <c r="G835" s="11">
        <f t="shared" si="12"/>
        <v>44075</v>
      </c>
      <c r="H835" t="str">
        <f>VLOOKUP(N835,Status[],2,FALSE)</f>
        <v>Full-Time</v>
      </c>
      <c r="J835" s="7">
        <v>1028</v>
      </c>
      <c r="K835">
        <v>14</v>
      </c>
      <c r="L835">
        <v>2020</v>
      </c>
      <c r="M835">
        <v>9</v>
      </c>
      <c r="N835">
        <v>1</v>
      </c>
    </row>
    <row r="836" spans="1:14" x14ac:dyDescent="0.25">
      <c r="A836" t="s">
        <v>3075</v>
      </c>
      <c r="B836" t="s">
        <v>450</v>
      </c>
      <c r="C836" t="s">
        <v>1749</v>
      </c>
      <c r="D836" t="str">
        <f>VLOOKUP(J836,Location[],2,FALSE)</f>
        <v>Houston</v>
      </c>
      <c r="E836" t="str">
        <f>VLOOKUP(J836,Location[],3,FALSE)</f>
        <v> Texas</v>
      </c>
      <c r="F836" t="str">
        <f>VLOOKUP(K836,Dept[],2,FALSE)</f>
        <v>Sales</v>
      </c>
      <c r="G836" s="11">
        <f t="shared" si="12"/>
        <v>44044</v>
      </c>
      <c r="H836" t="str">
        <f>VLOOKUP(N836,Status[],2,FALSE)</f>
        <v>Full-Time</v>
      </c>
      <c r="J836" s="7">
        <v>1004</v>
      </c>
      <c r="K836">
        <v>22</v>
      </c>
      <c r="L836">
        <v>2020</v>
      </c>
      <c r="M836">
        <v>8</v>
      </c>
      <c r="N836">
        <v>1</v>
      </c>
    </row>
    <row r="837" spans="1:14" x14ac:dyDescent="0.25">
      <c r="A837" t="s">
        <v>3076</v>
      </c>
      <c r="B837" t="s">
        <v>110</v>
      </c>
      <c r="C837" t="s">
        <v>94</v>
      </c>
      <c r="D837" t="str">
        <f>VLOOKUP(J837,Location[],2,FALSE)</f>
        <v>San Francisco</v>
      </c>
      <c r="E837" t="str">
        <f>VLOOKUP(J837,Location[],3,FALSE)</f>
        <v> California</v>
      </c>
      <c r="F837" t="str">
        <f>VLOOKUP(K837,Dept[],2,FALSE)</f>
        <v>Administration</v>
      </c>
      <c r="G837" s="11">
        <f t="shared" ref="G837:G900" si="13">DATE(L837,M837,1)</f>
        <v>44562</v>
      </c>
      <c r="H837" t="str">
        <f>VLOOKUP(N837,Status[],2,FALSE)</f>
        <v>Part-Time</v>
      </c>
      <c r="J837" s="7">
        <v>1013</v>
      </c>
      <c r="K837">
        <v>12</v>
      </c>
      <c r="L837">
        <v>2022</v>
      </c>
      <c r="M837">
        <v>1</v>
      </c>
      <c r="N837">
        <v>0</v>
      </c>
    </row>
    <row r="838" spans="1:14" x14ac:dyDescent="0.25">
      <c r="A838" t="s">
        <v>3077</v>
      </c>
      <c r="B838" t="s">
        <v>83</v>
      </c>
      <c r="C838" t="s">
        <v>94</v>
      </c>
      <c r="D838" t="str">
        <f>VLOOKUP(J838,Location[],2,FALSE)</f>
        <v>Corpus Christi</v>
      </c>
      <c r="E838" t="str">
        <f>VLOOKUP(J838,Location[],3,FALSE)</f>
        <v> Texas</v>
      </c>
      <c r="F838" t="str">
        <f>VLOOKUP(K838,Dept[],2,FALSE)</f>
        <v>Sales</v>
      </c>
      <c r="G838" s="11">
        <f t="shared" si="13"/>
        <v>42705</v>
      </c>
      <c r="H838" t="str">
        <f>VLOOKUP(N838,Status[],2,FALSE)</f>
        <v>Full-Time</v>
      </c>
      <c r="J838" s="7">
        <v>1059</v>
      </c>
      <c r="K838">
        <v>22</v>
      </c>
      <c r="L838">
        <v>2016</v>
      </c>
      <c r="M838">
        <v>12</v>
      </c>
      <c r="N838">
        <v>1</v>
      </c>
    </row>
    <row r="839" spans="1:14" x14ac:dyDescent="0.25">
      <c r="A839" t="s">
        <v>3078</v>
      </c>
      <c r="B839" t="s">
        <v>198</v>
      </c>
      <c r="C839" t="s">
        <v>619</v>
      </c>
      <c r="D839" t="str">
        <f>VLOOKUP(J839,Location[],2,FALSE)</f>
        <v>New York City</v>
      </c>
      <c r="E839" t="str">
        <f>VLOOKUP(J839,Location[],3,FALSE)</f>
        <v> New York</v>
      </c>
      <c r="F839" t="str">
        <f>VLOOKUP(K839,Dept[],2,FALSE)</f>
        <v>Sales</v>
      </c>
      <c r="G839" s="11">
        <f t="shared" si="13"/>
        <v>43556</v>
      </c>
      <c r="H839" t="str">
        <f>VLOOKUP(N839,Status[],2,FALSE)</f>
        <v>Part-Time</v>
      </c>
      <c r="J839" s="7">
        <v>1001</v>
      </c>
      <c r="K839">
        <v>22</v>
      </c>
      <c r="L839">
        <v>2019</v>
      </c>
      <c r="M839">
        <v>4</v>
      </c>
      <c r="N839">
        <v>0</v>
      </c>
    </row>
    <row r="840" spans="1:14" x14ac:dyDescent="0.25">
      <c r="A840" t="s">
        <v>3079</v>
      </c>
      <c r="B840" t="s">
        <v>5</v>
      </c>
      <c r="C840" t="s">
        <v>1872</v>
      </c>
      <c r="D840" t="str">
        <f>VLOOKUP(J840,Location[],2,FALSE)</f>
        <v>Virginia Beach</v>
      </c>
      <c r="E840" t="str">
        <f>VLOOKUP(J840,Location[],3,FALSE)</f>
        <v> Virginia</v>
      </c>
      <c r="F840" t="str">
        <f>VLOOKUP(K840,Dept[],2,FALSE)</f>
        <v>Marketing</v>
      </c>
      <c r="G840" s="11">
        <f t="shared" si="13"/>
        <v>41275</v>
      </c>
      <c r="H840" t="str">
        <f>VLOOKUP(N840,Status[],2,FALSE)</f>
        <v>Full-Time</v>
      </c>
      <c r="J840" s="7">
        <v>1044</v>
      </c>
      <c r="K840">
        <v>19</v>
      </c>
      <c r="L840">
        <v>2013</v>
      </c>
      <c r="M840">
        <v>1</v>
      </c>
      <c r="N840">
        <v>1</v>
      </c>
    </row>
    <row r="841" spans="1:14" x14ac:dyDescent="0.25">
      <c r="A841" t="s">
        <v>3080</v>
      </c>
      <c r="B841" t="s">
        <v>429</v>
      </c>
      <c r="C841" t="s">
        <v>474</v>
      </c>
      <c r="D841" t="str">
        <f>VLOOKUP(J841,Location[],2,FALSE)</f>
        <v>Indianapolis</v>
      </c>
      <c r="E841" t="str">
        <f>VLOOKUP(J841,Location[],3,FALSE)</f>
        <v> Indiana</v>
      </c>
      <c r="F841" t="str">
        <f>VLOOKUP(K841,Dept[],2,FALSE)</f>
        <v>Assessment</v>
      </c>
      <c r="G841" s="11">
        <f t="shared" si="13"/>
        <v>44531</v>
      </c>
      <c r="H841" t="str">
        <f>VLOOKUP(N841,Status[],2,FALSE)</f>
        <v>Part-Time</v>
      </c>
      <c r="J841" s="7">
        <v>1016</v>
      </c>
      <c r="K841">
        <v>13</v>
      </c>
      <c r="L841">
        <v>2021</v>
      </c>
      <c r="M841">
        <v>12</v>
      </c>
      <c r="N841">
        <v>0</v>
      </c>
    </row>
    <row r="842" spans="1:14" x14ac:dyDescent="0.25">
      <c r="A842" t="s">
        <v>3081</v>
      </c>
      <c r="B842" t="s">
        <v>149</v>
      </c>
      <c r="C842" t="s">
        <v>833</v>
      </c>
      <c r="D842" t="str">
        <f>VLOOKUP(J842,Location[],2,FALSE)</f>
        <v>Mesa</v>
      </c>
      <c r="E842" t="str">
        <f>VLOOKUP(J842,Location[],3,FALSE)</f>
        <v> Arizona</v>
      </c>
      <c r="F842" t="str">
        <f>VLOOKUP(K842,Dept[],2,FALSE)</f>
        <v>Administration</v>
      </c>
      <c r="G842" s="11">
        <f t="shared" si="13"/>
        <v>42095</v>
      </c>
      <c r="H842" t="str">
        <f>VLOOKUP(N842,Status[],2,FALSE)</f>
        <v>Full-Time</v>
      </c>
      <c r="J842" s="7">
        <v>1036</v>
      </c>
      <c r="K842">
        <v>12</v>
      </c>
      <c r="L842">
        <v>2015</v>
      </c>
      <c r="M842">
        <v>4</v>
      </c>
      <c r="N842">
        <v>1</v>
      </c>
    </row>
    <row r="843" spans="1:14" x14ac:dyDescent="0.25">
      <c r="A843" t="s">
        <v>3082</v>
      </c>
      <c r="B843" t="s">
        <v>438</v>
      </c>
      <c r="C843" t="s">
        <v>1608</v>
      </c>
      <c r="D843" t="str">
        <f>VLOOKUP(J843,Location[],2,FALSE)</f>
        <v>Buffalo</v>
      </c>
      <c r="E843" t="str">
        <f>VLOOKUP(J843,Location[],3,FALSE)</f>
        <v> New York</v>
      </c>
      <c r="F843" t="str">
        <f>VLOOKUP(K843,Dept[],2,FALSE)</f>
        <v>Customer Support</v>
      </c>
      <c r="G843" s="11">
        <f t="shared" si="13"/>
        <v>42675</v>
      </c>
      <c r="H843" t="str">
        <f>VLOOKUP(N843,Status[],2,FALSE)</f>
        <v>Full-Time</v>
      </c>
      <c r="J843" s="7">
        <v>1081</v>
      </c>
      <c r="K843">
        <v>14</v>
      </c>
      <c r="L843">
        <v>2016</v>
      </c>
      <c r="M843">
        <v>11</v>
      </c>
      <c r="N843">
        <v>1</v>
      </c>
    </row>
    <row r="844" spans="1:14" x14ac:dyDescent="0.25">
      <c r="A844" t="s">
        <v>3083</v>
      </c>
      <c r="B844" t="s">
        <v>575</v>
      </c>
      <c r="C844" t="s">
        <v>1608</v>
      </c>
      <c r="D844" t="str">
        <f>VLOOKUP(J844,Location[],2,FALSE)</f>
        <v>Norfolk</v>
      </c>
      <c r="E844" t="str">
        <f>VLOOKUP(J844,Location[],3,FALSE)</f>
        <v> Virginia</v>
      </c>
      <c r="F844" t="str">
        <f>VLOOKUP(K844,Dept[],2,FALSE)</f>
        <v>Administration</v>
      </c>
      <c r="G844" s="11">
        <f t="shared" si="13"/>
        <v>41518</v>
      </c>
      <c r="H844" t="str">
        <f>VLOOKUP(N844,Status[],2,FALSE)</f>
        <v>Full-Time</v>
      </c>
      <c r="J844" s="7">
        <v>1088</v>
      </c>
      <c r="K844">
        <v>12</v>
      </c>
      <c r="L844">
        <v>2013</v>
      </c>
      <c r="M844">
        <v>9</v>
      </c>
      <c r="N844">
        <v>1</v>
      </c>
    </row>
    <row r="845" spans="1:14" x14ac:dyDescent="0.25">
      <c r="A845" t="s">
        <v>3084</v>
      </c>
      <c r="B845" t="s">
        <v>19</v>
      </c>
      <c r="C845" t="s">
        <v>958</v>
      </c>
      <c r="D845" t="str">
        <f>VLOOKUP(J845,Location[],2,FALSE)</f>
        <v>Los Angeles</v>
      </c>
      <c r="E845" t="str">
        <f>VLOOKUP(J845,Location[],3,FALSE)</f>
        <v> California</v>
      </c>
      <c r="F845" t="str">
        <f>VLOOKUP(K845,Dept[],2,FALSE)</f>
        <v>Media</v>
      </c>
      <c r="G845" s="11">
        <f t="shared" si="13"/>
        <v>45170</v>
      </c>
      <c r="H845" t="str">
        <f>VLOOKUP(N845,Status[],2,FALSE)</f>
        <v>Full-Time</v>
      </c>
      <c r="J845" s="7">
        <v>1002</v>
      </c>
      <c r="K845">
        <v>20</v>
      </c>
      <c r="L845">
        <v>2023</v>
      </c>
      <c r="M845">
        <v>9</v>
      </c>
      <c r="N845">
        <v>1</v>
      </c>
    </row>
    <row r="846" spans="1:14" x14ac:dyDescent="0.25">
      <c r="A846" t="s">
        <v>3085</v>
      </c>
      <c r="B846" t="s">
        <v>1589</v>
      </c>
      <c r="C846" t="s">
        <v>1590</v>
      </c>
      <c r="D846" t="str">
        <f>VLOOKUP(J846,Location[],2,FALSE)</f>
        <v>New York City</v>
      </c>
      <c r="E846" t="str">
        <f>VLOOKUP(J846,Location[],3,FALSE)</f>
        <v> New York</v>
      </c>
      <c r="F846" t="str">
        <f>VLOOKUP(K846,Dept[],2,FALSE)</f>
        <v>Customer Support</v>
      </c>
      <c r="G846" s="11">
        <f t="shared" si="13"/>
        <v>44621</v>
      </c>
      <c r="H846" t="str">
        <f>VLOOKUP(N846,Status[],2,FALSE)</f>
        <v>Full-Time</v>
      </c>
      <c r="J846" s="7">
        <v>1001</v>
      </c>
      <c r="K846">
        <v>14</v>
      </c>
      <c r="L846">
        <v>2022</v>
      </c>
      <c r="M846">
        <v>3</v>
      </c>
      <c r="N846">
        <v>1</v>
      </c>
    </row>
    <row r="847" spans="1:14" x14ac:dyDescent="0.25">
      <c r="A847" t="s">
        <v>3086</v>
      </c>
      <c r="B847" t="s">
        <v>644</v>
      </c>
      <c r="C847" t="s">
        <v>645</v>
      </c>
      <c r="D847" t="str">
        <f>VLOOKUP(J847,Location[],2,FALSE)</f>
        <v>Detroit</v>
      </c>
      <c r="E847" t="str">
        <f>VLOOKUP(J847,Location[],3,FALSE)</f>
        <v> Michigan</v>
      </c>
      <c r="F847" t="str">
        <f>VLOOKUP(K847,Dept[],2,FALSE)</f>
        <v>IT</v>
      </c>
      <c r="G847" s="11">
        <f t="shared" si="13"/>
        <v>44105</v>
      </c>
      <c r="H847" t="str">
        <f>VLOOKUP(N847,Status[],2,FALSE)</f>
        <v>Full-Time</v>
      </c>
      <c r="J847" s="7">
        <v>1023</v>
      </c>
      <c r="K847">
        <v>17</v>
      </c>
      <c r="L847">
        <v>2020</v>
      </c>
      <c r="M847">
        <v>10</v>
      </c>
      <c r="N847">
        <v>1</v>
      </c>
    </row>
    <row r="848" spans="1:14" x14ac:dyDescent="0.25">
      <c r="A848" t="s">
        <v>3087</v>
      </c>
      <c r="B848" t="s">
        <v>144</v>
      </c>
      <c r="C848" t="s">
        <v>1229</v>
      </c>
      <c r="D848" t="str">
        <f>VLOOKUP(J848,Location[],2,FALSE)</f>
        <v>Miami</v>
      </c>
      <c r="E848" t="str">
        <f>VLOOKUP(J848,Location[],3,FALSE)</f>
        <v> Florida</v>
      </c>
      <c r="F848" t="str">
        <f>VLOOKUP(K848,Dept[],2,FALSE)</f>
        <v>IT</v>
      </c>
      <c r="G848" s="11">
        <f t="shared" si="13"/>
        <v>43831</v>
      </c>
      <c r="H848" t="str">
        <f>VLOOKUP(N848,Status[],2,FALSE)</f>
        <v>Full-Time</v>
      </c>
      <c r="J848" s="7">
        <v>1043</v>
      </c>
      <c r="K848">
        <v>17</v>
      </c>
      <c r="L848">
        <v>2020</v>
      </c>
      <c r="M848">
        <v>1</v>
      </c>
      <c r="N848">
        <v>1</v>
      </c>
    </row>
    <row r="849" spans="1:14" x14ac:dyDescent="0.25">
      <c r="A849" t="s">
        <v>3088</v>
      </c>
      <c r="B849" t="s">
        <v>841</v>
      </c>
      <c r="C849" t="s">
        <v>842</v>
      </c>
      <c r="D849" t="str">
        <f>VLOOKUP(J849,Location[],2,FALSE)</f>
        <v>Houston</v>
      </c>
      <c r="E849" t="str">
        <f>VLOOKUP(J849,Location[],3,FALSE)</f>
        <v> Texas</v>
      </c>
      <c r="F849" t="str">
        <f>VLOOKUP(K849,Dept[],2,FALSE)</f>
        <v>Sales</v>
      </c>
      <c r="G849" s="11">
        <f t="shared" si="13"/>
        <v>41334</v>
      </c>
      <c r="H849" t="str">
        <f>VLOOKUP(N849,Status[],2,FALSE)</f>
        <v>Full-Time</v>
      </c>
      <c r="J849" s="7">
        <v>1004</v>
      </c>
      <c r="K849">
        <v>22</v>
      </c>
      <c r="L849">
        <v>2013</v>
      </c>
      <c r="M849">
        <v>3</v>
      </c>
      <c r="N849">
        <v>1</v>
      </c>
    </row>
    <row r="850" spans="1:14" x14ac:dyDescent="0.25">
      <c r="A850" t="s">
        <v>3089</v>
      </c>
      <c r="B850" t="s">
        <v>541</v>
      </c>
      <c r="C850" t="s">
        <v>854</v>
      </c>
      <c r="D850" t="str">
        <f>VLOOKUP(J850,Location[],2,FALSE)</f>
        <v>Columbus</v>
      </c>
      <c r="E850" t="str">
        <f>VLOOKUP(J850,Location[],3,FALSE)</f>
        <v> Ohio</v>
      </c>
      <c r="F850" t="str">
        <f>VLOOKUP(K850,Dept[],2,FALSE)</f>
        <v>Customer Support</v>
      </c>
      <c r="G850" s="11">
        <f t="shared" si="13"/>
        <v>44044</v>
      </c>
      <c r="H850" t="str">
        <f>VLOOKUP(N850,Status[],2,FALSE)</f>
        <v>Full-Time</v>
      </c>
      <c r="J850" s="7">
        <v>1014</v>
      </c>
      <c r="K850">
        <v>14</v>
      </c>
      <c r="L850">
        <v>2020</v>
      </c>
      <c r="M850">
        <v>8</v>
      </c>
      <c r="N850">
        <v>1</v>
      </c>
    </row>
    <row r="851" spans="1:14" x14ac:dyDescent="0.25">
      <c r="A851" t="s">
        <v>3090</v>
      </c>
      <c r="B851" t="s">
        <v>180</v>
      </c>
      <c r="C851" t="s">
        <v>672</v>
      </c>
      <c r="D851" t="str">
        <f>VLOOKUP(J851,Location[],2,FALSE)</f>
        <v>Lincoln</v>
      </c>
      <c r="E851" t="str">
        <f>VLOOKUP(J851,Location[],3,FALSE)</f>
        <v> Nebraska</v>
      </c>
      <c r="F851" t="str">
        <f>VLOOKUP(K851,Dept[],2,FALSE)</f>
        <v>Accounting</v>
      </c>
      <c r="G851" s="11">
        <f t="shared" si="13"/>
        <v>44348</v>
      </c>
      <c r="H851" t="str">
        <f>VLOOKUP(N851,Status[],2,FALSE)</f>
        <v>Part-Time</v>
      </c>
      <c r="J851" s="7">
        <v>1071</v>
      </c>
      <c r="K851">
        <v>11</v>
      </c>
      <c r="L851">
        <v>2021</v>
      </c>
      <c r="M851">
        <v>6</v>
      </c>
      <c r="N851">
        <v>0</v>
      </c>
    </row>
    <row r="852" spans="1:14" x14ac:dyDescent="0.25">
      <c r="A852" t="s">
        <v>3091</v>
      </c>
      <c r="B852" t="s">
        <v>246</v>
      </c>
      <c r="C852" t="s">
        <v>210</v>
      </c>
      <c r="D852" t="str">
        <f>VLOOKUP(J852,Location[],2,FALSE)</f>
        <v>Chicago</v>
      </c>
      <c r="E852" t="str">
        <f>VLOOKUP(J852,Location[],3,FALSE)</f>
        <v> Illinois</v>
      </c>
      <c r="F852" t="str">
        <f>VLOOKUP(K852,Dept[],2,FALSE)</f>
        <v>Marketing</v>
      </c>
      <c r="G852" s="11">
        <f t="shared" si="13"/>
        <v>43405</v>
      </c>
      <c r="H852" t="str">
        <f>VLOOKUP(N852,Status[],2,FALSE)</f>
        <v>Full-Time</v>
      </c>
      <c r="J852" s="7">
        <v>1003</v>
      </c>
      <c r="K852">
        <v>19</v>
      </c>
      <c r="L852">
        <v>2018</v>
      </c>
      <c r="M852">
        <v>11</v>
      </c>
      <c r="N852">
        <v>1</v>
      </c>
    </row>
    <row r="853" spans="1:14" x14ac:dyDescent="0.25">
      <c r="A853" t="s">
        <v>3092</v>
      </c>
      <c r="B853" t="s">
        <v>209</v>
      </c>
      <c r="C853" t="s">
        <v>210</v>
      </c>
      <c r="D853" t="str">
        <f>VLOOKUP(J853,Location[],2,FALSE)</f>
        <v>Buffalo</v>
      </c>
      <c r="E853" t="str">
        <f>VLOOKUP(J853,Location[],3,FALSE)</f>
        <v> New York</v>
      </c>
      <c r="F853" t="str">
        <f>VLOOKUP(K853,Dept[],2,FALSE)</f>
        <v>Marketing</v>
      </c>
      <c r="G853" s="11">
        <f t="shared" si="13"/>
        <v>44228</v>
      </c>
      <c r="H853" t="str">
        <f>VLOOKUP(N853,Status[],2,FALSE)</f>
        <v>Full-Time</v>
      </c>
      <c r="J853" s="7">
        <v>1081</v>
      </c>
      <c r="K853">
        <v>19</v>
      </c>
      <c r="L853">
        <v>2021</v>
      </c>
      <c r="M853">
        <v>2</v>
      </c>
      <c r="N853">
        <v>1</v>
      </c>
    </row>
    <row r="854" spans="1:14" x14ac:dyDescent="0.25">
      <c r="A854" t="s">
        <v>3093</v>
      </c>
      <c r="B854" t="s">
        <v>10</v>
      </c>
      <c r="C854" t="s">
        <v>1957</v>
      </c>
      <c r="D854" t="str">
        <f>VLOOKUP(J854,Location[],2,FALSE)</f>
        <v>Kansas City</v>
      </c>
      <c r="E854" t="str">
        <f>VLOOKUP(J854,Location[],3,FALSE)</f>
        <v> Missouri</v>
      </c>
      <c r="F854" t="str">
        <f>VLOOKUP(K854,Dept[],2,FALSE)</f>
        <v>Customer Support</v>
      </c>
      <c r="G854" s="11">
        <f t="shared" si="13"/>
        <v>43435</v>
      </c>
      <c r="H854" t="str">
        <f>VLOOKUP(N854,Status[],2,FALSE)</f>
        <v>Full-Time</v>
      </c>
      <c r="J854" s="7">
        <v>1037</v>
      </c>
      <c r="K854">
        <v>14</v>
      </c>
      <c r="L854">
        <v>2018</v>
      </c>
      <c r="M854">
        <v>12</v>
      </c>
      <c r="N854">
        <v>1</v>
      </c>
    </row>
    <row r="855" spans="1:14" x14ac:dyDescent="0.25">
      <c r="A855" t="s">
        <v>3094</v>
      </c>
      <c r="B855" t="s">
        <v>326</v>
      </c>
      <c r="C855" t="s">
        <v>1641</v>
      </c>
      <c r="D855" t="str">
        <f>VLOOKUP(J855,Location[],2,FALSE)</f>
        <v>New York City</v>
      </c>
      <c r="E855" t="str">
        <f>VLOOKUP(J855,Location[],3,FALSE)</f>
        <v> New York</v>
      </c>
      <c r="F855" t="str">
        <f>VLOOKUP(K855,Dept[],2,FALSE)</f>
        <v>Media</v>
      </c>
      <c r="G855" s="11">
        <f t="shared" si="13"/>
        <v>41699</v>
      </c>
      <c r="H855" t="str">
        <f>VLOOKUP(N855,Status[],2,FALSE)</f>
        <v>Full-Time</v>
      </c>
      <c r="J855" s="7">
        <v>1001</v>
      </c>
      <c r="K855">
        <v>20</v>
      </c>
      <c r="L855">
        <v>2014</v>
      </c>
      <c r="M855">
        <v>3</v>
      </c>
      <c r="N855">
        <v>1</v>
      </c>
    </row>
    <row r="856" spans="1:14" x14ac:dyDescent="0.25">
      <c r="A856" t="s">
        <v>3095</v>
      </c>
      <c r="B856" t="s">
        <v>408</v>
      </c>
      <c r="C856" t="s">
        <v>611</v>
      </c>
      <c r="D856" t="str">
        <f>VLOOKUP(J856,Location[],2,FALSE)</f>
        <v>Atlanta</v>
      </c>
      <c r="E856" t="str">
        <f>VLOOKUP(J856,Location[],3,FALSE)</f>
        <v> Georgia</v>
      </c>
      <c r="F856" t="str">
        <f>VLOOKUP(K856,Dept[],2,FALSE)</f>
        <v>Sales</v>
      </c>
      <c r="G856" s="11">
        <f t="shared" si="13"/>
        <v>44743</v>
      </c>
      <c r="H856" t="str">
        <f>VLOOKUP(N856,Status[],2,FALSE)</f>
        <v>Part-Time</v>
      </c>
      <c r="J856" s="7">
        <v>1038</v>
      </c>
      <c r="K856">
        <v>22</v>
      </c>
      <c r="L856">
        <v>2022</v>
      </c>
      <c r="M856">
        <v>7</v>
      </c>
      <c r="N856">
        <v>0</v>
      </c>
    </row>
    <row r="857" spans="1:14" x14ac:dyDescent="0.25">
      <c r="A857" t="s">
        <v>3096</v>
      </c>
      <c r="B857" t="s">
        <v>337</v>
      </c>
      <c r="C857" t="s">
        <v>627</v>
      </c>
      <c r="D857" t="str">
        <f>VLOOKUP(J857,Location[],2,FALSE)</f>
        <v>Houston</v>
      </c>
      <c r="E857" t="str">
        <f>VLOOKUP(J857,Location[],3,FALSE)</f>
        <v> Texas</v>
      </c>
      <c r="F857" t="str">
        <f>VLOOKUP(K857,Dept[],2,FALSE)</f>
        <v>Accounting</v>
      </c>
      <c r="G857" s="11">
        <f t="shared" si="13"/>
        <v>41030</v>
      </c>
      <c r="H857" t="str">
        <f>VLOOKUP(N857,Status[],2,FALSE)</f>
        <v>Full-Time</v>
      </c>
      <c r="J857" s="7">
        <v>1004</v>
      </c>
      <c r="K857">
        <v>11</v>
      </c>
      <c r="L857">
        <v>2012</v>
      </c>
      <c r="M857">
        <v>5</v>
      </c>
      <c r="N857">
        <v>1</v>
      </c>
    </row>
    <row r="858" spans="1:14" x14ac:dyDescent="0.25">
      <c r="A858" t="s">
        <v>3097</v>
      </c>
      <c r="B858" t="s">
        <v>1383</v>
      </c>
      <c r="C858" t="s">
        <v>1160</v>
      </c>
      <c r="D858" t="str">
        <f>VLOOKUP(J858,Location[],2,FALSE)</f>
        <v>Albuquerque</v>
      </c>
      <c r="E858" t="str">
        <f>VLOOKUP(J858,Location[],3,FALSE)</f>
        <v> New Mexico</v>
      </c>
      <c r="F858" t="str">
        <f>VLOOKUP(K858,Dept[],2,FALSE)</f>
        <v>Sales</v>
      </c>
      <c r="G858" s="11">
        <f t="shared" si="13"/>
        <v>42767</v>
      </c>
      <c r="H858" t="str">
        <f>VLOOKUP(N858,Status[],2,FALSE)</f>
        <v>Full-Time</v>
      </c>
      <c r="J858" s="7">
        <v>1032</v>
      </c>
      <c r="K858">
        <v>22</v>
      </c>
      <c r="L858">
        <v>2017</v>
      </c>
      <c r="M858">
        <v>2</v>
      </c>
      <c r="N858">
        <v>1</v>
      </c>
    </row>
    <row r="859" spans="1:14" x14ac:dyDescent="0.25">
      <c r="A859" t="s">
        <v>3098</v>
      </c>
      <c r="B859" t="s">
        <v>779</v>
      </c>
      <c r="C859" t="s">
        <v>780</v>
      </c>
      <c r="D859" t="str">
        <f>VLOOKUP(J859,Location[],2,FALSE)</f>
        <v>Reno</v>
      </c>
      <c r="E859" t="str">
        <f>VLOOKUP(J859,Location[],3,FALSE)</f>
        <v> Nevada</v>
      </c>
      <c r="F859" t="str">
        <f>VLOOKUP(K859,Dept[],2,FALSE)</f>
        <v>Legal</v>
      </c>
      <c r="G859" s="11">
        <f t="shared" si="13"/>
        <v>44197</v>
      </c>
      <c r="H859" t="str">
        <f>VLOOKUP(N859,Status[],2,FALSE)</f>
        <v>Full-Time</v>
      </c>
      <c r="J859" s="7">
        <v>1086</v>
      </c>
      <c r="K859">
        <v>18</v>
      </c>
      <c r="L859">
        <v>2021</v>
      </c>
      <c r="M859">
        <v>1</v>
      </c>
      <c r="N859">
        <v>1</v>
      </c>
    </row>
    <row r="860" spans="1:14" x14ac:dyDescent="0.25">
      <c r="A860" t="s">
        <v>3099</v>
      </c>
      <c r="B860" t="s">
        <v>47</v>
      </c>
      <c r="C860" t="s">
        <v>2088</v>
      </c>
      <c r="D860" t="str">
        <f>VLOOKUP(J860,Location[],2,FALSE)</f>
        <v>Virginia Beach</v>
      </c>
      <c r="E860" t="str">
        <f>VLOOKUP(J860,Location[],3,FALSE)</f>
        <v> Virginia</v>
      </c>
      <c r="F860" t="str">
        <f>VLOOKUP(K860,Dept[],2,FALSE)</f>
        <v>Accounting</v>
      </c>
      <c r="G860" s="11">
        <f t="shared" si="13"/>
        <v>45139</v>
      </c>
      <c r="H860" t="str">
        <f>VLOOKUP(N860,Status[],2,FALSE)</f>
        <v>Part-Time</v>
      </c>
      <c r="J860" s="7">
        <v>1044</v>
      </c>
      <c r="K860">
        <v>11</v>
      </c>
      <c r="L860">
        <v>2023</v>
      </c>
      <c r="M860">
        <v>8</v>
      </c>
      <c r="N860">
        <v>0</v>
      </c>
    </row>
    <row r="861" spans="1:14" x14ac:dyDescent="0.25">
      <c r="A861" t="s">
        <v>3100</v>
      </c>
      <c r="B861" t="s">
        <v>378</v>
      </c>
      <c r="C861" t="s">
        <v>1119</v>
      </c>
      <c r="D861" t="str">
        <f>VLOOKUP(J861,Location[],2,FALSE)</f>
        <v>Philadelphia</v>
      </c>
      <c r="E861" t="str">
        <f>VLOOKUP(J861,Location[],3,FALSE)</f>
        <v> Pennsylvania</v>
      </c>
      <c r="F861" t="str">
        <f>VLOOKUP(K861,Dept[],2,FALSE)</f>
        <v>Customer Support</v>
      </c>
      <c r="G861" s="11">
        <f t="shared" si="13"/>
        <v>42401</v>
      </c>
      <c r="H861" t="str">
        <f>VLOOKUP(N861,Status[],2,FALSE)</f>
        <v>Full-Time</v>
      </c>
      <c r="J861" s="7">
        <v>1006</v>
      </c>
      <c r="K861">
        <v>14</v>
      </c>
      <c r="L861">
        <v>2016</v>
      </c>
      <c r="M861">
        <v>2</v>
      </c>
      <c r="N861">
        <v>1</v>
      </c>
    </row>
    <row r="862" spans="1:14" x14ac:dyDescent="0.25">
      <c r="A862" t="s">
        <v>3101</v>
      </c>
      <c r="B862" t="s">
        <v>664</v>
      </c>
      <c r="C862" t="s">
        <v>454</v>
      </c>
      <c r="D862" t="str">
        <f>VLOOKUP(J862,Location[],2,FALSE)</f>
        <v>Los Angeles</v>
      </c>
      <c r="E862" t="str">
        <f>VLOOKUP(J862,Location[],3,FALSE)</f>
        <v> California</v>
      </c>
      <c r="F862" t="str">
        <f>VLOOKUP(K862,Dept[],2,FALSE)</f>
        <v>Accounting</v>
      </c>
      <c r="G862" s="11">
        <f t="shared" si="13"/>
        <v>41640</v>
      </c>
      <c r="H862" t="str">
        <f>VLOOKUP(N862,Status[],2,FALSE)</f>
        <v>Full-Time</v>
      </c>
      <c r="J862" s="7">
        <v>1002</v>
      </c>
      <c r="K862">
        <v>11</v>
      </c>
      <c r="L862">
        <v>2014</v>
      </c>
      <c r="M862">
        <v>1</v>
      </c>
      <c r="N862">
        <v>1</v>
      </c>
    </row>
    <row r="863" spans="1:14" x14ac:dyDescent="0.25">
      <c r="A863" t="s">
        <v>3102</v>
      </c>
      <c r="B863" t="s">
        <v>453</v>
      </c>
      <c r="C863" t="s">
        <v>454</v>
      </c>
      <c r="D863" t="str">
        <f>VLOOKUP(J863,Location[],2,FALSE)</f>
        <v>Philadelphia</v>
      </c>
      <c r="E863" t="str">
        <f>VLOOKUP(J863,Location[],3,FALSE)</f>
        <v> Pennsylvania</v>
      </c>
      <c r="F863" t="str">
        <f>VLOOKUP(K863,Dept[],2,FALSE)</f>
        <v>Legal</v>
      </c>
      <c r="G863" s="11">
        <f t="shared" si="13"/>
        <v>43160</v>
      </c>
      <c r="H863" t="str">
        <f>VLOOKUP(N863,Status[],2,FALSE)</f>
        <v>Full-Time</v>
      </c>
      <c r="J863" s="7">
        <v>1006</v>
      </c>
      <c r="K863">
        <v>18</v>
      </c>
      <c r="L863">
        <v>2018</v>
      </c>
      <c r="M863">
        <v>3</v>
      </c>
      <c r="N863">
        <v>1</v>
      </c>
    </row>
    <row r="864" spans="1:14" x14ac:dyDescent="0.25">
      <c r="A864" t="s">
        <v>3103</v>
      </c>
      <c r="B864" t="s">
        <v>71</v>
      </c>
      <c r="C864" t="s">
        <v>463</v>
      </c>
      <c r="D864" t="str">
        <f>VLOOKUP(J864,Location[],2,FALSE)</f>
        <v>Riverside</v>
      </c>
      <c r="E864" t="str">
        <f>VLOOKUP(J864,Location[],3,FALSE)</f>
        <v> California</v>
      </c>
      <c r="F864" t="str">
        <f>VLOOKUP(K864,Dept[],2,FALSE)</f>
        <v>Accounting</v>
      </c>
      <c r="G864" s="11">
        <f t="shared" si="13"/>
        <v>40848</v>
      </c>
      <c r="H864" t="str">
        <f>VLOOKUP(N864,Status[],2,FALSE)</f>
        <v>Full-Time</v>
      </c>
      <c r="J864" s="7">
        <v>1058</v>
      </c>
      <c r="K864">
        <v>11</v>
      </c>
      <c r="L864">
        <v>2011</v>
      </c>
      <c r="M864">
        <v>11</v>
      </c>
      <c r="N864">
        <v>1</v>
      </c>
    </row>
    <row r="865" spans="1:14" x14ac:dyDescent="0.25">
      <c r="A865" t="s">
        <v>3104</v>
      </c>
      <c r="B865" t="s">
        <v>1484</v>
      </c>
      <c r="C865" t="s">
        <v>463</v>
      </c>
      <c r="D865" t="str">
        <f>VLOOKUP(J865,Location[],2,FALSE)</f>
        <v>Houston</v>
      </c>
      <c r="E865" t="str">
        <f>VLOOKUP(J865,Location[],3,FALSE)</f>
        <v> Texas</v>
      </c>
      <c r="F865" t="str">
        <f>VLOOKUP(K865,Dept[],2,FALSE)</f>
        <v>Administration</v>
      </c>
      <c r="G865" s="11">
        <f t="shared" si="13"/>
        <v>42217</v>
      </c>
      <c r="H865" t="str">
        <f>VLOOKUP(N865,Status[],2,FALSE)</f>
        <v>Full-Time</v>
      </c>
      <c r="J865" s="7">
        <v>1004</v>
      </c>
      <c r="K865">
        <v>12</v>
      </c>
      <c r="L865">
        <v>2015</v>
      </c>
      <c r="M865">
        <v>8</v>
      </c>
      <c r="N865">
        <v>1</v>
      </c>
    </row>
    <row r="866" spans="1:14" x14ac:dyDescent="0.25">
      <c r="A866" t="s">
        <v>3105</v>
      </c>
      <c r="B866" t="s">
        <v>1334</v>
      </c>
      <c r="C866" t="s">
        <v>1335</v>
      </c>
      <c r="D866" t="str">
        <f>VLOOKUP(J866,Location[],2,FALSE)</f>
        <v>Oakland</v>
      </c>
      <c r="E866" t="str">
        <f>VLOOKUP(J866,Location[],3,FALSE)</f>
        <v> California</v>
      </c>
      <c r="F866" t="str">
        <f>VLOOKUP(K866,Dept[],2,FALSE)</f>
        <v>IT</v>
      </c>
      <c r="G866" s="11">
        <f t="shared" si="13"/>
        <v>42339</v>
      </c>
      <c r="H866" t="str">
        <f>VLOOKUP(N866,Status[],2,FALSE)</f>
        <v>Part-Time</v>
      </c>
      <c r="J866" s="7">
        <v>1045</v>
      </c>
      <c r="K866">
        <v>17</v>
      </c>
      <c r="L866">
        <v>2015</v>
      </c>
      <c r="M866">
        <v>12</v>
      </c>
      <c r="N866">
        <v>0</v>
      </c>
    </row>
    <row r="867" spans="1:14" x14ac:dyDescent="0.25">
      <c r="A867" t="s">
        <v>3106</v>
      </c>
      <c r="B867" t="s">
        <v>574</v>
      </c>
      <c r="C867" t="s">
        <v>1512</v>
      </c>
      <c r="D867" t="str">
        <f>VLOOKUP(J867,Location[],2,FALSE)</f>
        <v>Raleigh</v>
      </c>
      <c r="E867" t="str">
        <f>VLOOKUP(J867,Location[],3,FALSE)</f>
        <v> North Carolina</v>
      </c>
      <c r="F867" t="str">
        <f>VLOOKUP(K867,Dept[],2,FALSE)</f>
        <v>Customer Support</v>
      </c>
      <c r="G867" s="11">
        <f t="shared" si="13"/>
        <v>41306</v>
      </c>
      <c r="H867" t="str">
        <f>VLOOKUP(N867,Status[],2,FALSE)</f>
        <v>Full-Time</v>
      </c>
      <c r="J867" s="7">
        <v>1041</v>
      </c>
      <c r="K867">
        <v>14</v>
      </c>
      <c r="L867">
        <v>2013</v>
      </c>
      <c r="M867">
        <v>2</v>
      </c>
      <c r="N867">
        <v>1</v>
      </c>
    </row>
    <row r="868" spans="1:14" x14ac:dyDescent="0.25">
      <c r="A868" t="s">
        <v>3107</v>
      </c>
      <c r="B868" t="s">
        <v>288</v>
      </c>
      <c r="C868" t="s">
        <v>1142</v>
      </c>
      <c r="D868" t="str">
        <f>VLOOKUP(J868,Location[],2,FALSE)</f>
        <v>Detroit</v>
      </c>
      <c r="E868" t="str">
        <f>VLOOKUP(J868,Location[],3,FALSE)</f>
        <v> Michigan</v>
      </c>
      <c r="F868" t="str">
        <f>VLOOKUP(K868,Dept[],2,FALSE)</f>
        <v>Accounting</v>
      </c>
      <c r="G868" s="11">
        <f t="shared" si="13"/>
        <v>44501</v>
      </c>
      <c r="H868" t="str">
        <f>VLOOKUP(N868,Status[],2,FALSE)</f>
        <v>Full-Time</v>
      </c>
      <c r="J868" s="7">
        <v>1023</v>
      </c>
      <c r="K868">
        <v>11</v>
      </c>
      <c r="L868">
        <v>2021</v>
      </c>
      <c r="M868">
        <v>11</v>
      </c>
      <c r="N868">
        <v>1</v>
      </c>
    </row>
    <row r="869" spans="1:14" x14ac:dyDescent="0.25">
      <c r="A869" t="s">
        <v>3108</v>
      </c>
      <c r="B869" t="s">
        <v>541</v>
      </c>
      <c r="C869" t="s">
        <v>1142</v>
      </c>
      <c r="D869" t="str">
        <f>VLOOKUP(J869,Location[],2,FALSE)</f>
        <v>New York City</v>
      </c>
      <c r="E869" t="str">
        <f>VLOOKUP(J869,Location[],3,FALSE)</f>
        <v> New York</v>
      </c>
      <c r="F869" t="str">
        <f>VLOOKUP(K869,Dept[],2,FALSE)</f>
        <v>IT</v>
      </c>
      <c r="G869" s="11">
        <f t="shared" si="13"/>
        <v>44958</v>
      </c>
      <c r="H869" t="str">
        <f>VLOOKUP(N869,Status[],2,FALSE)</f>
        <v>Part-Time</v>
      </c>
      <c r="J869" s="7">
        <v>1001</v>
      </c>
      <c r="K869">
        <v>17</v>
      </c>
      <c r="L869">
        <v>2023</v>
      </c>
      <c r="M869">
        <v>2</v>
      </c>
      <c r="N869">
        <v>0</v>
      </c>
    </row>
    <row r="870" spans="1:14" x14ac:dyDescent="0.25">
      <c r="A870" t="s">
        <v>3109</v>
      </c>
      <c r="B870" t="s">
        <v>1141</v>
      </c>
      <c r="C870" t="s">
        <v>1142</v>
      </c>
      <c r="D870" t="str">
        <f>VLOOKUP(J870,Location[],2,FALSE)</f>
        <v>Corpus Christi</v>
      </c>
      <c r="E870" t="str">
        <f>VLOOKUP(J870,Location[],3,FALSE)</f>
        <v> Texas</v>
      </c>
      <c r="F870" t="str">
        <f>VLOOKUP(K870,Dept[],2,FALSE)</f>
        <v>Accounting</v>
      </c>
      <c r="G870" s="11">
        <f t="shared" si="13"/>
        <v>44835</v>
      </c>
      <c r="H870" t="str">
        <f>VLOOKUP(N870,Status[],2,FALSE)</f>
        <v>Full-Time</v>
      </c>
      <c r="J870" s="7">
        <v>1059</v>
      </c>
      <c r="K870">
        <v>11</v>
      </c>
      <c r="L870">
        <v>2022</v>
      </c>
      <c r="M870">
        <v>10</v>
      </c>
      <c r="N870">
        <v>1</v>
      </c>
    </row>
    <row r="871" spans="1:14" x14ac:dyDescent="0.25">
      <c r="A871" t="s">
        <v>3110</v>
      </c>
      <c r="B871" t="s">
        <v>324</v>
      </c>
      <c r="C871" t="s">
        <v>325</v>
      </c>
      <c r="D871" t="str">
        <f>VLOOKUP(J871,Location[],2,FALSE)</f>
        <v>Minneapolis</v>
      </c>
      <c r="E871" t="str">
        <f>VLOOKUP(J871,Location[],3,FALSE)</f>
        <v> Minnesota</v>
      </c>
      <c r="F871" t="str">
        <f>VLOOKUP(K871,Dept[],2,FALSE)</f>
        <v>Assessment</v>
      </c>
      <c r="G871" s="11">
        <f t="shared" si="13"/>
        <v>40848</v>
      </c>
      <c r="H871" t="str">
        <f>VLOOKUP(N871,Status[],2,FALSE)</f>
        <v>Full-Time</v>
      </c>
      <c r="J871" s="7">
        <v>1046</v>
      </c>
      <c r="K871">
        <v>13</v>
      </c>
      <c r="L871">
        <v>2011</v>
      </c>
      <c r="M871">
        <v>11</v>
      </c>
      <c r="N871">
        <v>1</v>
      </c>
    </row>
    <row r="872" spans="1:14" x14ac:dyDescent="0.25">
      <c r="A872" t="s">
        <v>3111</v>
      </c>
      <c r="B872" t="s">
        <v>1195</v>
      </c>
      <c r="C872" t="s">
        <v>325</v>
      </c>
      <c r="D872" t="str">
        <f>VLOOKUP(J872,Location[],2,FALSE)</f>
        <v>Phoenix</v>
      </c>
      <c r="E872" t="str">
        <f>VLOOKUP(J872,Location[],3,FALSE)</f>
        <v> Arizona</v>
      </c>
      <c r="F872" t="str">
        <f>VLOOKUP(K872,Dept[],2,FALSE)</f>
        <v>Finance</v>
      </c>
      <c r="G872" s="11">
        <f t="shared" si="13"/>
        <v>41183</v>
      </c>
      <c r="H872" t="str">
        <f>VLOOKUP(N872,Status[],2,FALSE)</f>
        <v>Full-Time</v>
      </c>
      <c r="J872" s="7">
        <v>1005</v>
      </c>
      <c r="K872">
        <v>15</v>
      </c>
      <c r="L872">
        <v>2012</v>
      </c>
      <c r="M872">
        <v>10</v>
      </c>
      <c r="N872">
        <v>1</v>
      </c>
    </row>
    <row r="873" spans="1:14" x14ac:dyDescent="0.25">
      <c r="A873" t="s">
        <v>3112</v>
      </c>
      <c r="B873" t="s">
        <v>405</v>
      </c>
      <c r="C873" t="s">
        <v>325</v>
      </c>
      <c r="D873" t="str">
        <f>VLOOKUP(J873,Location[],2,FALSE)</f>
        <v>Chicago</v>
      </c>
      <c r="E873" t="str">
        <f>VLOOKUP(J873,Location[],3,FALSE)</f>
        <v> Illinois</v>
      </c>
      <c r="F873" t="str">
        <f>VLOOKUP(K873,Dept[],2,FALSE)</f>
        <v>Administration</v>
      </c>
      <c r="G873" s="11">
        <f t="shared" si="13"/>
        <v>41122</v>
      </c>
      <c r="H873" t="str">
        <f>VLOOKUP(N873,Status[],2,FALSE)</f>
        <v>Part-Time</v>
      </c>
      <c r="J873" s="7">
        <v>1003</v>
      </c>
      <c r="K873">
        <v>12</v>
      </c>
      <c r="L873">
        <v>2012</v>
      </c>
      <c r="M873">
        <v>8</v>
      </c>
      <c r="N873">
        <v>0</v>
      </c>
    </row>
    <row r="874" spans="1:14" x14ac:dyDescent="0.25">
      <c r="A874" t="s">
        <v>3113</v>
      </c>
      <c r="B874" t="s">
        <v>59</v>
      </c>
      <c r="C874" t="s">
        <v>1703</v>
      </c>
      <c r="D874" t="str">
        <f>VLOOKUP(J874,Location[],2,FALSE)</f>
        <v>Las Vegas</v>
      </c>
      <c r="E874" t="str">
        <f>VLOOKUP(J874,Location[],3,FALSE)</f>
        <v> Nevada</v>
      </c>
      <c r="F874" t="str">
        <f>VLOOKUP(K874,Dept[],2,FALSE)</f>
        <v>Administration</v>
      </c>
      <c r="G874" s="11">
        <f t="shared" si="13"/>
        <v>42826</v>
      </c>
      <c r="H874" t="str">
        <f>VLOOKUP(N874,Status[],2,FALSE)</f>
        <v>Full-Time</v>
      </c>
      <c r="J874" s="7">
        <v>1028</v>
      </c>
      <c r="K874">
        <v>12</v>
      </c>
      <c r="L874">
        <v>2017</v>
      </c>
      <c r="M874">
        <v>4</v>
      </c>
      <c r="N874">
        <v>1</v>
      </c>
    </row>
    <row r="875" spans="1:14" x14ac:dyDescent="0.25">
      <c r="A875" t="s">
        <v>3114</v>
      </c>
      <c r="B875" t="s">
        <v>112</v>
      </c>
      <c r="C875" t="s">
        <v>113</v>
      </c>
      <c r="D875" t="str">
        <f>VLOOKUP(J875,Location[],2,FALSE)</f>
        <v>Detroit</v>
      </c>
      <c r="E875" t="str">
        <f>VLOOKUP(J875,Location[],3,FALSE)</f>
        <v> Michigan</v>
      </c>
      <c r="F875" t="str">
        <f>VLOOKUP(K875,Dept[],2,FALSE)</f>
        <v>Sales</v>
      </c>
      <c r="G875" s="11">
        <f t="shared" si="13"/>
        <v>43678</v>
      </c>
      <c r="H875" t="str">
        <f>VLOOKUP(N875,Status[],2,FALSE)</f>
        <v>Full-Time</v>
      </c>
      <c r="J875" s="7">
        <v>1023</v>
      </c>
      <c r="K875">
        <v>22</v>
      </c>
      <c r="L875">
        <v>2019</v>
      </c>
      <c r="M875">
        <v>8</v>
      </c>
      <c r="N875">
        <v>1</v>
      </c>
    </row>
    <row r="876" spans="1:14" x14ac:dyDescent="0.25">
      <c r="A876" t="s">
        <v>3115</v>
      </c>
      <c r="B876" t="s">
        <v>5</v>
      </c>
      <c r="C876" t="s">
        <v>1333</v>
      </c>
      <c r="D876" t="str">
        <f>VLOOKUP(J876,Location[],2,FALSE)</f>
        <v>Norfolk</v>
      </c>
      <c r="E876" t="str">
        <f>VLOOKUP(J876,Location[],3,FALSE)</f>
        <v> Virginia</v>
      </c>
      <c r="F876" t="str">
        <f>VLOOKUP(K876,Dept[],2,FALSE)</f>
        <v>Human Resources</v>
      </c>
      <c r="G876" s="11">
        <f t="shared" si="13"/>
        <v>45261</v>
      </c>
      <c r="H876" t="str">
        <f>VLOOKUP(N876,Status[],2,FALSE)</f>
        <v>Full-Time</v>
      </c>
      <c r="J876" s="7">
        <v>1088</v>
      </c>
      <c r="K876">
        <v>16</v>
      </c>
      <c r="L876">
        <v>2023</v>
      </c>
      <c r="M876">
        <v>12</v>
      </c>
      <c r="N876">
        <v>1</v>
      </c>
    </row>
    <row r="877" spans="1:14" x14ac:dyDescent="0.25">
      <c r="A877" t="s">
        <v>3116</v>
      </c>
      <c r="B877" t="s">
        <v>233</v>
      </c>
      <c r="C877" t="s">
        <v>234</v>
      </c>
      <c r="D877" t="str">
        <f>VLOOKUP(J877,Location[],2,FALSE)</f>
        <v>Dallas</v>
      </c>
      <c r="E877" t="str">
        <f>VLOOKUP(J877,Location[],3,FALSE)</f>
        <v> Texas</v>
      </c>
      <c r="F877" t="str">
        <f>VLOOKUP(K877,Dept[],2,FALSE)</f>
        <v>Human Resources</v>
      </c>
      <c r="G877" s="11">
        <f t="shared" si="13"/>
        <v>42614</v>
      </c>
      <c r="H877" t="str">
        <f>VLOOKUP(N877,Status[],2,FALSE)</f>
        <v>Part-Time</v>
      </c>
      <c r="J877" s="7">
        <v>1009</v>
      </c>
      <c r="K877">
        <v>16</v>
      </c>
      <c r="L877">
        <v>2016</v>
      </c>
      <c r="M877">
        <v>9</v>
      </c>
      <c r="N877">
        <v>0</v>
      </c>
    </row>
    <row r="878" spans="1:14" x14ac:dyDescent="0.25">
      <c r="A878" t="s">
        <v>3117</v>
      </c>
      <c r="B878" t="s">
        <v>163</v>
      </c>
      <c r="C878" t="s">
        <v>1181</v>
      </c>
      <c r="D878" t="str">
        <f>VLOOKUP(J878,Location[],2,FALSE)</f>
        <v>Las Vegas</v>
      </c>
      <c r="E878" t="str">
        <f>VLOOKUP(J878,Location[],3,FALSE)</f>
        <v> Nevada</v>
      </c>
      <c r="F878" t="str">
        <f>VLOOKUP(K878,Dept[],2,FALSE)</f>
        <v>Sales</v>
      </c>
      <c r="G878" s="11">
        <f t="shared" si="13"/>
        <v>43344</v>
      </c>
      <c r="H878" t="str">
        <f>VLOOKUP(N878,Status[],2,FALSE)</f>
        <v>Full-Time</v>
      </c>
      <c r="J878" s="7">
        <v>1028</v>
      </c>
      <c r="K878">
        <v>22</v>
      </c>
      <c r="L878">
        <v>2018</v>
      </c>
      <c r="M878">
        <v>9</v>
      </c>
      <c r="N878">
        <v>1</v>
      </c>
    </row>
    <row r="879" spans="1:14" x14ac:dyDescent="0.25">
      <c r="A879" t="s">
        <v>3118</v>
      </c>
      <c r="B879" t="s">
        <v>448</v>
      </c>
      <c r="C879" t="s">
        <v>1630</v>
      </c>
      <c r="D879" t="str">
        <f>VLOOKUP(J879,Location[],2,FALSE)</f>
        <v>Los Angeles</v>
      </c>
      <c r="E879" t="str">
        <f>VLOOKUP(J879,Location[],3,FALSE)</f>
        <v> California</v>
      </c>
      <c r="F879" t="str">
        <f>VLOOKUP(K879,Dept[],2,FALSE)</f>
        <v>Shipping</v>
      </c>
      <c r="G879" s="11">
        <f t="shared" si="13"/>
        <v>44562</v>
      </c>
      <c r="H879" t="str">
        <f>VLOOKUP(N879,Status[],2,FALSE)</f>
        <v>Full-Time</v>
      </c>
      <c r="J879" s="7">
        <v>1002</v>
      </c>
      <c r="K879">
        <v>23</v>
      </c>
      <c r="L879">
        <v>2022</v>
      </c>
      <c r="M879">
        <v>1</v>
      </c>
      <c r="N879">
        <v>1</v>
      </c>
    </row>
    <row r="880" spans="1:14" x14ac:dyDescent="0.25">
      <c r="A880" t="s">
        <v>3119</v>
      </c>
      <c r="B880" t="s">
        <v>115</v>
      </c>
      <c r="C880" t="s">
        <v>1143</v>
      </c>
      <c r="D880" t="str">
        <f>VLOOKUP(J880,Location[],2,FALSE)</f>
        <v>Albuquerque</v>
      </c>
      <c r="E880" t="str">
        <f>VLOOKUP(J880,Location[],3,FALSE)</f>
        <v> New Mexico</v>
      </c>
      <c r="F880" t="str">
        <f>VLOOKUP(K880,Dept[],2,FALSE)</f>
        <v>Accounting</v>
      </c>
      <c r="G880" s="11">
        <f t="shared" si="13"/>
        <v>43709</v>
      </c>
      <c r="H880" t="str">
        <f>VLOOKUP(N880,Status[],2,FALSE)</f>
        <v>Part-Time</v>
      </c>
      <c r="J880" s="7">
        <v>1032</v>
      </c>
      <c r="K880">
        <v>11</v>
      </c>
      <c r="L880">
        <v>2019</v>
      </c>
      <c r="M880">
        <v>9</v>
      </c>
      <c r="N880">
        <v>0</v>
      </c>
    </row>
    <row r="881" spans="1:14" x14ac:dyDescent="0.25">
      <c r="A881" t="s">
        <v>3120</v>
      </c>
      <c r="B881" t="s">
        <v>1507</v>
      </c>
      <c r="C881" t="s">
        <v>1508</v>
      </c>
      <c r="D881" t="str">
        <f>VLOOKUP(J881,Location[],2,FALSE)</f>
        <v>Glendale</v>
      </c>
      <c r="E881" t="str">
        <f>VLOOKUP(J881,Location[],3,FALSE)</f>
        <v> Arizona</v>
      </c>
      <c r="F881" t="str">
        <f>VLOOKUP(K881,Dept[],2,FALSE)</f>
        <v>Administration</v>
      </c>
      <c r="G881" s="11">
        <f t="shared" si="13"/>
        <v>44501</v>
      </c>
      <c r="H881" t="str">
        <f>VLOOKUP(N881,Status[],2,FALSE)</f>
        <v>Full-Time</v>
      </c>
      <c r="J881" s="7">
        <v>1087</v>
      </c>
      <c r="K881">
        <v>12</v>
      </c>
      <c r="L881">
        <v>2021</v>
      </c>
      <c r="M881">
        <v>11</v>
      </c>
      <c r="N881">
        <v>1</v>
      </c>
    </row>
    <row r="882" spans="1:14" x14ac:dyDescent="0.25">
      <c r="A882" t="s">
        <v>3121</v>
      </c>
      <c r="B882" t="s">
        <v>89</v>
      </c>
      <c r="C882" t="s">
        <v>356</v>
      </c>
      <c r="D882" t="str">
        <f>VLOOKUP(J882,Location[],2,FALSE)</f>
        <v>Los Angeles</v>
      </c>
      <c r="E882" t="str">
        <f>VLOOKUP(J882,Location[],3,FALSE)</f>
        <v> California</v>
      </c>
      <c r="F882" t="str">
        <f>VLOOKUP(K882,Dept[],2,FALSE)</f>
        <v>Administration</v>
      </c>
      <c r="G882" s="11">
        <f t="shared" si="13"/>
        <v>43739</v>
      </c>
      <c r="H882" t="str">
        <f>VLOOKUP(N882,Status[],2,FALSE)</f>
        <v>Full-Time</v>
      </c>
      <c r="J882" s="7">
        <v>1002</v>
      </c>
      <c r="K882">
        <v>12</v>
      </c>
      <c r="L882">
        <v>2019</v>
      </c>
      <c r="M882">
        <v>10</v>
      </c>
      <c r="N882">
        <v>1</v>
      </c>
    </row>
    <row r="883" spans="1:14" x14ac:dyDescent="0.25">
      <c r="A883" t="s">
        <v>3122</v>
      </c>
      <c r="B883" t="s">
        <v>1455</v>
      </c>
      <c r="C883" t="s">
        <v>1456</v>
      </c>
      <c r="D883" t="str">
        <f>VLOOKUP(J883,Location[],2,FALSE)</f>
        <v>Houston</v>
      </c>
      <c r="E883" t="str">
        <f>VLOOKUP(J883,Location[],3,FALSE)</f>
        <v> Texas</v>
      </c>
      <c r="F883" t="str">
        <f>VLOOKUP(K883,Dept[],2,FALSE)</f>
        <v>Shipping</v>
      </c>
      <c r="G883" s="11">
        <f t="shared" si="13"/>
        <v>43739</v>
      </c>
      <c r="H883" t="str">
        <f>VLOOKUP(N883,Status[],2,FALSE)</f>
        <v>Full-Time</v>
      </c>
      <c r="J883" s="7">
        <v>1004</v>
      </c>
      <c r="K883">
        <v>23</v>
      </c>
      <c r="L883">
        <v>2019</v>
      </c>
      <c r="M883">
        <v>10</v>
      </c>
      <c r="N883">
        <v>1</v>
      </c>
    </row>
    <row r="884" spans="1:14" x14ac:dyDescent="0.25">
      <c r="A884" t="s">
        <v>2879</v>
      </c>
      <c r="B884" t="s">
        <v>9</v>
      </c>
      <c r="C884" t="s">
        <v>1841</v>
      </c>
      <c r="D884" t="str">
        <f>VLOOKUP(J884,Location[],2,FALSE)</f>
        <v>Dallas</v>
      </c>
      <c r="E884" t="str">
        <f>VLOOKUP(J884,Location[],3,FALSE)</f>
        <v> Texas</v>
      </c>
      <c r="F884" t="str">
        <f>VLOOKUP(K884,Dept[],2,FALSE)</f>
        <v>Accounting</v>
      </c>
      <c r="G884" s="11">
        <f t="shared" si="13"/>
        <v>41518</v>
      </c>
      <c r="H884" t="str">
        <f>VLOOKUP(N884,Status[],2,FALSE)</f>
        <v>Full-Time</v>
      </c>
      <c r="J884" s="7">
        <v>1009</v>
      </c>
      <c r="K884">
        <v>11</v>
      </c>
      <c r="L884">
        <v>2013</v>
      </c>
      <c r="M884">
        <v>9</v>
      </c>
      <c r="N884">
        <v>1</v>
      </c>
    </row>
    <row r="885" spans="1:14" x14ac:dyDescent="0.25">
      <c r="A885" t="s">
        <v>3123</v>
      </c>
      <c r="B885" t="s">
        <v>292</v>
      </c>
      <c r="C885" t="s">
        <v>1230</v>
      </c>
      <c r="D885" t="str">
        <f>VLOOKUP(J885,Location[],2,FALSE)</f>
        <v>Fresno</v>
      </c>
      <c r="E885" t="str">
        <f>VLOOKUP(J885,Location[],3,FALSE)</f>
        <v> California</v>
      </c>
      <c r="F885" t="str">
        <f>VLOOKUP(K885,Dept[],2,FALSE)</f>
        <v>Sales</v>
      </c>
      <c r="G885" s="11">
        <f t="shared" si="13"/>
        <v>42948</v>
      </c>
      <c r="H885" t="str">
        <f>VLOOKUP(N885,Status[],2,FALSE)</f>
        <v>Full-Time</v>
      </c>
      <c r="J885" s="7">
        <v>1034</v>
      </c>
      <c r="K885">
        <v>22</v>
      </c>
      <c r="L885">
        <v>2017</v>
      </c>
      <c r="M885">
        <v>8</v>
      </c>
      <c r="N885">
        <v>1</v>
      </c>
    </row>
    <row r="886" spans="1:14" x14ac:dyDescent="0.25">
      <c r="A886" t="s">
        <v>3124</v>
      </c>
      <c r="B886" t="s">
        <v>91</v>
      </c>
      <c r="C886" t="s">
        <v>738</v>
      </c>
      <c r="D886" t="str">
        <f>VLOOKUP(J886,Location[],2,FALSE)</f>
        <v>Albuquerque</v>
      </c>
      <c r="E886" t="str">
        <f>VLOOKUP(J886,Location[],3,FALSE)</f>
        <v> New Mexico</v>
      </c>
      <c r="F886" t="str">
        <f>VLOOKUP(K886,Dept[],2,FALSE)</f>
        <v>Assessment</v>
      </c>
      <c r="G886" s="11">
        <f t="shared" si="13"/>
        <v>41791</v>
      </c>
      <c r="H886" t="str">
        <f>VLOOKUP(N886,Status[],2,FALSE)</f>
        <v>Full-Time</v>
      </c>
      <c r="J886" s="7">
        <v>1032</v>
      </c>
      <c r="K886">
        <v>13</v>
      </c>
      <c r="L886">
        <v>2014</v>
      </c>
      <c r="M886">
        <v>6</v>
      </c>
      <c r="N886">
        <v>1</v>
      </c>
    </row>
    <row r="887" spans="1:14" x14ac:dyDescent="0.25">
      <c r="A887" t="s">
        <v>3125</v>
      </c>
      <c r="B887" t="s">
        <v>296</v>
      </c>
      <c r="C887" t="s">
        <v>738</v>
      </c>
      <c r="D887" t="str">
        <f>VLOOKUP(J887,Location[],2,FALSE)</f>
        <v>Laredo</v>
      </c>
      <c r="E887" t="str">
        <f>VLOOKUP(J887,Location[],3,FALSE)</f>
        <v> Texas</v>
      </c>
      <c r="F887" t="str">
        <f>VLOOKUP(K887,Dept[],2,FALSE)</f>
        <v>Customer Support</v>
      </c>
      <c r="G887" s="11">
        <f t="shared" si="13"/>
        <v>44287</v>
      </c>
      <c r="H887" t="str">
        <f>VLOOKUP(N887,Status[],2,FALSE)</f>
        <v>Full-Time</v>
      </c>
      <c r="J887" s="7">
        <v>1080</v>
      </c>
      <c r="K887">
        <v>14</v>
      </c>
      <c r="L887">
        <v>2021</v>
      </c>
      <c r="M887">
        <v>4</v>
      </c>
      <c r="N887">
        <v>1</v>
      </c>
    </row>
    <row r="888" spans="1:14" x14ac:dyDescent="0.25">
      <c r="A888" t="s">
        <v>3126</v>
      </c>
      <c r="B888" t="s">
        <v>297</v>
      </c>
      <c r="C888" t="s">
        <v>738</v>
      </c>
      <c r="D888" t="str">
        <f>VLOOKUP(J888,Location[],2,FALSE)</f>
        <v>New York City</v>
      </c>
      <c r="E888" t="str">
        <f>VLOOKUP(J888,Location[],3,FALSE)</f>
        <v> New York</v>
      </c>
      <c r="F888" t="str">
        <f>VLOOKUP(K888,Dept[],2,FALSE)</f>
        <v>Assessment</v>
      </c>
      <c r="G888" s="11">
        <f t="shared" si="13"/>
        <v>42217</v>
      </c>
      <c r="H888" t="str">
        <f>VLOOKUP(N888,Status[],2,FALSE)</f>
        <v>Full-Time</v>
      </c>
      <c r="J888" s="7">
        <v>1001</v>
      </c>
      <c r="K888">
        <v>13</v>
      </c>
      <c r="L888">
        <v>2015</v>
      </c>
      <c r="M888">
        <v>8</v>
      </c>
      <c r="N888">
        <v>1</v>
      </c>
    </row>
    <row r="889" spans="1:14" x14ac:dyDescent="0.25">
      <c r="A889" t="s">
        <v>3127</v>
      </c>
      <c r="B889" t="s">
        <v>1360</v>
      </c>
      <c r="C889" t="s">
        <v>738</v>
      </c>
      <c r="D889" t="str">
        <f>VLOOKUP(J889,Location[],2,FALSE)</f>
        <v>Oklahoma City</v>
      </c>
      <c r="E889" t="str">
        <f>VLOOKUP(J889,Location[],3,FALSE)</f>
        <v> Oklahoma</v>
      </c>
      <c r="F889" t="str">
        <f>VLOOKUP(K889,Dept[],2,FALSE)</f>
        <v>Administration</v>
      </c>
      <c r="G889" s="11">
        <f t="shared" si="13"/>
        <v>41122</v>
      </c>
      <c r="H889" t="str">
        <f>VLOOKUP(N889,Status[],2,FALSE)</f>
        <v>Full-Time</v>
      </c>
      <c r="J889" s="7">
        <v>1027</v>
      </c>
      <c r="K889">
        <v>12</v>
      </c>
      <c r="L889">
        <v>2012</v>
      </c>
      <c r="M889">
        <v>8</v>
      </c>
      <c r="N889">
        <v>1</v>
      </c>
    </row>
    <row r="890" spans="1:14" x14ac:dyDescent="0.25">
      <c r="A890" t="s">
        <v>3128</v>
      </c>
      <c r="B890" t="s">
        <v>1184</v>
      </c>
      <c r="C890" t="s">
        <v>738</v>
      </c>
      <c r="D890" t="str">
        <f>VLOOKUP(J890,Location[],2,FALSE)</f>
        <v>Tulsa</v>
      </c>
      <c r="E890" t="str">
        <f>VLOOKUP(J890,Location[],3,FALSE)</f>
        <v> Oklahoma</v>
      </c>
      <c r="F890" t="str">
        <f>VLOOKUP(K890,Dept[],2,FALSE)</f>
        <v>Marketing</v>
      </c>
      <c r="G890" s="11">
        <f t="shared" si="13"/>
        <v>42156</v>
      </c>
      <c r="H890" t="str">
        <f>VLOOKUP(N890,Status[],2,FALSE)</f>
        <v>Full-Time</v>
      </c>
      <c r="J890" s="7">
        <v>1047</v>
      </c>
      <c r="K890">
        <v>19</v>
      </c>
      <c r="L890">
        <v>2015</v>
      </c>
      <c r="M890">
        <v>6</v>
      </c>
      <c r="N890">
        <v>1</v>
      </c>
    </row>
    <row r="891" spans="1:14" x14ac:dyDescent="0.25">
      <c r="A891" t="s">
        <v>3129</v>
      </c>
      <c r="B891" t="s">
        <v>133</v>
      </c>
      <c r="C891" t="s">
        <v>738</v>
      </c>
      <c r="D891" t="str">
        <f>VLOOKUP(J891,Location[],2,FALSE)</f>
        <v>New York City</v>
      </c>
      <c r="E891" t="str">
        <f>VLOOKUP(J891,Location[],3,FALSE)</f>
        <v> New York</v>
      </c>
      <c r="F891" t="str">
        <f>VLOOKUP(K891,Dept[],2,FALSE)</f>
        <v>Finance</v>
      </c>
      <c r="G891" s="11">
        <f t="shared" si="13"/>
        <v>40787</v>
      </c>
      <c r="H891" t="str">
        <f>VLOOKUP(N891,Status[],2,FALSE)</f>
        <v>Full-Time</v>
      </c>
      <c r="J891" s="7">
        <v>1001</v>
      </c>
      <c r="K891">
        <v>15</v>
      </c>
      <c r="L891">
        <v>2011</v>
      </c>
      <c r="M891">
        <v>9</v>
      </c>
      <c r="N891">
        <v>1</v>
      </c>
    </row>
    <row r="892" spans="1:14" x14ac:dyDescent="0.25">
      <c r="A892" t="s">
        <v>3130</v>
      </c>
      <c r="B892" t="s">
        <v>253</v>
      </c>
      <c r="C892" t="s">
        <v>254</v>
      </c>
      <c r="D892" t="str">
        <f>VLOOKUP(J892,Location[],2,FALSE)</f>
        <v>Mesa</v>
      </c>
      <c r="E892" t="str">
        <f>VLOOKUP(J892,Location[],3,FALSE)</f>
        <v> Arizona</v>
      </c>
      <c r="F892" t="str">
        <f>VLOOKUP(K892,Dept[],2,FALSE)</f>
        <v>Administration</v>
      </c>
      <c r="G892" s="11">
        <f t="shared" si="13"/>
        <v>44013</v>
      </c>
      <c r="H892" t="str">
        <f>VLOOKUP(N892,Status[],2,FALSE)</f>
        <v>Full-Time</v>
      </c>
      <c r="J892" s="7">
        <v>1036</v>
      </c>
      <c r="K892">
        <v>12</v>
      </c>
      <c r="L892">
        <v>2020</v>
      </c>
      <c r="M892">
        <v>7</v>
      </c>
      <c r="N892">
        <v>1</v>
      </c>
    </row>
    <row r="893" spans="1:14" x14ac:dyDescent="0.25">
      <c r="A893" t="s">
        <v>3131</v>
      </c>
      <c r="B893" t="s">
        <v>345</v>
      </c>
      <c r="C893" t="s">
        <v>346</v>
      </c>
      <c r="D893" t="str">
        <f>VLOOKUP(J893,Location[],2,FALSE)</f>
        <v>Los Angeles</v>
      </c>
      <c r="E893" t="str">
        <f>VLOOKUP(J893,Location[],3,FALSE)</f>
        <v> California</v>
      </c>
      <c r="F893" t="str">
        <f>VLOOKUP(K893,Dept[],2,FALSE)</f>
        <v>Sales</v>
      </c>
      <c r="G893" s="11">
        <f t="shared" si="13"/>
        <v>42370</v>
      </c>
      <c r="H893" t="str">
        <f>VLOOKUP(N893,Status[],2,FALSE)</f>
        <v>Full-Time</v>
      </c>
      <c r="J893" s="7">
        <v>1002</v>
      </c>
      <c r="K893">
        <v>22</v>
      </c>
      <c r="L893">
        <v>2016</v>
      </c>
      <c r="M893">
        <v>1</v>
      </c>
      <c r="N893">
        <v>1</v>
      </c>
    </row>
    <row r="894" spans="1:14" x14ac:dyDescent="0.25">
      <c r="A894" t="s">
        <v>3132</v>
      </c>
      <c r="B894" t="s">
        <v>1005</v>
      </c>
      <c r="C894" t="s">
        <v>1006</v>
      </c>
      <c r="D894" t="str">
        <f>VLOOKUP(J894,Location[],2,FALSE)</f>
        <v>St. Louis</v>
      </c>
      <c r="E894" t="str">
        <f>VLOOKUP(J894,Location[],3,FALSE)</f>
        <v> Missouri</v>
      </c>
      <c r="F894" t="str">
        <f>VLOOKUP(K894,Dept[],2,FALSE)</f>
        <v>Legal</v>
      </c>
      <c r="G894" s="11">
        <f t="shared" si="13"/>
        <v>41548</v>
      </c>
      <c r="H894" t="str">
        <f>VLOOKUP(N894,Status[],2,FALSE)</f>
        <v>Full-Time</v>
      </c>
      <c r="J894" s="7">
        <v>1062</v>
      </c>
      <c r="K894">
        <v>18</v>
      </c>
      <c r="L894">
        <v>2013</v>
      </c>
      <c r="M894">
        <v>10</v>
      </c>
      <c r="N894">
        <v>1</v>
      </c>
    </row>
    <row r="895" spans="1:14" x14ac:dyDescent="0.25">
      <c r="A895" t="s">
        <v>3133</v>
      </c>
      <c r="B895" t="s">
        <v>198</v>
      </c>
      <c r="C895" t="s">
        <v>1267</v>
      </c>
      <c r="D895" t="str">
        <f>VLOOKUP(J895,Location[],2,FALSE)</f>
        <v>San Antonio</v>
      </c>
      <c r="E895" t="str">
        <f>VLOOKUP(J895,Location[],3,FALSE)</f>
        <v> Texas</v>
      </c>
      <c r="F895" t="str">
        <f>VLOOKUP(K895,Dept[],2,FALSE)</f>
        <v>Sales</v>
      </c>
      <c r="G895" s="11">
        <f t="shared" si="13"/>
        <v>44835</v>
      </c>
      <c r="H895" t="str">
        <f>VLOOKUP(N895,Status[],2,FALSE)</f>
        <v>Full-Time</v>
      </c>
      <c r="J895" s="7">
        <v>1007</v>
      </c>
      <c r="K895">
        <v>22</v>
      </c>
      <c r="L895">
        <v>2022</v>
      </c>
      <c r="M895">
        <v>10</v>
      </c>
      <c r="N895">
        <v>1</v>
      </c>
    </row>
    <row r="896" spans="1:14" x14ac:dyDescent="0.25">
      <c r="A896" t="s">
        <v>3134</v>
      </c>
      <c r="B896" t="s">
        <v>1445</v>
      </c>
      <c r="C896" t="s">
        <v>1446</v>
      </c>
      <c r="D896" t="str">
        <f>VLOOKUP(J896,Location[],2,FALSE)</f>
        <v>Chicago</v>
      </c>
      <c r="E896" t="str">
        <f>VLOOKUP(J896,Location[],3,FALSE)</f>
        <v> Illinois</v>
      </c>
      <c r="F896" t="str">
        <f>VLOOKUP(K896,Dept[],2,FALSE)</f>
        <v>Legal</v>
      </c>
      <c r="G896" s="11">
        <f t="shared" si="13"/>
        <v>42887</v>
      </c>
      <c r="H896" t="str">
        <f>VLOOKUP(N896,Status[],2,FALSE)</f>
        <v>Full-Time</v>
      </c>
      <c r="J896" s="7">
        <v>1003</v>
      </c>
      <c r="K896">
        <v>18</v>
      </c>
      <c r="L896">
        <v>2017</v>
      </c>
      <c r="M896">
        <v>6</v>
      </c>
      <c r="N896">
        <v>1</v>
      </c>
    </row>
    <row r="897" spans="1:14" x14ac:dyDescent="0.25">
      <c r="A897" t="s">
        <v>3135</v>
      </c>
      <c r="B897" t="s">
        <v>115</v>
      </c>
      <c r="C897" t="s">
        <v>116</v>
      </c>
      <c r="D897" t="str">
        <f>VLOOKUP(J897,Location[],2,FALSE)</f>
        <v>Mesa</v>
      </c>
      <c r="E897" t="str">
        <f>VLOOKUP(J897,Location[],3,FALSE)</f>
        <v> Arizona</v>
      </c>
      <c r="F897" t="str">
        <f>VLOOKUP(K897,Dept[],2,FALSE)</f>
        <v>Customer Support</v>
      </c>
      <c r="G897" s="11">
        <f t="shared" si="13"/>
        <v>45047</v>
      </c>
      <c r="H897" t="str">
        <f>VLOOKUP(N897,Status[],2,FALSE)</f>
        <v>Part-Time</v>
      </c>
      <c r="J897" s="7">
        <v>1036</v>
      </c>
      <c r="K897">
        <v>14</v>
      </c>
      <c r="L897">
        <v>2023</v>
      </c>
      <c r="M897">
        <v>5</v>
      </c>
      <c r="N897">
        <v>0</v>
      </c>
    </row>
    <row r="898" spans="1:14" x14ac:dyDescent="0.25">
      <c r="A898" t="s">
        <v>3136</v>
      </c>
      <c r="B898" t="s">
        <v>47</v>
      </c>
      <c r="C898" t="s">
        <v>1074</v>
      </c>
      <c r="D898" t="str">
        <f>VLOOKUP(J898,Location[],2,FALSE)</f>
        <v>Los Angeles</v>
      </c>
      <c r="E898" t="str">
        <f>VLOOKUP(J898,Location[],3,FALSE)</f>
        <v> California</v>
      </c>
      <c r="F898" t="str">
        <f>VLOOKUP(K898,Dept[],2,FALSE)</f>
        <v>Customer Support</v>
      </c>
      <c r="G898" s="11">
        <f t="shared" si="13"/>
        <v>44348</v>
      </c>
      <c r="H898" t="str">
        <f>VLOOKUP(N898,Status[],2,FALSE)</f>
        <v>Full-Time</v>
      </c>
      <c r="J898" s="7">
        <v>1002</v>
      </c>
      <c r="K898">
        <v>14</v>
      </c>
      <c r="L898">
        <v>2021</v>
      </c>
      <c r="M898">
        <v>6</v>
      </c>
      <c r="N898">
        <v>1</v>
      </c>
    </row>
    <row r="899" spans="1:14" x14ac:dyDescent="0.25">
      <c r="A899" t="s">
        <v>3137</v>
      </c>
      <c r="B899" t="s">
        <v>1281</v>
      </c>
      <c r="C899" t="s">
        <v>1282</v>
      </c>
      <c r="D899" t="str">
        <f>VLOOKUP(J899,Location[],2,FALSE)</f>
        <v>Seattle</v>
      </c>
      <c r="E899" t="str">
        <f>VLOOKUP(J899,Location[],3,FALSE)</f>
        <v> Washington</v>
      </c>
      <c r="F899" t="str">
        <f>VLOOKUP(K899,Dept[],2,FALSE)</f>
        <v>Media</v>
      </c>
      <c r="G899" s="11">
        <f t="shared" si="13"/>
        <v>42248</v>
      </c>
      <c r="H899" t="str">
        <f>VLOOKUP(N899,Status[],2,FALSE)</f>
        <v>Full-Time</v>
      </c>
      <c r="J899" s="7">
        <v>1018</v>
      </c>
      <c r="K899">
        <v>20</v>
      </c>
      <c r="L899">
        <v>2015</v>
      </c>
      <c r="M899">
        <v>9</v>
      </c>
      <c r="N899">
        <v>1</v>
      </c>
    </row>
    <row r="900" spans="1:14" x14ac:dyDescent="0.25">
      <c r="A900" t="s">
        <v>3138</v>
      </c>
      <c r="B900" t="s">
        <v>2018</v>
      </c>
      <c r="C900" t="s">
        <v>1748</v>
      </c>
      <c r="D900" t="str">
        <f>VLOOKUP(J900,Location[],2,FALSE)</f>
        <v>El Paso</v>
      </c>
      <c r="E900" t="str">
        <f>VLOOKUP(J900,Location[],3,FALSE)</f>
        <v> Texas</v>
      </c>
      <c r="F900" t="str">
        <f>VLOOKUP(K900,Dept[],2,FALSE)</f>
        <v>Sales</v>
      </c>
      <c r="G900" s="11">
        <f t="shared" si="13"/>
        <v>40603</v>
      </c>
      <c r="H900" t="str">
        <f>VLOOKUP(N900,Status[],2,FALSE)</f>
        <v>Full-Time</v>
      </c>
      <c r="J900" s="7">
        <v>1022</v>
      </c>
      <c r="K900">
        <v>22</v>
      </c>
      <c r="L900">
        <v>2011</v>
      </c>
      <c r="M900">
        <v>3</v>
      </c>
      <c r="N900">
        <v>1</v>
      </c>
    </row>
    <row r="901" spans="1:14" x14ac:dyDescent="0.25">
      <c r="A901" t="s">
        <v>3139</v>
      </c>
      <c r="B901" t="s">
        <v>79</v>
      </c>
      <c r="C901" t="s">
        <v>1748</v>
      </c>
      <c r="D901" t="str">
        <f>VLOOKUP(J901,Location[],2,FALSE)</f>
        <v>Columbus</v>
      </c>
      <c r="E901" t="str">
        <f>VLOOKUP(J901,Location[],3,FALSE)</f>
        <v> Ohio</v>
      </c>
      <c r="F901" t="str">
        <f>VLOOKUP(K901,Dept[],2,FALSE)</f>
        <v>Marketing</v>
      </c>
      <c r="G901" s="11">
        <f t="shared" ref="G901:G964" si="14">DATE(L901,M901,1)</f>
        <v>41913</v>
      </c>
      <c r="H901" t="str">
        <f>VLOOKUP(N901,Status[],2,FALSE)</f>
        <v>Full-Time</v>
      </c>
      <c r="J901" s="7">
        <v>1014</v>
      </c>
      <c r="K901">
        <v>19</v>
      </c>
      <c r="L901">
        <v>2014</v>
      </c>
      <c r="M901">
        <v>10</v>
      </c>
      <c r="N901">
        <v>1</v>
      </c>
    </row>
    <row r="902" spans="1:14" x14ac:dyDescent="0.25">
      <c r="A902" t="s">
        <v>3140</v>
      </c>
      <c r="B902" t="s">
        <v>1852</v>
      </c>
      <c r="C902" t="s">
        <v>708</v>
      </c>
      <c r="D902" t="str">
        <f>VLOOKUP(J902,Location[],2,FALSE)</f>
        <v>Anaheim</v>
      </c>
      <c r="E902" t="str">
        <f>VLOOKUP(J902,Location[],3,FALSE)</f>
        <v> California</v>
      </c>
      <c r="F902" t="str">
        <f>VLOOKUP(K902,Dept[],2,FALSE)</f>
        <v>Customer Support</v>
      </c>
      <c r="G902" s="11">
        <f t="shared" si="14"/>
        <v>42644</v>
      </c>
      <c r="H902" t="str">
        <f>VLOOKUP(N902,Status[],2,FALSE)</f>
        <v>Full-Time</v>
      </c>
      <c r="J902" s="7">
        <v>1055</v>
      </c>
      <c r="K902">
        <v>14</v>
      </c>
      <c r="L902">
        <v>2016</v>
      </c>
      <c r="M902">
        <v>10</v>
      </c>
      <c r="N902">
        <v>1</v>
      </c>
    </row>
    <row r="903" spans="1:14" x14ac:dyDescent="0.25">
      <c r="A903" t="s">
        <v>3141</v>
      </c>
      <c r="B903" t="s">
        <v>85</v>
      </c>
      <c r="C903" t="s">
        <v>708</v>
      </c>
      <c r="D903" t="str">
        <f>VLOOKUP(J903,Location[],2,FALSE)</f>
        <v>San Diego</v>
      </c>
      <c r="E903" t="str">
        <f>VLOOKUP(J903,Location[],3,FALSE)</f>
        <v> California</v>
      </c>
      <c r="F903" t="str">
        <f>VLOOKUP(K903,Dept[],2,FALSE)</f>
        <v>Administration</v>
      </c>
      <c r="G903" s="11">
        <f t="shared" si="14"/>
        <v>40909</v>
      </c>
      <c r="H903" t="str">
        <f>VLOOKUP(N903,Status[],2,FALSE)</f>
        <v>Full-Time</v>
      </c>
      <c r="J903" s="7">
        <v>1008</v>
      </c>
      <c r="K903">
        <v>12</v>
      </c>
      <c r="L903">
        <v>2012</v>
      </c>
      <c r="M903">
        <v>1</v>
      </c>
      <c r="N903">
        <v>1</v>
      </c>
    </row>
    <row r="904" spans="1:14" x14ac:dyDescent="0.25">
      <c r="A904" t="s">
        <v>3142</v>
      </c>
      <c r="B904" t="s">
        <v>108</v>
      </c>
      <c r="C904" t="s">
        <v>708</v>
      </c>
      <c r="D904" t="str">
        <f>VLOOKUP(J904,Location[],2,FALSE)</f>
        <v>Seattle</v>
      </c>
      <c r="E904" t="str">
        <f>VLOOKUP(J904,Location[],3,FALSE)</f>
        <v> Washington</v>
      </c>
      <c r="F904" t="str">
        <f>VLOOKUP(K904,Dept[],2,FALSE)</f>
        <v>Administration</v>
      </c>
      <c r="G904" s="11">
        <f t="shared" si="14"/>
        <v>43252</v>
      </c>
      <c r="H904" t="str">
        <f>VLOOKUP(N904,Status[],2,FALSE)</f>
        <v>Full-Time</v>
      </c>
      <c r="J904" s="7">
        <v>1018</v>
      </c>
      <c r="K904">
        <v>12</v>
      </c>
      <c r="L904">
        <v>2018</v>
      </c>
      <c r="M904">
        <v>6</v>
      </c>
      <c r="N904">
        <v>1</v>
      </c>
    </row>
    <row r="905" spans="1:14" x14ac:dyDescent="0.25">
      <c r="A905" t="s">
        <v>3143</v>
      </c>
      <c r="B905" t="s">
        <v>620</v>
      </c>
      <c r="C905" t="s">
        <v>708</v>
      </c>
      <c r="D905" t="str">
        <f>VLOOKUP(J905,Location[],2,FALSE)</f>
        <v>New Orleans</v>
      </c>
      <c r="E905" t="str">
        <f>VLOOKUP(J905,Location[],3,FALSE)</f>
        <v> Louisiana</v>
      </c>
      <c r="F905" t="str">
        <f>VLOOKUP(K905,Dept[],2,FALSE)</f>
        <v>Sales</v>
      </c>
      <c r="G905" s="11">
        <f t="shared" si="14"/>
        <v>43344</v>
      </c>
      <c r="H905" t="str">
        <f>VLOOKUP(N905,Status[],2,FALSE)</f>
        <v>Full-Time</v>
      </c>
      <c r="J905" s="7">
        <v>1049</v>
      </c>
      <c r="K905">
        <v>22</v>
      </c>
      <c r="L905">
        <v>2018</v>
      </c>
      <c r="M905">
        <v>9</v>
      </c>
      <c r="N905">
        <v>1</v>
      </c>
    </row>
    <row r="906" spans="1:14" x14ac:dyDescent="0.25">
      <c r="A906" t="s">
        <v>3144</v>
      </c>
      <c r="B906" t="s">
        <v>450</v>
      </c>
      <c r="C906" t="s">
        <v>708</v>
      </c>
      <c r="D906" t="str">
        <f>VLOOKUP(J906,Location[],2,FALSE)</f>
        <v>San Diego</v>
      </c>
      <c r="E906" t="str">
        <f>VLOOKUP(J906,Location[],3,FALSE)</f>
        <v> California</v>
      </c>
      <c r="F906" t="str">
        <f>VLOOKUP(K906,Dept[],2,FALSE)</f>
        <v>Assessment</v>
      </c>
      <c r="G906" s="11">
        <f t="shared" si="14"/>
        <v>44166</v>
      </c>
      <c r="H906" t="str">
        <f>VLOOKUP(N906,Status[],2,FALSE)</f>
        <v>Full-Time</v>
      </c>
      <c r="J906" s="7">
        <v>1008</v>
      </c>
      <c r="K906">
        <v>13</v>
      </c>
      <c r="L906">
        <v>2020</v>
      </c>
      <c r="M906">
        <v>12</v>
      </c>
      <c r="N906">
        <v>1</v>
      </c>
    </row>
    <row r="907" spans="1:14" x14ac:dyDescent="0.25">
      <c r="A907" t="s">
        <v>3145</v>
      </c>
      <c r="B907" t="s">
        <v>149</v>
      </c>
      <c r="C907" t="s">
        <v>708</v>
      </c>
      <c r="D907" t="str">
        <f>VLOOKUP(J907,Location[],2,FALSE)</f>
        <v>Houston</v>
      </c>
      <c r="E907" t="str">
        <f>VLOOKUP(J907,Location[],3,FALSE)</f>
        <v> Texas</v>
      </c>
      <c r="F907" t="str">
        <f>VLOOKUP(K907,Dept[],2,FALSE)</f>
        <v>Human Resources</v>
      </c>
      <c r="G907" s="11">
        <f t="shared" si="14"/>
        <v>43678</v>
      </c>
      <c r="H907" t="str">
        <f>VLOOKUP(N907,Status[],2,FALSE)</f>
        <v>Full-Time</v>
      </c>
      <c r="J907" s="7">
        <v>1004</v>
      </c>
      <c r="K907">
        <v>16</v>
      </c>
      <c r="L907">
        <v>2019</v>
      </c>
      <c r="M907">
        <v>8</v>
      </c>
      <c r="N907">
        <v>1</v>
      </c>
    </row>
    <row r="908" spans="1:14" x14ac:dyDescent="0.25">
      <c r="A908" t="s">
        <v>3146</v>
      </c>
      <c r="B908" t="s">
        <v>211</v>
      </c>
      <c r="C908" t="s">
        <v>1637</v>
      </c>
      <c r="D908" t="str">
        <f>VLOOKUP(J908,Location[],2,FALSE)</f>
        <v>Norfolk</v>
      </c>
      <c r="E908" t="str">
        <f>VLOOKUP(J908,Location[],3,FALSE)</f>
        <v> Virginia</v>
      </c>
      <c r="F908" t="str">
        <f>VLOOKUP(K908,Dept[],2,FALSE)</f>
        <v>Sales</v>
      </c>
      <c r="G908" s="11">
        <f t="shared" si="14"/>
        <v>40848</v>
      </c>
      <c r="H908" t="str">
        <f>VLOOKUP(N908,Status[],2,FALSE)</f>
        <v>Part-Time</v>
      </c>
      <c r="J908" s="7">
        <v>1088</v>
      </c>
      <c r="K908">
        <v>22</v>
      </c>
      <c r="L908">
        <v>2011</v>
      </c>
      <c r="M908">
        <v>11</v>
      </c>
      <c r="N908">
        <v>0</v>
      </c>
    </row>
    <row r="909" spans="1:14" x14ac:dyDescent="0.25">
      <c r="A909" t="s">
        <v>3147</v>
      </c>
      <c r="B909" t="s">
        <v>5</v>
      </c>
      <c r="C909" t="s">
        <v>1598</v>
      </c>
      <c r="D909" t="str">
        <f>VLOOKUP(J909,Location[],2,FALSE)</f>
        <v>Chicago</v>
      </c>
      <c r="E909" t="str">
        <f>VLOOKUP(J909,Location[],3,FALSE)</f>
        <v> Illinois</v>
      </c>
      <c r="F909" t="str">
        <f>VLOOKUP(K909,Dept[],2,FALSE)</f>
        <v>Human Resources</v>
      </c>
      <c r="G909" s="11">
        <f t="shared" si="14"/>
        <v>42217</v>
      </c>
      <c r="H909" t="str">
        <f>VLOOKUP(N909,Status[],2,FALSE)</f>
        <v>Part-Time</v>
      </c>
      <c r="J909" s="7">
        <v>1003</v>
      </c>
      <c r="K909">
        <v>16</v>
      </c>
      <c r="L909">
        <v>2015</v>
      </c>
      <c r="M909">
        <v>8</v>
      </c>
      <c r="N909">
        <v>0</v>
      </c>
    </row>
    <row r="910" spans="1:14" x14ac:dyDescent="0.25">
      <c r="A910" t="s">
        <v>3148</v>
      </c>
      <c r="B910" t="s">
        <v>149</v>
      </c>
      <c r="C910" t="s">
        <v>1045</v>
      </c>
      <c r="D910" t="str">
        <f>VLOOKUP(J910,Location[],2,FALSE)</f>
        <v>Houston</v>
      </c>
      <c r="E910" t="str">
        <f>VLOOKUP(J910,Location[],3,FALSE)</f>
        <v> Texas</v>
      </c>
      <c r="F910" t="str">
        <f>VLOOKUP(K910,Dept[],2,FALSE)</f>
        <v>Shipping</v>
      </c>
      <c r="G910" s="11">
        <f t="shared" si="14"/>
        <v>40848</v>
      </c>
      <c r="H910" t="str">
        <f>VLOOKUP(N910,Status[],2,FALSE)</f>
        <v>Full-Time</v>
      </c>
      <c r="J910" s="7">
        <v>1004</v>
      </c>
      <c r="K910">
        <v>23</v>
      </c>
      <c r="L910">
        <v>2011</v>
      </c>
      <c r="M910">
        <v>11</v>
      </c>
      <c r="N910">
        <v>1</v>
      </c>
    </row>
    <row r="911" spans="1:14" x14ac:dyDescent="0.25">
      <c r="A911" t="s">
        <v>3149</v>
      </c>
      <c r="B911" t="s">
        <v>1731</v>
      </c>
      <c r="C911" t="s">
        <v>39</v>
      </c>
      <c r="D911" t="str">
        <f>VLOOKUP(J911,Location[],2,FALSE)</f>
        <v>Philadelphia</v>
      </c>
      <c r="E911" t="str">
        <f>VLOOKUP(J911,Location[],3,FALSE)</f>
        <v> Pennsylvania</v>
      </c>
      <c r="F911" t="str">
        <f>VLOOKUP(K911,Dept[],2,FALSE)</f>
        <v>Media</v>
      </c>
      <c r="G911" s="11">
        <f t="shared" si="14"/>
        <v>42095</v>
      </c>
      <c r="H911" t="str">
        <f>VLOOKUP(N911,Status[],2,FALSE)</f>
        <v>Full-Time</v>
      </c>
      <c r="J911" s="7">
        <v>1006</v>
      </c>
      <c r="K911">
        <v>20</v>
      </c>
      <c r="L911">
        <v>2015</v>
      </c>
      <c r="M911">
        <v>4</v>
      </c>
      <c r="N911">
        <v>1</v>
      </c>
    </row>
    <row r="912" spans="1:14" x14ac:dyDescent="0.25">
      <c r="A912" t="s">
        <v>3150</v>
      </c>
      <c r="B912" t="s">
        <v>159</v>
      </c>
      <c r="C912" t="s">
        <v>72</v>
      </c>
      <c r="D912" t="str">
        <f>VLOOKUP(J912,Location[],2,FALSE)</f>
        <v>Minneapolis</v>
      </c>
      <c r="E912" t="str">
        <f>VLOOKUP(J912,Location[],3,FALSE)</f>
        <v> Minnesota</v>
      </c>
      <c r="F912" t="str">
        <f>VLOOKUP(K912,Dept[],2,FALSE)</f>
        <v>Legal</v>
      </c>
      <c r="G912" s="11">
        <f t="shared" si="14"/>
        <v>40878</v>
      </c>
      <c r="H912" t="str">
        <f>VLOOKUP(N912,Status[],2,FALSE)</f>
        <v>Full-Time</v>
      </c>
      <c r="J912" s="7">
        <v>1046</v>
      </c>
      <c r="K912">
        <v>18</v>
      </c>
      <c r="L912">
        <v>2011</v>
      </c>
      <c r="M912">
        <v>12</v>
      </c>
      <c r="N912">
        <v>1</v>
      </c>
    </row>
    <row r="913" spans="1:14" x14ac:dyDescent="0.25">
      <c r="A913" t="s">
        <v>3151</v>
      </c>
      <c r="B913" t="s">
        <v>526</v>
      </c>
      <c r="C913" t="s">
        <v>72</v>
      </c>
      <c r="D913" t="str">
        <f>VLOOKUP(J913,Location[],2,FALSE)</f>
        <v>Raleigh</v>
      </c>
      <c r="E913" t="str">
        <f>VLOOKUP(J913,Location[],3,FALSE)</f>
        <v> North Carolina</v>
      </c>
      <c r="F913" t="str">
        <f>VLOOKUP(K913,Dept[],2,FALSE)</f>
        <v>Customer Support</v>
      </c>
      <c r="G913" s="11">
        <f t="shared" si="14"/>
        <v>41030</v>
      </c>
      <c r="H913" t="str">
        <f>VLOOKUP(N913,Status[],2,FALSE)</f>
        <v>Full-Time</v>
      </c>
      <c r="J913" s="7">
        <v>1041</v>
      </c>
      <c r="K913">
        <v>14</v>
      </c>
      <c r="L913">
        <v>2012</v>
      </c>
      <c r="M913">
        <v>5</v>
      </c>
      <c r="N913">
        <v>1</v>
      </c>
    </row>
    <row r="914" spans="1:14" x14ac:dyDescent="0.25">
      <c r="A914" t="s">
        <v>3152</v>
      </c>
      <c r="B914" t="s">
        <v>71</v>
      </c>
      <c r="C914" t="s">
        <v>72</v>
      </c>
      <c r="D914" t="str">
        <f>VLOOKUP(J914,Location[],2,FALSE)</f>
        <v>Boston</v>
      </c>
      <c r="E914" t="str">
        <f>VLOOKUP(J914,Location[],3,FALSE)</f>
        <v> Massachusetts</v>
      </c>
      <c r="F914" t="str">
        <f>VLOOKUP(K914,Dept[],2,FALSE)</f>
        <v>IT</v>
      </c>
      <c r="G914" s="11">
        <f t="shared" si="14"/>
        <v>44866</v>
      </c>
      <c r="H914" t="str">
        <f>VLOOKUP(N914,Status[],2,FALSE)</f>
        <v>Full-Time</v>
      </c>
      <c r="J914" s="7">
        <v>1021</v>
      </c>
      <c r="K914">
        <v>17</v>
      </c>
      <c r="L914">
        <v>2022</v>
      </c>
      <c r="M914">
        <v>11</v>
      </c>
      <c r="N914">
        <v>1</v>
      </c>
    </row>
    <row r="915" spans="1:14" x14ac:dyDescent="0.25">
      <c r="A915" t="s">
        <v>3153</v>
      </c>
      <c r="B915" t="s">
        <v>966</v>
      </c>
      <c r="C915" t="s">
        <v>72</v>
      </c>
      <c r="D915" t="str">
        <f>VLOOKUP(J915,Location[],2,FALSE)</f>
        <v>Los Angeles</v>
      </c>
      <c r="E915" t="str">
        <f>VLOOKUP(J915,Location[],3,FALSE)</f>
        <v> California</v>
      </c>
      <c r="F915" t="str">
        <f>VLOOKUP(K915,Dept[],2,FALSE)</f>
        <v>Finance</v>
      </c>
      <c r="G915" s="11">
        <f t="shared" si="14"/>
        <v>44835</v>
      </c>
      <c r="H915" t="str">
        <f>VLOOKUP(N915,Status[],2,FALSE)</f>
        <v>Full-Time</v>
      </c>
      <c r="J915" s="7">
        <v>1002</v>
      </c>
      <c r="K915">
        <v>15</v>
      </c>
      <c r="L915">
        <v>2022</v>
      </c>
      <c r="M915">
        <v>10</v>
      </c>
      <c r="N915">
        <v>1</v>
      </c>
    </row>
    <row r="916" spans="1:14" x14ac:dyDescent="0.25">
      <c r="A916" t="s">
        <v>3154</v>
      </c>
      <c r="B916" t="s">
        <v>13</v>
      </c>
      <c r="C916" t="s">
        <v>72</v>
      </c>
      <c r="D916" t="str">
        <f>VLOOKUP(J916,Location[],2,FALSE)</f>
        <v>Houston</v>
      </c>
      <c r="E916" t="str">
        <f>VLOOKUP(J916,Location[],3,FALSE)</f>
        <v> Texas</v>
      </c>
      <c r="F916" t="str">
        <f>VLOOKUP(K916,Dept[],2,FALSE)</f>
        <v>Sales</v>
      </c>
      <c r="G916" s="11">
        <f t="shared" si="14"/>
        <v>42491</v>
      </c>
      <c r="H916" t="str">
        <f>VLOOKUP(N916,Status[],2,FALSE)</f>
        <v>Full-Time</v>
      </c>
      <c r="J916" s="7">
        <v>1004</v>
      </c>
      <c r="K916">
        <v>22</v>
      </c>
      <c r="L916">
        <v>2016</v>
      </c>
      <c r="M916">
        <v>5</v>
      </c>
      <c r="N916">
        <v>1</v>
      </c>
    </row>
    <row r="917" spans="1:14" x14ac:dyDescent="0.25">
      <c r="A917" t="s">
        <v>3155</v>
      </c>
      <c r="B917" t="s">
        <v>270</v>
      </c>
      <c r="C917" t="s">
        <v>72</v>
      </c>
      <c r="D917" t="str">
        <f>VLOOKUP(J917,Location[],2,FALSE)</f>
        <v>San Jose</v>
      </c>
      <c r="E917" t="str">
        <f>VLOOKUP(J917,Location[],3,FALSE)</f>
        <v> California</v>
      </c>
      <c r="F917" t="str">
        <f>VLOOKUP(K917,Dept[],2,FALSE)</f>
        <v>Marketing</v>
      </c>
      <c r="G917" s="11">
        <f t="shared" si="14"/>
        <v>45017</v>
      </c>
      <c r="H917" t="str">
        <f>VLOOKUP(N917,Status[],2,FALSE)</f>
        <v>Full-Time</v>
      </c>
      <c r="J917" s="7">
        <v>1010</v>
      </c>
      <c r="K917">
        <v>19</v>
      </c>
      <c r="L917">
        <v>2023</v>
      </c>
      <c r="M917">
        <v>4</v>
      </c>
      <c r="N917">
        <v>1</v>
      </c>
    </row>
    <row r="918" spans="1:14" x14ac:dyDescent="0.25">
      <c r="A918" t="s">
        <v>3156</v>
      </c>
      <c r="B918" t="s">
        <v>53</v>
      </c>
      <c r="C918" t="s">
        <v>72</v>
      </c>
      <c r="D918" t="str">
        <f>VLOOKUP(J918,Location[],2,FALSE)</f>
        <v>Sacramento</v>
      </c>
      <c r="E918" t="str">
        <f>VLOOKUP(J918,Location[],3,FALSE)</f>
        <v> California</v>
      </c>
      <c r="F918" t="str">
        <f>VLOOKUP(K918,Dept[],2,FALSE)</f>
        <v>Accounting</v>
      </c>
      <c r="G918" s="11">
        <f t="shared" si="14"/>
        <v>44927</v>
      </c>
      <c r="H918" t="str">
        <f>VLOOKUP(N918,Status[],2,FALSE)</f>
        <v>Part-Time</v>
      </c>
      <c r="J918" s="7">
        <v>1035</v>
      </c>
      <c r="K918">
        <v>11</v>
      </c>
      <c r="L918">
        <v>2023</v>
      </c>
      <c r="M918">
        <v>1</v>
      </c>
      <c r="N918">
        <v>0</v>
      </c>
    </row>
    <row r="919" spans="1:14" x14ac:dyDescent="0.25">
      <c r="A919" t="s">
        <v>3157</v>
      </c>
      <c r="B919" t="s">
        <v>83</v>
      </c>
      <c r="C919" t="s">
        <v>72</v>
      </c>
      <c r="D919" t="str">
        <f>VLOOKUP(J919,Location[],2,FALSE)</f>
        <v>Wichita</v>
      </c>
      <c r="E919" t="str">
        <f>VLOOKUP(J919,Location[],3,FALSE)</f>
        <v> Kansas</v>
      </c>
      <c r="F919" t="str">
        <f>VLOOKUP(K919,Dept[],2,FALSE)</f>
        <v>IT</v>
      </c>
      <c r="G919" s="11">
        <f t="shared" si="14"/>
        <v>40969</v>
      </c>
      <c r="H919" t="str">
        <f>VLOOKUP(N919,Status[],2,FALSE)</f>
        <v>Full-Time</v>
      </c>
      <c r="J919" s="7">
        <v>1050</v>
      </c>
      <c r="K919">
        <v>17</v>
      </c>
      <c r="L919">
        <v>2012</v>
      </c>
      <c r="M919">
        <v>3</v>
      </c>
      <c r="N919">
        <v>1</v>
      </c>
    </row>
    <row r="920" spans="1:14" x14ac:dyDescent="0.25">
      <c r="A920" t="s">
        <v>3158</v>
      </c>
      <c r="B920" t="s">
        <v>261</v>
      </c>
      <c r="C920" t="s">
        <v>72</v>
      </c>
      <c r="D920" t="str">
        <f>VLOOKUP(J920,Location[],2,FALSE)</f>
        <v>El Paso</v>
      </c>
      <c r="E920" t="str">
        <f>VLOOKUP(J920,Location[],3,FALSE)</f>
        <v> Texas</v>
      </c>
      <c r="F920" t="str">
        <f>VLOOKUP(K920,Dept[],2,FALSE)</f>
        <v>Sales</v>
      </c>
      <c r="G920" s="11">
        <f t="shared" si="14"/>
        <v>40634</v>
      </c>
      <c r="H920" t="str">
        <f>VLOOKUP(N920,Status[],2,FALSE)</f>
        <v>Part-Time</v>
      </c>
      <c r="J920" s="7">
        <v>1022</v>
      </c>
      <c r="K920">
        <v>22</v>
      </c>
      <c r="L920">
        <v>2011</v>
      </c>
      <c r="M920">
        <v>4</v>
      </c>
      <c r="N920">
        <v>0</v>
      </c>
    </row>
    <row r="921" spans="1:14" x14ac:dyDescent="0.25">
      <c r="A921" t="s">
        <v>3159</v>
      </c>
      <c r="B921" t="s">
        <v>841</v>
      </c>
      <c r="C921" t="s">
        <v>72</v>
      </c>
      <c r="D921" t="str">
        <f>VLOOKUP(J921,Location[],2,FALSE)</f>
        <v>Denver</v>
      </c>
      <c r="E921" t="str">
        <f>VLOOKUP(J921,Location[],3,FALSE)</f>
        <v> Colorado</v>
      </c>
      <c r="F921" t="str">
        <f>VLOOKUP(K921,Dept[],2,FALSE)</f>
        <v>Assessment</v>
      </c>
      <c r="G921" s="11">
        <f t="shared" si="14"/>
        <v>44652</v>
      </c>
      <c r="H921" t="str">
        <f>VLOOKUP(N921,Status[],2,FALSE)</f>
        <v>Full-Time</v>
      </c>
      <c r="J921" s="7">
        <v>1019</v>
      </c>
      <c r="K921">
        <v>13</v>
      </c>
      <c r="L921">
        <v>2022</v>
      </c>
      <c r="M921">
        <v>4</v>
      </c>
      <c r="N921">
        <v>1</v>
      </c>
    </row>
    <row r="922" spans="1:14" x14ac:dyDescent="0.25">
      <c r="A922" t="s">
        <v>3160</v>
      </c>
      <c r="B922" t="s">
        <v>122</v>
      </c>
      <c r="C922" t="s">
        <v>72</v>
      </c>
      <c r="D922" t="str">
        <f>VLOOKUP(J922,Location[],2,FALSE)</f>
        <v>Aurora</v>
      </c>
      <c r="E922" t="str">
        <f>VLOOKUP(J922,Location[],3,FALSE)</f>
        <v> Colorado</v>
      </c>
      <c r="F922" t="str">
        <f>VLOOKUP(K922,Dept[],2,FALSE)</f>
        <v>Assessment</v>
      </c>
      <c r="G922" s="11">
        <f t="shared" si="14"/>
        <v>42125</v>
      </c>
      <c r="H922" t="str">
        <f>VLOOKUP(N922,Status[],2,FALSE)</f>
        <v>Full-Time</v>
      </c>
      <c r="J922" s="7">
        <v>1054</v>
      </c>
      <c r="K922">
        <v>13</v>
      </c>
      <c r="L922">
        <v>2015</v>
      </c>
      <c r="M922">
        <v>5</v>
      </c>
      <c r="N922">
        <v>1</v>
      </c>
    </row>
    <row r="923" spans="1:14" x14ac:dyDescent="0.25">
      <c r="A923" t="s">
        <v>3161</v>
      </c>
      <c r="B923" t="s">
        <v>98</v>
      </c>
      <c r="C923" t="s">
        <v>1779</v>
      </c>
      <c r="D923" t="str">
        <f>VLOOKUP(J923,Location[],2,FALSE)</f>
        <v>Fort Worth</v>
      </c>
      <c r="E923" t="str">
        <f>VLOOKUP(J923,Location[],3,FALSE)</f>
        <v> Texas</v>
      </c>
      <c r="F923" t="str">
        <f>VLOOKUP(K923,Dept[],2,FALSE)</f>
        <v>Customer Support</v>
      </c>
      <c r="G923" s="11">
        <f t="shared" si="14"/>
        <v>43252</v>
      </c>
      <c r="H923" t="str">
        <f>VLOOKUP(N923,Status[],2,FALSE)</f>
        <v>Full-Time</v>
      </c>
      <c r="J923" s="7">
        <v>1015</v>
      </c>
      <c r="K923">
        <v>14</v>
      </c>
      <c r="L923">
        <v>2018</v>
      </c>
      <c r="M923">
        <v>6</v>
      </c>
      <c r="N923">
        <v>1</v>
      </c>
    </row>
    <row r="924" spans="1:14" x14ac:dyDescent="0.25">
      <c r="A924" t="s">
        <v>3162</v>
      </c>
      <c r="B924" t="s">
        <v>169</v>
      </c>
      <c r="C924" t="s">
        <v>170</v>
      </c>
      <c r="D924" t="str">
        <f>VLOOKUP(J924,Location[],2,FALSE)</f>
        <v>New York City</v>
      </c>
      <c r="E924" t="str">
        <f>VLOOKUP(J924,Location[],3,FALSE)</f>
        <v> New York</v>
      </c>
      <c r="F924" t="str">
        <f>VLOOKUP(K924,Dept[],2,FALSE)</f>
        <v>Accounting</v>
      </c>
      <c r="G924" s="11">
        <f t="shared" si="14"/>
        <v>41061</v>
      </c>
      <c r="H924" t="str">
        <f>VLOOKUP(N924,Status[],2,FALSE)</f>
        <v>Part-Time</v>
      </c>
      <c r="J924" s="7">
        <v>1001</v>
      </c>
      <c r="K924">
        <v>11</v>
      </c>
      <c r="L924">
        <v>2012</v>
      </c>
      <c r="M924">
        <v>6</v>
      </c>
      <c r="N924">
        <v>0</v>
      </c>
    </row>
    <row r="925" spans="1:14" x14ac:dyDescent="0.25">
      <c r="A925" t="s">
        <v>3163</v>
      </c>
      <c r="B925" t="s">
        <v>159</v>
      </c>
      <c r="C925" t="s">
        <v>88</v>
      </c>
      <c r="D925" t="str">
        <f>VLOOKUP(J925,Location[],2,FALSE)</f>
        <v>San Antonio</v>
      </c>
      <c r="E925" t="str">
        <f>VLOOKUP(J925,Location[],3,FALSE)</f>
        <v> Texas</v>
      </c>
      <c r="F925" t="str">
        <f>VLOOKUP(K925,Dept[],2,FALSE)</f>
        <v>Legal</v>
      </c>
      <c r="G925" s="11">
        <f t="shared" si="14"/>
        <v>44044</v>
      </c>
      <c r="H925" t="str">
        <f>VLOOKUP(N925,Status[],2,FALSE)</f>
        <v>Full-Time</v>
      </c>
      <c r="J925" s="7">
        <v>1007</v>
      </c>
      <c r="K925">
        <v>18</v>
      </c>
      <c r="L925">
        <v>2020</v>
      </c>
      <c r="M925">
        <v>8</v>
      </c>
      <c r="N925">
        <v>1</v>
      </c>
    </row>
    <row r="926" spans="1:14" x14ac:dyDescent="0.25">
      <c r="A926" t="s">
        <v>3164</v>
      </c>
      <c r="B926" t="s">
        <v>367</v>
      </c>
      <c r="C926" t="s">
        <v>88</v>
      </c>
      <c r="D926" t="str">
        <f>VLOOKUP(J926,Location[],2,FALSE)</f>
        <v>Orlando</v>
      </c>
      <c r="E926" t="str">
        <f>VLOOKUP(J926,Location[],3,FALSE)</f>
        <v> Florida</v>
      </c>
      <c r="F926" t="str">
        <f>VLOOKUP(K926,Dept[],2,FALSE)</f>
        <v>Administration</v>
      </c>
      <c r="G926" s="11">
        <f t="shared" si="14"/>
        <v>44470</v>
      </c>
      <c r="H926" t="str">
        <f>VLOOKUP(N926,Status[],2,FALSE)</f>
        <v>Full-Time</v>
      </c>
      <c r="J926" s="7">
        <v>1072</v>
      </c>
      <c r="K926">
        <v>12</v>
      </c>
      <c r="L926">
        <v>2021</v>
      </c>
      <c r="M926">
        <v>10</v>
      </c>
      <c r="N926">
        <v>1</v>
      </c>
    </row>
    <row r="927" spans="1:14" x14ac:dyDescent="0.25">
      <c r="A927" t="s">
        <v>3165</v>
      </c>
      <c r="B927" t="s">
        <v>530</v>
      </c>
      <c r="C927" t="s">
        <v>88</v>
      </c>
      <c r="D927" t="str">
        <f>VLOOKUP(J927,Location[],2,FALSE)</f>
        <v>Phoenix</v>
      </c>
      <c r="E927" t="str">
        <f>VLOOKUP(J927,Location[],3,FALSE)</f>
        <v> Arizona</v>
      </c>
      <c r="F927" t="str">
        <f>VLOOKUP(K927,Dept[],2,FALSE)</f>
        <v>Administration</v>
      </c>
      <c r="G927" s="11">
        <f t="shared" si="14"/>
        <v>42552</v>
      </c>
      <c r="H927" t="str">
        <f>VLOOKUP(N927,Status[],2,FALSE)</f>
        <v>Full-Time</v>
      </c>
      <c r="J927" s="7">
        <v>1005</v>
      </c>
      <c r="K927">
        <v>12</v>
      </c>
      <c r="L927">
        <v>2016</v>
      </c>
      <c r="M927">
        <v>7</v>
      </c>
      <c r="N927">
        <v>1</v>
      </c>
    </row>
    <row r="928" spans="1:14" x14ac:dyDescent="0.25">
      <c r="A928" t="s">
        <v>3166</v>
      </c>
      <c r="B928" t="s">
        <v>130</v>
      </c>
      <c r="C928" t="s">
        <v>88</v>
      </c>
      <c r="D928" t="str">
        <f>VLOOKUP(J928,Location[],2,FALSE)</f>
        <v>Portland</v>
      </c>
      <c r="E928" t="str">
        <f>VLOOKUP(J928,Location[],3,FALSE)</f>
        <v> Oregon</v>
      </c>
      <c r="F928" t="str">
        <f>VLOOKUP(K928,Dept[],2,FALSE)</f>
        <v>Legal</v>
      </c>
      <c r="G928" s="11">
        <f t="shared" si="14"/>
        <v>44228</v>
      </c>
      <c r="H928" t="str">
        <f>VLOOKUP(N928,Status[],2,FALSE)</f>
        <v>Full-Time</v>
      </c>
      <c r="J928" s="7">
        <v>1026</v>
      </c>
      <c r="K928">
        <v>18</v>
      </c>
      <c r="L928">
        <v>2021</v>
      </c>
      <c r="M928">
        <v>2</v>
      </c>
      <c r="N928">
        <v>1</v>
      </c>
    </row>
    <row r="929" spans="1:14" x14ac:dyDescent="0.25">
      <c r="A929" t="s">
        <v>3167</v>
      </c>
      <c r="B929" t="s">
        <v>352</v>
      </c>
      <c r="C929" t="s">
        <v>88</v>
      </c>
      <c r="D929" t="str">
        <f>VLOOKUP(J929,Location[],2,FALSE)</f>
        <v>Los Angeles</v>
      </c>
      <c r="E929" t="str">
        <f>VLOOKUP(J929,Location[],3,FALSE)</f>
        <v> California</v>
      </c>
      <c r="F929" t="str">
        <f>VLOOKUP(K929,Dept[],2,FALSE)</f>
        <v>R&amp;D</v>
      </c>
      <c r="G929" s="11">
        <f t="shared" si="14"/>
        <v>42826</v>
      </c>
      <c r="H929" t="str">
        <f>VLOOKUP(N929,Status[],2,FALSE)</f>
        <v>Part-Time</v>
      </c>
      <c r="J929" s="7">
        <v>1002</v>
      </c>
      <c r="K929">
        <v>21</v>
      </c>
      <c r="L929">
        <v>2017</v>
      </c>
      <c r="M929">
        <v>4</v>
      </c>
      <c r="N929">
        <v>0</v>
      </c>
    </row>
    <row r="930" spans="1:14" x14ac:dyDescent="0.25">
      <c r="A930" t="s">
        <v>3168</v>
      </c>
      <c r="B930" t="s">
        <v>1232</v>
      </c>
      <c r="C930" t="s">
        <v>88</v>
      </c>
      <c r="D930" t="str">
        <f>VLOOKUP(J930,Location[],2,FALSE)</f>
        <v>Arlington</v>
      </c>
      <c r="E930" t="str">
        <f>VLOOKUP(J930,Location[],3,FALSE)</f>
        <v> Texas</v>
      </c>
      <c r="F930" t="str">
        <f>VLOOKUP(K930,Dept[],2,FALSE)</f>
        <v>Human Resources</v>
      </c>
      <c r="G930" s="11">
        <f t="shared" si="14"/>
        <v>40725</v>
      </c>
      <c r="H930" t="str">
        <f>VLOOKUP(N930,Status[],2,FALSE)</f>
        <v>Full-Time</v>
      </c>
      <c r="J930" s="7">
        <v>1048</v>
      </c>
      <c r="K930">
        <v>16</v>
      </c>
      <c r="L930">
        <v>2011</v>
      </c>
      <c r="M930">
        <v>7</v>
      </c>
      <c r="N930">
        <v>1</v>
      </c>
    </row>
    <row r="931" spans="1:14" x14ac:dyDescent="0.25">
      <c r="A931" t="s">
        <v>3169</v>
      </c>
      <c r="B931" t="s">
        <v>100</v>
      </c>
      <c r="C931" t="s">
        <v>88</v>
      </c>
      <c r="D931" t="str">
        <f>VLOOKUP(J931,Location[],2,FALSE)</f>
        <v>Boston</v>
      </c>
      <c r="E931" t="str">
        <f>VLOOKUP(J931,Location[],3,FALSE)</f>
        <v> Massachusetts</v>
      </c>
      <c r="F931" t="str">
        <f>VLOOKUP(K931,Dept[],2,FALSE)</f>
        <v>Sales</v>
      </c>
      <c r="G931" s="11">
        <f t="shared" si="14"/>
        <v>42856</v>
      </c>
      <c r="H931" t="str">
        <f>VLOOKUP(N931,Status[],2,FALSE)</f>
        <v>Full-Time</v>
      </c>
      <c r="J931" s="7">
        <v>1021</v>
      </c>
      <c r="K931">
        <v>22</v>
      </c>
      <c r="L931">
        <v>2017</v>
      </c>
      <c r="M931">
        <v>5</v>
      </c>
      <c r="N931">
        <v>1</v>
      </c>
    </row>
    <row r="932" spans="1:14" x14ac:dyDescent="0.25">
      <c r="A932" t="s">
        <v>3170</v>
      </c>
      <c r="B932" t="s">
        <v>117</v>
      </c>
      <c r="C932" t="s">
        <v>88</v>
      </c>
      <c r="D932" t="str">
        <f>VLOOKUP(J932,Location[],2,FALSE)</f>
        <v>Los Angeles</v>
      </c>
      <c r="E932" t="str">
        <f>VLOOKUP(J932,Location[],3,FALSE)</f>
        <v> California</v>
      </c>
      <c r="F932" t="str">
        <f>VLOOKUP(K932,Dept[],2,FALSE)</f>
        <v>Human Resources</v>
      </c>
      <c r="G932" s="11">
        <f t="shared" si="14"/>
        <v>44743</v>
      </c>
      <c r="H932" t="str">
        <f>VLOOKUP(N932,Status[],2,FALSE)</f>
        <v>Full-Time</v>
      </c>
      <c r="J932" s="7">
        <v>1002</v>
      </c>
      <c r="K932">
        <v>16</v>
      </c>
      <c r="L932">
        <v>2022</v>
      </c>
      <c r="M932">
        <v>7</v>
      </c>
      <c r="N932">
        <v>1</v>
      </c>
    </row>
    <row r="933" spans="1:14" x14ac:dyDescent="0.25">
      <c r="A933" t="s">
        <v>3171</v>
      </c>
      <c r="B933" t="s">
        <v>379</v>
      </c>
      <c r="C933" t="s">
        <v>88</v>
      </c>
      <c r="D933" t="str">
        <f>VLOOKUP(J933,Location[],2,FALSE)</f>
        <v>Austin</v>
      </c>
      <c r="E933" t="str">
        <f>VLOOKUP(J933,Location[],3,FALSE)</f>
        <v> Texas</v>
      </c>
      <c r="F933" t="str">
        <f>VLOOKUP(K933,Dept[],2,FALSE)</f>
        <v>Customer Support</v>
      </c>
      <c r="G933" s="11">
        <f t="shared" si="14"/>
        <v>43497</v>
      </c>
      <c r="H933" t="str">
        <f>VLOOKUP(N933,Status[],2,FALSE)</f>
        <v>Full-Time</v>
      </c>
      <c r="J933" s="7">
        <v>1011</v>
      </c>
      <c r="K933">
        <v>14</v>
      </c>
      <c r="L933">
        <v>2019</v>
      </c>
      <c r="M933">
        <v>2</v>
      </c>
      <c r="N933">
        <v>1</v>
      </c>
    </row>
    <row r="934" spans="1:14" x14ac:dyDescent="0.25">
      <c r="A934" t="s">
        <v>2308</v>
      </c>
      <c r="B934" t="s">
        <v>913</v>
      </c>
      <c r="C934" t="s">
        <v>88</v>
      </c>
      <c r="D934" t="str">
        <f>VLOOKUP(J934,Location[],2,FALSE)</f>
        <v>Houston</v>
      </c>
      <c r="E934" t="str">
        <f>VLOOKUP(J934,Location[],3,FALSE)</f>
        <v> Texas</v>
      </c>
      <c r="F934" t="str">
        <f>VLOOKUP(K934,Dept[],2,FALSE)</f>
        <v>Legal</v>
      </c>
      <c r="G934" s="11">
        <f t="shared" si="14"/>
        <v>41334</v>
      </c>
      <c r="H934" t="str">
        <f>VLOOKUP(N934,Status[],2,FALSE)</f>
        <v>Full-Time</v>
      </c>
      <c r="J934" s="7">
        <v>1004</v>
      </c>
      <c r="K934">
        <v>18</v>
      </c>
      <c r="L934">
        <v>2013</v>
      </c>
      <c r="M934">
        <v>3</v>
      </c>
      <c r="N934">
        <v>1</v>
      </c>
    </row>
    <row r="935" spans="1:14" x14ac:dyDescent="0.25">
      <c r="A935" t="s">
        <v>3172</v>
      </c>
      <c r="B935" t="s">
        <v>253</v>
      </c>
      <c r="C935" t="s">
        <v>88</v>
      </c>
      <c r="D935" t="str">
        <f>VLOOKUP(J935,Location[],2,FALSE)</f>
        <v>Minneapolis</v>
      </c>
      <c r="E935" t="str">
        <f>VLOOKUP(J935,Location[],3,FALSE)</f>
        <v> Minnesota</v>
      </c>
      <c r="F935" t="str">
        <f>VLOOKUP(K935,Dept[],2,FALSE)</f>
        <v>Customer Support</v>
      </c>
      <c r="G935" s="11">
        <f t="shared" si="14"/>
        <v>44348</v>
      </c>
      <c r="H935" t="str">
        <f>VLOOKUP(N935,Status[],2,FALSE)</f>
        <v>Full-Time</v>
      </c>
      <c r="J935" s="7">
        <v>1046</v>
      </c>
      <c r="K935">
        <v>14</v>
      </c>
      <c r="L935">
        <v>2021</v>
      </c>
      <c r="M935">
        <v>6</v>
      </c>
      <c r="N935">
        <v>1</v>
      </c>
    </row>
    <row r="936" spans="1:14" x14ac:dyDescent="0.25">
      <c r="A936" t="s">
        <v>3173</v>
      </c>
      <c r="B936" t="s">
        <v>119</v>
      </c>
      <c r="C936" t="s">
        <v>88</v>
      </c>
      <c r="D936" t="str">
        <f>VLOOKUP(J936,Location[],2,FALSE)</f>
        <v>Dallas</v>
      </c>
      <c r="E936" t="str">
        <f>VLOOKUP(J936,Location[],3,FALSE)</f>
        <v> Texas</v>
      </c>
      <c r="F936" t="str">
        <f>VLOOKUP(K936,Dept[],2,FALSE)</f>
        <v>Sales</v>
      </c>
      <c r="G936" s="11">
        <f t="shared" si="14"/>
        <v>43862</v>
      </c>
      <c r="H936" t="str">
        <f>VLOOKUP(N936,Status[],2,FALSE)</f>
        <v>Full-Time</v>
      </c>
      <c r="J936" s="7">
        <v>1009</v>
      </c>
      <c r="K936">
        <v>22</v>
      </c>
      <c r="L936">
        <v>2020</v>
      </c>
      <c r="M936">
        <v>2</v>
      </c>
      <c r="N936">
        <v>1</v>
      </c>
    </row>
    <row r="937" spans="1:14" x14ac:dyDescent="0.25">
      <c r="A937" t="s">
        <v>3174</v>
      </c>
      <c r="B937" t="s">
        <v>87</v>
      </c>
      <c r="C937" t="s">
        <v>88</v>
      </c>
      <c r="D937" t="str">
        <f>VLOOKUP(J937,Location[],2,FALSE)</f>
        <v>Jacksonville</v>
      </c>
      <c r="E937" t="str">
        <f>VLOOKUP(J937,Location[],3,FALSE)</f>
        <v> Florida</v>
      </c>
      <c r="F937" t="str">
        <f>VLOOKUP(K937,Dept[],2,FALSE)</f>
        <v>Administration</v>
      </c>
      <c r="G937" s="11">
        <f t="shared" si="14"/>
        <v>41609</v>
      </c>
      <c r="H937" t="str">
        <f>VLOOKUP(N937,Status[],2,FALSE)</f>
        <v>Full-Time</v>
      </c>
      <c r="J937" s="7">
        <v>1012</v>
      </c>
      <c r="K937">
        <v>12</v>
      </c>
      <c r="L937">
        <v>2013</v>
      </c>
      <c r="M937">
        <v>12</v>
      </c>
      <c r="N937">
        <v>1</v>
      </c>
    </row>
    <row r="938" spans="1:14" x14ac:dyDescent="0.25">
      <c r="A938" t="s">
        <v>3175</v>
      </c>
      <c r="B938" t="s">
        <v>915</v>
      </c>
      <c r="C938" t="s">
        <v>88</v>
      </c>
      <c r="D938" t="str">
        <f>VLOOKUP(J938,Location[],2,FALSE)</f>
        <v>Chula Vista</v>
      </c>
      <c r="E938" t="str">
        <f>VLOOKUP(J938,Location[],3,FALSE)</f>
        <v> California</v>
      </c>
      <c r="F938" t="str">
        <f>VLOOKUP(K938,Dept[],2,FALSE)</f>
        <v>Customer Support</v>
      </c>
      <c r="G938" s="11">
        <f t="shared" si="14"/>
        <v>41061</v>
      </c>
      <c r="H938" t="str">
        <f>VLOOKUP(N938,Status[],2,FALSE)</f>
        <v>Full-Time</v>
      </c>
      <c r="J938" s="7">
        <v>1076</v>
      </c>
      <c r="K938">
        <v>14</v>
      </c>
      <c r="L938">
        <v>2012</v>
      </c>
      <c r="M938">
        <v>6</v>
      </c>
      <c r="N938">
        <v>1</v>
      </c>
    </row>
    <row r="939" spans="1:14" x14ac:dyDescent="0.25">
      <c r="A939" t="s">
        <v>3176</v>
      </c>
      <c r="B939" t="s">
        <v>942</v>
      </c>
      <c r="C939" t="s">
        <v>88</v>
      </c>
      <c r="D939" t="str">
        <f>VLOOKUP(J939,Location[],2,FALSE)</f>
        <v>Los Angeles</v>
      </c>
      <c r="E939" t="str">
        <f>VLOOKUP(J939,Location[],3,FALSE)</f>
        <v> California</v>
      </c>
      <c r="F939" t="str">
        <f>VLOOKUP(K939,Dept[],2,FALSE)</f>
        <v>Human Resources</v>
      </c>
      <c r="G939" s="11">
        <f t="shared" si="14"/>
        <v>44287</v>
      </c>
      <c r="H939" t="str">
        <f>VLOOKUP(N939,Status[],2,FALSE)</f>
        <v>Full-Time</v>
      </c>
      <c r="J939" s="7">
        <v>1002</v>
      </c>
      <c r="K939">
        <v>16</v>
      </c>
      <c r="L939">
        <v>2021</v>
      </c>
      <c r="M939">
        <v>4</v>
      </c>
      <c r="N939">
        <v>1</v>
      </c>
    </row>
    <row r="940" spans="1:14" x14ac:dyDescent="0.25">
      <c r="A940" t="s">
        <v>3177</v>
      </c>
      <c r="B940" t="s">
        <v>1634</v>
      </c>
      <c r="C940" t="s">
        <v>88</v>
      </c>
      <c r="D940" t="str">
        <f>VLOOKUP(J940,Location[],2,FALSE)</f>
        <v>Colorado Springs</v>
      </c>
      <c r="E940" t="str">
        <f>VLOOKUP(J940,Location[],3,FALSE)</f>
        <v> Colorado</v>
      </c>
      <c r="F940" t="str">
        <f>VLOOKUP(K940,Dept[],2,FALSE)</f>
        <v>Customer Support</v>
      </c>
      <c r="G940" s="11">
        <f t="shared" si="14"/>
        <v>44409</v>
      </c>
      <c r="H940" t="str">
        <f>VLOOKUP(N940,Status[],2,FALSE)</f>
        <v>Full-Time</v>
      </c>
      <c r="J940" s="7">
        <v>1042</v>
      </c>
      <c r="K940">
        <v>14</v>
      </c>
      <c r="L940">
        <v>2021</v>
      </c>
      <c r="M940">
        <v>8</v>
      </c>
      <c r="N940">
        <v>1</v>
      </c>
    </row>
    <row r="941" spans="1:14" x14ac:dyDescent="0.25">
      <c r="A941" t="s">
        <v>3178</v>
      </c>
      <c r="B941" t="s">
        <v>575</v>
      </c>
      <c r="C941" t="s">
        <v>88</v>
      </c>
      <c r="D941" t="str">
        <f>VLOOKUP(J941,Location[],2,FALSE)</f>
        <v>New York City</v>
      </c>
      <c r="E941" t="str">
        <f>VLOOKUP(J941,Location[],3,FALSE)</f>
        <v> New York</v>
      </c>
      <c r="F941" t="str">
        <f>VLOOKUP(K941,Dept[],2,FALSE)</f>
        <v>IT</v>
      </c>
      <c r="G941" s="11">
        <f t="shared" si="14"/>
        <v>43617</v>
      </c>
      <c r="H941" t="str">
        <f>VLOOKUP(N941,Status[],2,FALSE)</f>
        <v>Full-Time</v>
      </c>
      <c r="J941" s="7">
        <v>1001</v>
      </c>
      <c r="K941">
        <v>17</v>
      </c>
      <c r="L941">
        <v>2019</v>
      </c>
      <c r="M941">
        <v>6</v>
      </c>
      <c r="N941">
        <v>1</v>
      </c>
    </row>
    <row r="942" spans="1:14" x14ac:dyDescent="0.25">
      <c r="A942" t="s">
        <v>3179</v>
      </c>
      <c r="B942" t="s">
        <v>680</v>
      </c>
      <c r="C942" t="s">
        <v>681</v>
      </c>
      <c r="D942" t="str">
        <f>VLOOKUP(J942,Location[],2,FALSE)</f>
        <v>New York City</v>
      </c>
      <c r="E942" t="str">
        <f>VLOOKUP(J942,Location[],3,FALSE)</f>
        <v> New York</v>
      </c>
      <c r="F942" t="str">
        <f>VLOOKUP(K942,Dept[],2,FALSE)</f>
        <v>Media</v>
      </c>
      <c r="G942" s="11">
        <f t="shared" si="14"/>
        <v>42036</v>
      </c>
      <c r="H942" t="str">
        <f>VLOOKUP(N942,Status[],2,FALSE)</f>
        <v>Full-Time</v>
      </c>
      <c r="J942" s="7">
        <v>1001</v>
      </c>
      <c r="K942">
        <v>20</v>
      </c>
      <c r="L942">
        <v>2015</v>
      </c>
      <c r="M942">
        <v>2</v>
      </c>
      <c r="N942">
        <v>1</v>
      </c>
    </row>
    <row r="943" spans="1:14" x14ac:dyDescent="0.25">
      <c r="A943" t="s">
        <v>3180</v>
      </c>
      <c r="B943" t="s">
        <v>173</v>
      </c>
      <c r="C943" t="s">
        <v>681</v>
      </c>
      <c r="D943" t="str">
        <f>VLOOKUP(J943,Location[],2,FALSE)</f>
        <v>Orlando</v>
      </c>
      <c r="E943" t="str">
        <f>VLOOKUP(J943,Location[],3,FALSE)</f>
        <v> Florida</v>
      </c>
      <c r="F943" t="str">
        <f>VLOOKUP(K943,Dept[],2,FALSE)</f>
        <v>Customer Support</v>
      </c>
      <c r="G943" s="11">
        <f t="shared" si="14"/>
        <v>42552</v>
      </c>
      <c r="H943" t="str">
        <f>VLOOKUP(N943,Status[],2,FALSE)</f>
        <v>Full-Time</v>
      </c>
      <c r="J943" s="7">
        <v>1072</v>
      </c>
      <c r="K943">
        <v>14</v>
      </c>
      <c r="L943">
        <v>2016</v>
      </c>
      <c r="M943">
        <v>7</v>
      </c>
      <c r="N943">
        <v>1</v>
      </c>
    </row>
    <row r="944" spans="1:14" x14ac:dyDescent="0.25">
      <c r="A944" t="s">
        <v>3181</v>
      </c>
      <c r="B944" t="s">
        <v>1031</v>
      </c>
      <c r="C944" t="s">
        <v>681</v>
      </c>
      <c r="D944" t="str">
        <f>VLOOKUP(J944,Location[],2,FALSE)</f>
        <v>Atlanta</v>
      </c>
      <c r="E944" t="str">
        <f>VLOOKUP(J944,Location[],3,FALSE)</f>
        <v> Georgia</v>
      </c>
      <c r="F944" t="str">
        <f>VLOOKUP(K944,Dept[],2,FALSE)</f>
        <v>Finance</v>
      </c>
      <c r="G944" s="11">
        <f t="shared" si="14"/>
        <v>41000</v>
      </c>
      <c r="H944" t="str">
        <f>VLOOKUP(N944,Status[],2,FALSE)</f>
        <v>Full-Time</v>
      </c>
      <c r="J944" s="7">
        <v>1038</v>
      </c>
      <c r="K944">
        <v>15</v>
      </c>
      <c r="L944">
        <v>2012</v>
      </c>
      <c r="M944">
        <v>4</v>
      </c>
      <c r="N944">
        <v>1</v>
      </c>
    </row>
    <row r="945" spans="1:14" x14ac:dyDescent="0.25">
      <c r="A945" t="s">
        <v>3182</v>
      </c>
      <c r="B945" t="s">
        <v>1947</v>
      </c>
      <c r="C945" t="s">
        <v>1948</v>
      </c>
      <c r="D945" t="str">
        <f>VLOOKUP(J945,Location[],2,FALSE)</f>
        <v>Washington, D.C.</v>
      </c>
      <c r="E945" t="str">
        <f>VLOOKUP(J945,Location[],3,FALSE)</f>
        <v> District of Columbia</v>
      </c>
      <c r="F945" t="str">
        <f>VLOOKUP(K945,Dept[],2,FALSE)</f>
        <v>Finance</v>
      </c>
      <c r="G945" s="11">
        <f t="shared" si="14"/>
        <v>41944</v>
      </c>
      <c r="H945" t="str">
        <f>VLOOKUP(N945,Status[],2,FALSE)</f>
        <v>Full-Time</v>
      </c>
      <c r="J945" s="7">
        <v>1020</v>
      </c>
      <c r="K945">
        <v>15</v>
      </c>
      <c r="L945">
        <v>2014</v>
      </c>
      <c r="M945">
        <v>11</v>
      </c>
      <c r="N945">
        <v>1</v>
      </c>
    </row>
    <row r="946" spans="1:14" x14ac:dyDescent="0.25">
      <c r="A946" t="s">
        <v>3183</v>
      </c>
      <c r="B946" t="s">
        <v>670</v>
      </c>
      <c r="C946" t="s">
        <v>2033</v>
      </c>
      <c r="D946" t="str">
        <f>VLOOKUP(J946,Location[],2,FALSE)</f>
        <v>Chicago</v>
      </c>
      <c r="E946" t="str">
        <f>VLOOKUP(J946,Location[],3,FALSE)</f>
        <v> Illinois</v>
      </c>
      <c r="F946" t="str">
        <f>VLOOKUP(K946,Dept[],2,FALSE)</f>
        <v>Accounting</v>
      </c>
      <c r="G946" s="11">
        <f t="shared" si="14"/>
        <v>41030</v>
      </c>
      <c r="H946" t="str">
        <f>VLOOKUP(N946,Status[],2,FALSE)</f>
        <v>Full-Time</v>
      </c>
      <c r="J946" s="7">
        <v>1003</v>
      </c>
      <c r="K946">
        <v>11</v>
      </c>
      <c r="L946">
        <v>2012</v>
      </c>
      <c r="M946">
        <v>5</v>
      </c>
      <c r="N946">
        <v>1</v>
      </c>
    </row>
    <row r="947" spans="1:14" x14ac:dyDescent="0.25">
      <c r="A947" t="s">
        <v>3184</v>
      </c>
      <c r="B947" t="s">
        <v>352</v>
      </c>
      <c r="C947" t="s">
        <v>353</v>
      </c>
      <c r="D947" t="str">
        <f>VLOOKUP(J947,Location[],2,FALSE)</f>
        <v>San Jose</v>
      </c>
      <c r="E947" t="str">
        <f>VLOOKUP(J947,Location[],3,FALSE)</f>
        <v> California</v>
      </c>
      <c r="F947" t="str">
        <f>VLOOKUP(K947,Dept[],2,FALSE)</f>
        <v>Sales</v>
      </c>
      <c r="G947" s="11">
        <f t="shared" si="14"/>
        <v>44501</v>
      </c>
      <c r="H947" t="str">
        <f>VLOOKUP(N947,Status[],2,FALSE)</f>
        <v>Part-Time</v>
      </c>
      <c r="J947" s="7">
        <v>1010</v>
      </c>
      <c r="K947">
        <v>22</v>
      </c>
      <c r="L947">
        <v>2021</v>
      </c>
      <c r="M947">
        <v>11</v>
      </c>
      <c r="N947">
        <v>0</v>
      </c>
    </row>
    <row r="948" spans="1:14" x14ac:dyDescent="0.25">
      <c r="A948" t="s">
        <v>3185</v>
      </c>
      <c r="B948" t="s">
        <v>307</v>
      </c>
      <c r="C948" t="s">
        <v>353</v>
      </c>
      <c r="D948" t="str">
        <f>VLOOKUP(J948,Location[],2,FALSE)</f>
        <v>Durham</v>
      </c>
      <c r="E948" t="str">
        <f>VLOOKUP(J948,Location[],3,FALSE)</f>
        <v> North Carolina</v>
      </c>
      <c r="F948" t="str">
        <f>VLOOKUP(K948,Dept[],2,FALSE)</f>
        <v>IT</v>
      </c>
      <c r="G948" s="11">
        <f t="shared" si="14"/>
        <v>41061</v>
      </c>
      <c r="H948" t="str">
        <f>VLOOKUP(N948,Status[],2,FALSE)</f>
        <v>Full-Time</v>
      </c>
      <c r="J948" s="7">
        <v>1077</v>
      </c>
      <c r="K948">
        <v>17</v>
      </c>
      <c r="L948">
        <v>2012</v>
      </c>
      <c r="M948">
        <v>6</v>
      </c>
      <c r="N948">
        <v>1</v>
      </c>
    </row>
    <row r="949" spans="1:14" x14ac:dyDescent="0.25">
      <c r="A949" t="s">
        <v>3186</v>
      </c>
      <c r="B949" t="s">
        <v>1616</v>
      </c>
      <c r="C949" t="s">
        <v>786</v>
      </c>
      <c r="D949" t="str">
        <f>VLOOKUP(J949,Location[],2,FALSE)</f>
        <v>San Francisco</v>
      </c>
      <c r="E949" t="str">
        <f>VLOOKUP(J949,Location[],3,FALSE)</f>
        <v> California</v>
      </c>
      <c r="F949" t="str">
        <f>VLOOKUP(K949,Dept[],2,FALSE)</f>
        <v>Customer Support</v>
      </c>
      <c r="G949" s="11">
        <f t="shared" si="14"/>
        <v>44256</v>
      </c>
      <c r="H949" t="str">
        <f>VLOOKUP(N949,Status[],2,FALSE)</f>
        <v>Full-Time</v>
      </c>
      <c r="J949" s="7">
        <v>1013</v>
      </c>
      <c r="K949">
        <v>14</v>
      </c>
      <c r="L949">
        <v>2021</v>
      </c>
      <c r="M949">
        <v>3</v>
      </c>
      <c r="N949">
        <v>1</v>
      </c>
    </row>
    <row r="950" spans="1:14" x14ac:dyDescent="0.25">
      <c r="A950" t="s">
        <v>3187</v>
      </c>
      <c r="B950" t="s">
        <v>866</v>
      </c>
      <c r="C950" t="s">
        <v>2024</v>
      </c>
      <c r="D950" t="str">
        <f>VLOOKUP(J950,Location[],2,FALSE)</f>
        <v>Charlotte</v>
      </c>
      <c r="E950" t="str">
        <f>VLOOKUP(J950,Location[],3,FALSE)</f>
        <v> North Carolina</v>
      </c>
      <c r="F950" t="str">
        <f>VLOOKUP(K950,Dept[],2,FALSE)</f>
        <v>Marketing</v>
      </c>
      <c r="G950" s="11">
        <f t="shared" si="14"/>
        <v>40756</v>
      </c>
      <c r="H950" t="str">
        <f>VLOOKUP(N950,Status[],2,FALSE)</f>
        <v>Full-Time</v>
      </c>
      <c r="J950" s="7">
        <v>1017</v>
      </c>
      <c r="K950">
        <v>19</v>
      </c>
      <c r="L950">
        <v>2011</v>
      </c>
      <c r="M950">
        <v>8</v>
      </c>
      <c r="N950">
        <v>1</v>
      </c>
    </row>
    <row r="951" spans="1:14" x14ac:dyDescent="0.25">
      <c r="A951" t="s">
        <v>3188</v>
      </c>
      <c r="B951" t="s">
        <v>869</v>
      </c>
      <c r="C951" t="s">
        <v>1237</v>
      </c>
      <c r="D951" t="str">
        <f>VLOOKUP(J951,Location[],2,FALSE)</f>
        <v>New York City</v>
      </c>
      <c r="E951" t="str">
        <f>VLOOKUP(J951,Location[],3,FALSE)</f>
        <v> New York</v>
      </c>
      <c r="F951" t="str">
        <f>VLOOKUP(K951,Dept[],2,FALSE)</f>
        <v>Customer Support</v>
      </c>
      <c r="G951" s="11">
        <f t="shared" si="14"/>
        <v>42370</v>
      </c>
      <c r="H951" t="str">
        <f>VLOOKUP(N951,Status[],2,FALSE)</f>
        <v>Full-Time</v>
      </c>
      <c r="J951" s="7">
        <v>1001</v>
      </c>
      <c r="K951">
        <v>14</v>
      </c>
      <c r="L951">
        <v>2016</v>
      </c>
      <c r="M951">
        <v>1</v>
      </c>
      <c r="N951">
        <v>1</v>
      </c>
    </row>
    <row r="952" spans="1:14" x14ac:dyDescent="0.25">
      <c r="A952" t="s">
        <v>3189</v>
      </c>
      <c r="B952" t="s">
        <v>19</v>
      </c>
      <c r="C952" t="s">
        <v>214</v>
      </c>
      <c r="D952" t="str">
        <f>VLOOKUP(J952,Location[],2,FALSE)</f>
        <v>Baltimore</v>
      </c>
      <c r="E952" t="str">
        <f>VLOOKUP(J952,Location[],3,FALSE)</f>
        <v> Maryland</v>
      </c>
      <c r="F952" t="str">
        <f>VLOOKUP(K952,Dept[],2,FALSE)</f>
        <v>Accounting</v>
      </c>
      <c r="G952" s="11">
        <f t="shared" si="14"/>
        <v>44256</v>
      </c>
      <c r="H952" t="str">
        <f>VLOOKUP(N952,Status[],2,FALSE)</f>
        <v>Part-Time</v>
      </c>
      <c r="J952" s="7">
        <v>1030</v>
      </c>
      <c r="K952">
        <v>11</v>
      </c>
      <c r="L952">
        <v>2021</v>
      </c>
      <c r="M952">
        <v>3</v>
      </c>
      <c r="N952">
        <v>0</v>
      </c>
    </row>
    <row r="953" spans="1:14" x14ac:dyDescent="0.25">
      <c r="A953" t="s">
        <v>3190</v>
      </c>
      <c r="B953" t="s">
        <v>280</v>
      </c>
      <c r="C953" t="s">
        <v>369</v>
      </c>
      <c r="D953" t="str">
        <f>VLOOKUP(J953,Location[],2,FALSE)</f>
        <v>Tampa</v>
      </c>
      <c r="E953" t="str">
        <f>VLOOKUP(J953,Location[],3,FALSE)</f>
        <v> Florida</v>
      </c>
      <c r="F953" t="str">
        <f>VLOOKUP(K953,Dept[],2,FALSE)</f>
        <v>Marketing</v>
      </c>
      <c r="G953" s="11">
        <f t="shared" si="14"/>
        <v>42156</v>
      </c>
      <c r="H953" t="str">
        <f>VLOOKUP(N953,Status[],2,FALSE)</f>
        <v>Full-Time</v>
      </c>
      <c r="J953" s="7">
        <v>1052</v>
      </c>
      <c r="K953">
        <v>19</v>
      </c>
      <c r="L953">
        <v>2015</v>
      </c>
      <c r="M953">
        <v>6</v>
      </c>
      <c r="N953">
        <v>1</v>
      </c>
    </row>
    <row r="954" spans="1:14" x14ac:dyDescent="0.25">
      <c r="A954" t="s">
        <v>3191</v>
      </c>
      <c r="B954" t="s">
        <v>916</v>
      </c>
      <c r="C954" t="s">
        <v>1918</v>
      </c>
      <c r="D954" t="str">
        <f>VLOOKUP(J954,Location[],2,FALSE)</f>
        <v>Omaha</v>
      </c>
      <c r="E954" t="str">
        <f>VLOOKUP(J954,Location[],3,FALSE)</f>
        <v> Nebraska</v>
      </c>
      <c r="F954" t="str">
        <f>VLOOKUP(K954,Dept[],2,FALSE)</f>
        <v>Assessment</v>
      </c>
      <c r="G954" s="11">
        <f t="shared" si="14"/>
        <v>42675</v>
      </c>
      <c r="H954" t="str">
        <f>VLOOKUP(N954,Status[],2,FALSE)</f>
        <v>Full-Time</v>
      </c>
      <c r="J954" s="7">
        <v>1040</v>
      </c>
      <c r="K954">
        <v>13</v>
      </c>
      <c r="L954">
        <v>2016</v>
      </c>
      <c r="M954">
        <v>11</v>
      </c>
      <c r="N954">
        <v>1</v>
      </c>
    </row>
    <row r="955" spans="1:14" x14ac:dyDescent="0.25">
      <c r="A955" t="s">
        <v>3192</v>
      </c>
      <c r="B955" t="s">
        <v>29</v>
      </c>
      <c r="C955" t="s">
        <v>536</v>
      </c>
      <c r="D955" t="str">
        <f>VLOOKUP(J955,Location[],2,FALSE)</f>
        <v>Los Angeles</v>
      </c>
      <c r="E955" t="str">
        <f>VLOOKUP(J955,Location[],3,FALSE)</f>
        <v> California</v>
      </c>
      <c r="F955" t="str">
        <f>VLOOKUP(K955,Dept[],2,FALSE)</f>
        <v>Marketing</v>
      </c>
      <c r="G955" s="11">
        <f t="shared" si="14"/>
        <v>41000</v>
      </c>
      <c r="H955" t="str">
        <f>VLOOKUP(N955,Status[],2,FALSE)</f>
        <v>Full-Time</v>
      </c>
      <c r="J955" s="7">
        <v>1002</v>
      </c>
      <c r="K955">
        <v>19</v>
      </c>
      <c r="L955">
        <v>2012</v>
      </c>
      <c r="M955">
        <v>4</v>
      </c>
      <c r="N955">
        <v>1</v>
      </c>
    </row>
    <row r="956" spans="1:14" x14ac:dyDescent="0.25">
      <c r="A956" t="s">
        <v>3193</v>
      </c>
      <c r="B956" t="s">
        <v>376</v>
      </c>
      <c r="C956" t="s">
        <v>1728</v>
      </c>
      <c r="D956" t="str">
        <f>VLOOKUP(J956,Location[],2,FALSE)</f>
        <v>Saint Paul</v>
      </c>
      <c r="E956" t="str">
        <f>VLOOKUP(J956,Location[],3,FALSE)</f>
        <v> Minnesota</v>
      </c>
      <c r="F956" t="str">
        <f>VLOOKUP(K956,Dept[],2,FALSE)</f>
        <v>Sales</v>
      </c>
      <c r="G956" s="11">
        <f t="shared" si="14"/>
        <v>42917</v>
      </c>
      <c r="H956" t="str">
        <f>VLOOKUP(N956,Status[],2,FALSE)</f>
        <v>Part-Time</v>
      </c>
      <c r="J956" s="7">
        <v>1063</v>
      </c>
      <c r="K956">
        <v>22</v>
      </c>
      <c r="L956">
        <v>2017</v>
      </c>
      <c r="M956">
        <v>7</v>
      </c>
      <c r="N956">
        <v>0</v>
      </c>
    </row>
    <row r="957" spans="1:14" x14ac:dyDescent="0.25">
      <c r="A957" t="s">
        <v>3194</v>
      </c>
      <c r="B957" t="s">
        <v>841</v>
      </c>
      <c r="C957" t="s">
        <v>1631</v>
      </c>
      <c r="D957" t="str">
        <f>VLOOKUP(J957,Location[],2,FALSE)</f>
        <v>Las Vegas</v>
      </c>
      <c r="E957" t="str">
        <f>VLOOKUP(J957,Location[],3,FALSE)</f>
        <v> Nevada</v>
      </c>
      <c r="F957" t="str">
        <f>VLOOKUP(K957,Dept[],2,FALSE)</f>
        <v>Administration</v>
      </c>
      <c r="G957" s="11">
        <f t="shared" si="14"/>
        <v>43191</v>
      </c>
      <c r="H957" t="str">
        <f>VLOOKUP(N957,Status[],2,FALSE)</f>
        <v>Part-Time</v>
      </c>
      <c r="J957" s="7">
        <v>1028</v>
      </c>
      <c r="K957">
        <v>12</v>
      </c>
      <c r="L957">
        <v>2018</v>
      </c>
      <c r="M957">
        <v>4</v>
      </c>
      <c r="N957">
        <v>0</v>
      </c>
    </row>
    <row r="958" spans="1:14" x14ac:dyDescent="0.25">
      <c r="A958" t="s">
        <v>3195</v>
      </c>
      <c r="B958" t="s">
        <v>880</v>
      </c>
      <c r="C958" t="s">
        <v>1094</v>
      </c>
      <c r="D958" t="str">
        <f>VLOOKUP(J958,Location[],2,FALSE)</f>
        <v>Lincoln</v>
      </c>
      <c r="E958" t="str">
        <f>VLOOKUP(J958,Location[],3,FALSE)</f>
        <v> Nebraska</v>
      </c>
      <c r="F958" t="str">
        <f>VLOOKUP(K958,Dept[],2,FALSE)</f>
        <v>Marketing</v>
      </c>
      <c r="G958" s="11">
        <f t="shared" si="14"/>
        <v>40725</v>
      </c>
      <c r="H958" t="str">
        <f>VLOOKUP(N958,Status[],2,FALSE)</f>
        <v>Full-Time</v>
      </c>
      <c r="J958" s="7">
        <v>1071</v>
      </c>
      <c r="K958">
        <v>19</v>
      </c>
      <c r="L958">
        <v>2011</v>
      </c>
      <c r="M958">
        <v>7</v>
      </c>
      <c r="N958">
        <v>1</v>
      </c>
    </row>
    <row r="959" spans="1:14" x14ac:dyDescent="0.25">
      <c r="A959" t="s">
        <v>3196</v>
      </c>
      <c r="B959" t="s">
        <v>852</v>
      </c>
      <c r="C959" t="s">
        <v>1471</v>
      </c>
      <c r="D959" t="str">
        <f>VLOOKUP(J959,Location[],2,FALSE)</f>
        <v>Philadelphia</v>
      </c>
      <c r="E959" t="str">
        <f>VLOOKUP(J959,Location[],3,FALSE)</f>
        <v> Pennsylvania</v>
      </c>
      <c r="F959" t="str">
        <f>VLOOKUP(K959,Dept[],2,FALSE)</f>
        <v>Administration</v>
      </c>
      <c r="G959" s="11">
        <f t="shared" si="14"/>
        <v>41671</v>
      </c>
      <c r="H959" t="str">
        <f>VLOOKUP(N959,Status[],2,FALSE)</f>
        <v>Full-Time</v>
      </c>
      <c r="J959" s="7">
        <v>1006</v>
      </c>
      <c r="K959">
        <v>12</v>
      </c>
      <c r="L959">
        <v>2014</v>
      </c>
      <c r="M959">
        <v>2</v>
      </c>
      <c r="N959">
        <v>1</v>
      </c>
    </row>
    <row r="960" spans="1:14" x14ac:dyDescent="0.25">
      <c r="A960" t="s">
        <v>3197</v>
      </c>
      <c r="B960" t="s">
        <v>639</v>
      </c>
      <c r="C960" t="s">
        <v>2050</v>
      </c>
      <c r="D960" t="str">
        <f>VLOOKUP(J960,Location[],2,FALSE)</f>
        <v>Mesa</v>
      </c>
      <c r="E960" t="str">
        <f>VLOOKUP(J960,Location[],3,FALSE)</f>
        <v> Arizona</v>
      </c>
      <c r="F960" t="str">
        <f>VLOOKUP(K960,Dept[],2,FALSE)</f>
        <v>Customer Support</v>
      </c>
      <c r="G960" s="11">
        <f t="shared" si="14"/>
        <v>42430</v>
      </c>
      <c r="H960" t="str">
        <f>VLOOKUP(N960,Status[],2,FALSE)</f>
        <v>Full-Time</v>
      </c>
      <c r="J960" s="7">
        <v>1036</v>
      </c>
      <c r="K960">
        <v>14</v>
      </c>
      <c r="L960">
        <v>2016</v>
      </c>
      <c r="M960">
        <v>3</v>
      </c>
      <c r="N960">
        <v>1</v>
      </c>
    </row>
    <row r="961" spans="1:14" x14ac:dyDescent="0.25">
      <c r="A961" t="s">
        <v>3198</v>
      </c>
      <c r="B961" t="s">
        <v>297</v>
      </c>
      <c r="C961" t="s">
        <v>766</v>
      </c>
      <c r="D961" t="str">
        <f>VLOOKUP(J961,Location[],2,FALSE)</f>
        <v>Greensboro</v>
      </c>
      <c r="E961" t="str">
        <f>VLOOKUP(J961,Location[],3,FALSE)</f>
        <v> North Carolina</v>
      </c>
      <c r="F961" t="str">
        <f>VLOOKUP(K961,Dept[],2,FALSE)</f>
        <v>Media</v>
      </c>
      <c r="G961" s="11">
        <f t="shared" si="14"/>
        <v>42095</v>
      </c>
      <c r="H961" t="str">
        <f>VLOOKUP(N961,Status[],2,FALSE)</f>
        <v>Part-Time</v>
      </c>
      <c r="J961" s="7">
        <v>1068</v>
      </c>
      <c r="K961">
        <v>20</v>
      </c>
      <c r="L961">
        <v>2015</v>
      </c>
      <c r="M961">
        <v>4</v>
      </c>
      <c r="N961">
        <v>0</v>
      </c>
    </row>
    <row r="962" spans="1:14" x14ac:dyDescent="0.25">
      <c r="A962" t="s">
        <v>3199</v>
      </c>
      <c r="B962" t="s">
        <v>108</v>
      </c>
      <c r="C962" t="s">
        <v>766</v>
      </c>
      <c r="D962" t="str">
        <f>VLOOKUP(J962,Location[],2,FALSE)</f>
        <v>Detroit</v>
      </c>
      <c r="E962" t="str">
        <f>VLOOKUP(J962,Location[],3,FALSE)</f>
        <v> Michigan</v>
      </c>
      <c r="F962" t="str">
        <f>VLOOKUP(K962,Dept[],2,FALSE)</f>
        <v>IT</v>
      </c>
      <c r="G962" s="11">
        <f t="shared" si="14"/>
        <v>41852</v>
      </c>
      <c r="H962" t="str">
        <f>VLOOKUP(N962,Status[],2,FALSE)</f>
        <v>Full-Time</v>
      </c>
      <c r="J962" s="7">
        <v>1023</v>
      </c>
      <c r="K962">
        <v>17</v>
      </c>
      <c r="L962">
        <v>2014</v>
      </c>
      <c r="M962">
        <v>8</v>
      </c>
      <c r="N962">
        <v>1</v>
      </c>
    </row>
    <row r="963" spans="1:14" x14ac:dyDescent="0.25">
      <c r="A963" t="s">
        <v>3200</v>
      </c>
      <c r="B963" t="s">
        <v>471</v>
      </c>
      <c r="C963" t="s">
        <v>766</v>
      </c>
      <c r="D963" t="str">
        <f>VLOOKUP(J963,Location[],2,FALSE)</f>
        <v>Nashville</v>
      </c>
      <c r="E963" t="str">
        <f>VLOOKUP(J963,Location[],3,FALSE)</f>
        <v> Tennessee</v>
      </c>
      <c r="F963" t="str">
        <f>VLOOKUP(K963,Dept[],2,FALSE)</f>
        <v>Administration</v>
      </c>
      <c r="G963" s="11">
        <f t="shared" si="14"/>
        <v>41395</v>
      </c>
      <c r="H963" t="str">
        <f>VLOOKUP(N963,Status[],2,FALSE)</f>
        <v>Full-Time</v>
      </c>
      <c r="J963" s="7">
        <v>1024</v>
      </c>
      <c r="K963">
        <v>12</v>
      </c>
      <c r="L963">
        <v>2013</v>
      </c>
      <c r="M963">
        <v>5</v>
      </c>
      <c r="N963">
        <v>1</v>
      </c>
    </row>
    <row r="964" spans="1:14" x14ac:dyDescent="0.25">
      <c r="A964" t="s">
        <v>3201</v>
      </c>
      <c r="B964" t="s">
        <v>1400</v>
      </c>
      <c r="C964" t="s">
        <v>1401</v>
      </c>
      <c r="D964" t="str">
        <f>VLOOKUP(J964,Location[],2,FALSE)</f>
        <v>Philadelphia</v>
      </c>
      <c r="E964" t="str">
        <f>VLOOKUP(J964,Location[],3,FALSE)</f>
        <v> Pennsylvania</v>
      </c>
      <c r="F964" t="str">
        <f>VLOOKUP(K964,Dept[],2,FALSE)</f>
        <v>Customer Support</v>
      </c>
      <c r="G964" s="11">
        <f t="shared" si="14"/>
        <v>44593</v>
      </c>
      <c r="H964" t="str">
        <f>VLOOKUP(N964,Status[],2,FALSE)</f>
        <v>Full-Time</v>
      </c>
      <c r="J964" s="7">
        <v>1006</v>
      </c>
      <c r="K964">
        <v>14</v>
      </c>
      <c r="L964">
        <v>2022</v>
      </c>
      <c r="M964">
        <v>2</v>
      </c>
      <c r="N964">
        <v>1</v>
      </c>
    </row>
    <row r="965" spans="1:14" x14ac:dyDescent="0.25">
      <c r="A965" t="s">
        <v>3202</v>
      </c>
      <c r="B965" t="s">
        <v>100</v>
      </c>
      <c r="C965" t="s">
        <v>1401</v>
      </c>
      <c r="D965" t="str">
        <f>VLOOKUP(J965,Location[],2,FALSE)</f>
        <v>Columbus</v>
      </c>
      <c r="E965" t="str">
        <f>VLOOKUP(J965,Location[],3,FALSE)</f>
        <v> Ohio</v>
      </c>
      <c r="F965" t="str">
        <f>VLOOKUP(K965,Dept[],2,FALSE)</f>
        <v>Customer Support</v>
      </c>
      <c r="G965" s="11">
        <f t="shared" ref="G965:G1028" si="15">DATE(L965,M965,1)</f>
        <v>42125</v>
      </c>
      <c r="H965" t="str">
        <f>VLOOKUP(N965,Status[],2,FALSE)</f>
        <v>Full-Time</v>
      </c>
      <c r="J965" s="7">
        <v>1014</v>
      </c>
      <c r="K965">
        <v>14</v>
      </c>
      <c r="L965">
        <v>2015</v>
      </c>
      <c r="M965">
        <v>5</v>
      </c>
      <c r="N965">
        <v>1</v>
      </c>
    </row>
    <row r="966" spans="1:14" x14ac:dyDescent="0.25">
      <c r="A966" t="s">
        <v>3203</v>
      </c>
      <c r="B966" t="s">
        <v>793</v>
      </c>
      <c r="C966" t="s">
        <v>543</v>
      </c>
      <c r="D966" t="str">
        <f>VLOOKUP(J966,Location[],2,FALSE)</f>
        <v>Seattle</v>
      </c>
      <c r="E966" t="str">
        <f>VLOOKUP(J966,Location[],3,FALSE)</f>
        <v> Washington</v>
      </c>
      <c r="F966" t="str">
        <f>VLOOKUP(K966,Dept[],2,FALSE)</f>
        <v>Administration</v>
      </c>
      <c r="G966" s="11">
        <f t="shared" si="15"/>
        <v>41456</v>
      </c>
      <c r="H966" t="str">
        <f>VLOOKUP(N966,Status[],2,FALSE)</f>
        <v>Full-Time</v>
      </c>
      <c r="J966" s="7">
        <v>1018</v>
      </c>
      <c r="K966">
        <v>12</v>
      </c>
      <c r="L966">
        <v>2013</v>
      </c>
      <c r="M966">
        <v>7</v>
      </c>
      <c r="N966">
        <v>1</v>
      </c>
    </row>
    <row r="967" spans="1:14" x14ac:dyDescent="0.25">
      <c r="A967" t="s">
        <v>3204</v>
      </c>
      <c r="B967" t="s">
        <v>108</v>
      </c>
      <c r="C967" t="s">
        <v>543</v>
      </c>
      <c r="D967" t="str">
        <f>VLOOKUP(J967,Location[],2,FALSE)</f>
        <v>Nashville</v>
      </c>
      <c r="E967" t="str">
        <f>VLOOKUP(J967,Location[],3,FALSE)</f>
        <v> Tennessee</v>
      </c>
      <c r="F967" t="str">
        <f>VLOOKUP(K967,Dept[],2,FALSE)</f>
        <v>Marketing</v>
      </c>
      <c r="G967" s="11">
        <f t="shared" si="15"/>
        <v>41334</v>
      </c>
      <c r="H967" t="str">
        <f>VLOOKUP(N967,Status[],2,FALSE)</f>
        <v>Full-Time</v>
      </c>
      <c r="J967" s="7">
        <v>1024</v>
      </c>
      <c r="K967">
        <v>19</v>
      </c>
      <c r="L967">
        <v>2013</v>
      </c>
      <c r="M967">
        <v>3</v>
      </c>
      <c r="N967">
        <v>1</v>
      </c>
    </row>
    <row r="968" spans="1:14" x14ac:dyDescent="0.25">
      <c r="A968" t="s">
        <v>3205</v>
      </c>
      <c r="B968" t="s">
        <v>1509</v>
      </c>
      <c r="C968" t="s">
        <v>1510</v>
      </c>
      <c r="D968" t="str">
        <f>VLOOKUP(J968,Location[],2,FALSE)</f>
        <v>Houston</v>
      </c>
      <c r="E968" t="str">
        <f>VLOOKUP(J968,Location[],3,FALSE)</f>
        <v> Texas</v>
      </c>
      <c r="F968" t="str">
        <f>VLOOKUP(K968,Dept[],2,FALSE)</f>
        <v>Administration</v>
      </c>
      <c r="G968" s="11">
        <f t="shared" si="15"/>
        <v>43070</v>
      </c>
      <c r="H968" t="str">
        <f>VLOOKUP(N968,Status[],2,FALSE)</f>
        <v>Full-Time</v>
      </c>
      <c r="J968" s="7">
        <v>1004</v>
      </c>
      <c r="K968">
        <v>12</v>
      </c>
      <c r="L968">
        <v>2017</v>
      </c>
      <c r="M968">
        <v>12</v>
      </c>
      <c r="N968">
        <v>1</v>
      </c>
    </row>
    <row r="969" spans="1:14" x14ac:dyDescent="0.25">
      <c r="A969" t="s">
        <v>3206</v>
      </c>
      <c r="B969" t="s">
        <v>527</v>
      </c>
      <c r="C969" t="s">
        <v>449</v>
      </c>
      <c r="D969" t="str">
        <f>VLOOKUP(J969,Location[],2,FALSE)</f>
        <v>Los Angeles</v>
      </c>
      <c r="E969" t="str">
        <f>VLOOKUP(J969,Location[],3,FALSE)</f>
        <v> California</v>
      </c>
      <c r="F969" t="str">
        <f>VLOOKUP(K969,Dept[],2,FALSE)</f>
        <v>Accounting</v>
      </c>
      <c r="G969" s="11">
        <f t="shared" si="15"/>
        <v>42522</v>
      </c>
      <c r="H969" t="str">
        <f>VLOOKUP(N969,Status[],2,FALSE)</f>
        <v>Full-Time</v>
      </c>
      <c r="J969" s="7">
        <v>1002</v>
      </c>
      <c r="K969">
        <v>11</v>
      </c>
      <c r="L969">
        <v>2016</v>
      </c>
      <c r="M969">
        <v>6</v>
      </c>
      <c r="N969">
        <v>1</v>
      </c>
    </row>
    <row r="970" spans="1:14" x14ac:dyDescent="0.25">
      <c r="A970" t="s">
        <v>3207</v>
      </c>
      <c r="B970" t="s">
        <v>448</v>
      </c>
      <c r="C970" t="s">
        <v>449</v>
      </c>
      <c r="D970" t="str">
        <f>VLOOKUP(J970,Location[],2,FALSE)</f>
        <v>Dallas</v>
      </c>
      <c r="E970" t="str">
        <f>VLOOKUP(J970,Location[],3,FALSE)</f>
        <v> Texas</v>
      </c>
      <c r="F970" t="str">
        <f>VLOOKUP(K970,Dept[],2,FALSE)</f>
        <v>Human Resources</v>
      </c>
      <c r="G970" s="11">
        <f t="shared" si="15"/>
        <v>42430</v>
      </c>
      <c r="H970" t="str">
        <f>VLOOKUP(N970,Status[],2,FALSE)</f>
        <v>Full-Time</v>
      </c>
      <c r="J970" s="7">
        <v>1009</v>
      </c>
      <c r="K970">
        <v>16</v>
      </c>
      <c r="L970">
        <v>2016</v>
      </c>
      <c r="M970">
        <v>3</v>
      </c>
      <c r="N970">
        <v>1</v>
      </c>
    </row>
    <row r="971" spans="1:14" x14ac:dyDescent="0.25">
      <c r="A971" t="s">
        <v>3208</v>
      </c>
      <c r="B971" t="s">
        <v>936</v>
      </c>
      <c r="C971" t="s">
        <v>449</v>
      </c>
      <c r="D971" t="str">
        <f>VLOOKUP(J971,Location[],2,FALSE)</f>
        <v>Jersey City</v>
      </c>
      <c r="E971" t="str">
        <f>VLOOKUP(J971,Location[],3,FALSE)</f>
        <v> New Jersey</v>
      </c>
      <c r="F971" t="str">
        <f>VLOOKUP(K971,Dept[],2,FALSE)</f>
        <v>Administration</v>
      </c>
      <c r="G971" s="11">
        <f t="shared" si="15"/>
        <v>42767</v>
      </c>
      <c r="H971" t="str">
        <f>VLOOKUP(N971,Status[],2,FALSE)</f>
        <v>Full-Time</v>
      </c>
      <c r="J971" s="7">
        <v>1075</v>
      </c>
      <c r="K971">
        <v>12</v>
      </c>
      <c r="L971">
        <v>2017</v>
      </c>
      <c r="M971">
        <v>2</v>
      </c>
      <c r="N971">
        <v>1</v>
      </c>
    </row>
    <row r="972" spans="1:14" x14ac:dyDescent="0.25">
      <c r="A972" t="s">
        <v>3209</v>
      </c>
      <c r="B972" t="s">
        <v>856</v>
      </c>
      <c r="C972" t="s">
        <v>1066</v>
      </c>
      <c r="D972" t="str">
        <f>VLOOKUP(J972,Location[],2,FALSE)</f>
        <v>Irvine</v>
      </c>
      <c r="E972" t="str">
        <f>VLOOKUP(J972,Location[],3,FALSE)</f>
        <v> California</v>
      </c>
      <c r="F972" t="str">
        <f>VLOOKUP(K972,Dept[],2,FALSE)</f>
        <v>Customer Support</v>
      </c>
      <c r="G972" s="11">
        <f t="shared" si="15"/>
        <v>43922</v>
      </c>
      <c r="H972" t="str">
        <f>VLOOKUP(N972,Status[],2,FALSE)</f>
        <v>Full-Time</v>
      </c>
      <c r="J972" s="7">
        <v>1073</v>
      </c>
      <c r="K972">
        <v>14</v>
      </c>
      <c r="L972">
        <v>2020</v>
      </c>
      <c r="M972">
        <v>4</v>
      </c>
      <c r="N972">
        <v>1</v>
      </c>
    </row>
    <row r="973" spans="1:14" x14ac:dyDescent="0.25">
      <c r="A973" t="s">
        <v>3210</v>
      </c>
      <c r="B973" t="s">
        <v>457</v>
      </c>
      <c r="C973" t="s">
        <v>1654</v>
      </c>
      <c r="D973" t="str">
        <f>VLOOKUP(J973,Location[],2,FALSE)</f>
        <v>Chicago</v>
      </c>
      <c r="E973" t="str">
        <f>VLOOKUP(J973,Location[],3,FALSE)</f>
        <v> Illinois</v>
      </c>
      <c r="F973" t="str">
        <f>VLOOKUP(K973,Dept[],2,FALSE)</f>
        <v>Marketing</v>
      </c>
      <c r="G973" s="11">
        <f t="shared" si="15"/>
        <v>44136</v>
      </c>
      <c r="H973" t="str">
        <f>VLOOKUP(N973,Status[],2,FALSE)</f>
        <v>Full-Time</v>
      </c>
      <c r="J973" s="7">
        <v>1003</v>
      </c>
      <c r="K973">
        <v>19</v>
      </c>
      <c r="L973">
        <v>2020</v>
      </c>
      <c r="M973">
        <v>11</v>
      </c>
      <c r="N973">
        <v>1</v>
      </c>
    </row>
    <row r="974" spans="1:14" x14ac:dyDescent="0.25">
      <c r="A974" t="s">
        <v>3211</v>
      </c>
      <c r="B974" t="s">
        <v>95</v>
      </c>
      <c r="C974" t="s">
        <v>597</v>
      </c>
      <c r="D974" t="str">
        <f>VLOOKUP(J974,Location[],2,FALSE)</f>
        <v>Newark</v>
      </c>
      <c r="E974" t="str">
        <f>VLOOKUP(J974,Location[],3,FALSE)</f>
        <v> New Jersey</v>
      </c>
      <c r="F974" t="str">
        <f>VLOOKUP(K974,Dept[],2,FALSE)</f>
        <v>Customer Support</v>
      </c>
      <c r="G974" s="11">
        <f t="shared" si="15"/>
        <v>41548</v>
      </c>
      <c r="H974" t="str">
        <f>VLOOKUP(N974,Status[],2,FALSE)</f>
        <v>Part-Time</v>
      </c>
      <c r="J974" s="7">
        <v>1070</v>
      </c>
      <c r="K974">
        <v>14</v>
      </c>
      <c r="L974">
        <v>2013</v>
      </c>
      <c r="M974">
        <v>10</v>
      </c>
      <c r="N974">
        <v>0</v>
      </c>
    </row>
    <row r="975" spans="1:14" x14ac:dyDescent="0.25">
      <c r="A975" t="s">
        <v>3212</v>
      </c>
      <c r="B975" t="s">
        <v>77</v>
      </c>
      <c r="C975" t="s">
        <v>505</v>
      </c>
      <c r="D975" t="str">
        <f>VLOOKUP(J975,Location[],2,FALSE)</f>
        <v>Chicago</v>
      </c>
      <c r="E975" t="str">
        <f>VLOOKUP(J975,Location[],3,FALSE)</f>
        <v> Illinois</v>
      </c>
      <c r="F975" t="str">
        <f>VLOOKUP(K975,Dept[],2,FALSE)</f>
        <v>Customer Support</v>
      </c>
      <c r="G975" s="11">
        <f t="shared" si="15"/>
        <v>40909</v>
      </c>
      <c r="H975" t="str">
        <f>VLOOKUP(N975,Status[],2,FALSE)</f>
        <v>Full-Time</v>
      </c>
      <c r="J975" s="7">
        <v>1003</v>
      </c>
      <c r="K975">
        <v>14</v>
      </c>
      <c r="L975">
        <v>2012</v>
      </c>
      <c r="M975">
        <v>1</v>
      </c>
      <c r="N975">
        <v>1</v>
      </c>
    </row>
    <row r="976" spans="1:14" x14ac:dyDescent="0.25">
      <c r="A976" t="s">
        <v>3213</v>
      </c>
      <c r="B976" t="s">
        <v>504</v>
      </c>
      <c r="C976" t="s">
        <v>505</v>
      </c>
      <c r="D976" t="str">
        <f>VLOOKUP(J976,Location[],2,FALSE)</f>
        <v>Tucson</v>
      </c>
      <c r="E976" t="str">
        <f>VLOOKUP(J976,Location[],3,FALSE)</f>
        <v> Arizona</v>
      </c>
      <c r="F976" t="str">
        <f>VLOOKUP(K976,Dept[],2,FALSE)</f>
        <v>Customer Support</v>
      </c>
      <c r="G976" s="11">
        <f t="shared" si="15"/>
        <v>45139</v>
      </c>
      <c r="H976" t="str">
        <f>VLOOKUP(N976,Status[],2,FALSE)</f>
        <v>Full-Time</v>
      </c>
      <c r="J976" s="7">
        <v>1033</v>
      </c>
      <c r="K976">
        <v>14</v>
      </c>
      <c r="L976">
        <v>2023</v>
      </c>
      <c r="M976">
        <v>8</v>
      </c>
      <c r="N976">
        <v>1</v>
      </c>
    </row>
    <row r="977" spans="1:14" x14ac:dyDescent="0.25">
      <c r="A977" t="s">
        <v>3214</v>
      </c>
      <c r="B977" t="s">
        <v>53</v>
      </c>
      <c r="C977" t="s">
        <v>1684</v>
      </c>
      <c r="D977" t="str">
        <f>VLOOKUP(J977,Location[],2,FALSE)</f>
        <v>Phoenix</v>
      </c>
      <c r="E977" t="str">
        <f>VLOOKUP(J977,Location[],3,FALSE)</f>
        <v> Arizona</v>
      </c>
      <c r="F977" t="str">
        <f>VLOOKUP(K977,Dept[],2,FALSE)</f>
        <v>Accounting</v>
      </c>
      <c r="G977" s="11">
        <f t="shared" si="15"/>
        <v>45200</v>
      </c>
      <c r="H977" t="str">
        <f>VLOOKUP(N977,Status[],2,FALSE)</f>
        <v>Part-Time</v>
      </c>
      <c r="J977" s="7">
        <v>1005</v>
      </c>
      <c r="K977">
        <v>11</v>
      </c>
      <c r="L977">
        <v>2023</v>
      </c>
      <c r="M977">
        <v>10</v>
      </c>
      <c r="N977">
        <v>0</v>
      </c>
    </row>
    <row r="978" spans="1:14" x14ac:dyDescent="0.25">
      <c r="A978" t="s">
        <v>3215</v>
      </c>
      <c r="B978" t="s">
        <v>181</v>
      </c>
      <c r="C978" t="s">
        <v>548</v>
      </c>
      <c r="D978" t="str">
        <f>VLOOKUP(J978,Location[],2,FALSE)</f>
        <v>Baltimore</v>
      </c>
      <c r="E978" t="str">
        <f>VLOOKUP(J978,Location[],3,FALSE)</f>
        <v> Maryland</v>
      </c>
      <c r="F978" t="str">
        <f>VLOOKUP(K978,Dept[],2,FALSE)</f>
        <v>IT</v>
      </c>
      <c r="G978" s="11">
        <f t="shared" si="15"/>
        <v>44835</v>
      </c>
      <c r="H978" t="str">
        <f>VLOOKUP(N978,Status[],2,FALSE)</f>
        <v>Full-Time</v>
      </c>
      <c r="J978" s="7">
        <v>1030</v>
      </c>
      <c r="K978">
        <v>17</v>
      </c>
      <c r="L978">
        <v>2022</v>
      </c>
      <c r="M978">
        <v>10</v>
      </c>
      <c r="N978">
        <v>1</v>
      </c>
    </row>
    <row r="979" spans="1:14" x14ac:dyDescent="0.25">
      <c r="A979" t="s">
        <v>3216</v>
      </c>
      <c r="B979" t="s">
        <v>120</v>
      </c>
      <c r="C979" t="s">
        <v>121</v>
      </c>
      <c r="D979" t="str">
        <f>VLOOKUP(J979,Location[],2,FALSE)</f>
        <v>Wichita</v>
      </c>
      <c r="E979" t="str">
        <f>VLOOKUP(J979,Location[],3,FALSE)</f>
        <v> Kansas</v>
      </c>
      <c r="F979" t="str">
        <f>VLOOKUP(K979,Dept[],2,FALSE)</f>
        <v>Administration</v>
      </c>
      <c r="G979" s="11">
        <f t="shared" si="15"/>
        <v>45170</v>
      </c>
      <c r="H979" t="str">
        <f>VLOOKUP(N979,Status[],2,FALSE)</f>
        <v>Full-Time</v>
      </c>
      <c r="J979" s="7">
        <v>1050</v>
      </c>
      <c r="K979">
        <v>12</v>
      </c>
      <c r="L979">
        <v>2023</v>
      </c>
      <c r="M979">
        <v>9</v>
      </c>
      <c r="N979">
        <v>1</v>
      </c>
    </row>
    <row r="980" spans="1:14" x14ac:dyDescent="0.25">
      <c r="A980" t="s">
        <v>3217</v>
      </c>
      <c r="B980" t="s">
        <v>95</v>
      </c>
      <c r="C980" t="s">
        <v>121</v>
      </c>
      <c r="D980" t="str">
        <f>VLOOKUP(J980,Location[],2,FALSE)</f>
        <v>Boston</v>
      </c>
      <c r="E980" t="str">
        <f>VLOOKUP(J980,Location[],3,FALSE)</f>
        <v> Massachusetts</v>
      </c>
      <c r="F980" t="str">
        <f>VLOOKUP(K980,Dept[],2,FALSE)</f>
        <v>IT</v>
      </c>
      <c r="G980" s="11">
        <f t="shared" si="15"/>
        <v>41579</v>
      </c>
      <c r="H980" t="str">
        <f>VLOOKUP(N980,Status[],2,FALSE)</f>
        <v>Full-Time</v>
      </c>
      <c r="J980" s="7">
        <v>1021</v>
      </c>
      <c r="K980">
        <v>17</v>
      </c>
      <c r="L980">
        <v>2013</v>
      </c>
      <c r="M980">
        <v>11</v>
      </c>
      <c r="N980">
        <v>1</v>
      </c>
    </row>
    <row r="981" spans="1:14" x14ac:dyDescent="0.25">
      <c r="A981" t="s">
        <v>3218</v>
      </c>
      <c r="B981" t="s">
        <v>471</v>
      </c>
      <c r="C981" t="s">
        <v>121</v>
      </c>
      <c r="D981" t="str">
        <f>VLOOKUP(J981,Location[],2,FALSE)</f>
        <v>Lubbock</v>
      </c>
      <c r="E981" t="str">
        <f>VLOOKUP(J981,Location[],3,FALSE)</f>
        <v> Texas</v>
      </c>
      <c r="F981" t="str">
        <f>VLOOKUP(K981,Dept[],2,FALSE)</f>
        <v>Marketing</v>
      </c>
      <c r="G981" s="11">
        <f t="shared" si="15"/>
        <v>44166</v>
      </c>
      <c r="H981" t="str">
        <f>VLOOKUP(N981,Status[],2,FALSE)</f>
        <v>Full-Time</v>
      </c>
      <c r="J981" s="7">
        <v>1083</v>
      </c>
      <c r="K981">
        <v>19</v>
      </c>
      <c r="L981">
        <v>2020</v>
      </c>
      <c r="M981">
        <v>12</v>
      </c>
      <c r="N981">
        <v>1</v>
      </c>
    </row>
    <row r="982" spans="1:14" x14ac:dyDescent="0.25">
      <c r="A982" t="s">
        <v>3219</v>
      </c>
      <c r="B982" t="s">
        <v>630</v>
      </c>
      <c r="C982" t="s">
        <v>631</v>
      </c>
      <c r="D982" t="str">
        <f>VLOOKUP(J982,Location[],2,FALSE)</f>
        <v>Milwaukee</v>
      </c>
      <c r="E982" t="str">
        <f>VLOOKUP(J982,Location[],3,FALSE)</f>
        <v> Wisconsin</v>
      </c>
      <c r="F982" t="str">
        <f>VLOOKUP(K982,Dept[],2,FALSE)</f>
        <v>Accounting</v>
      </c>
      <c r="G982" s="11">
        <f t="shared" si="15"/>
        <v>43221</v>
      </c>
      <c r="H982" t="str">
        <f>VLOOKUP(N982,Status[],2,FALSE)</f>
        <v>Full-Time</v>
      </c>
      <c r="J982" s="7">
        <v>1031</v>
      </c>
      <c r="K982">
        <v>11</v>
      </c>
      <c r="L982">
        <v>2018</v>
      </c>
      <c r="M982">
        <v>5</v>
      </c>
      <c r="N982">
        <v>1</v>
      </c>
    </row>
    <row r="983" spans="1:14" x14ac:dyDescent="0.25">
      <c r="A983" t="s">
        <v>3220</v>
      </c>
      <c r="B983" t="s">
        <v>253</v>
      </c>
      <c r="C983" t="s">
        <v>631</v>
      </c>
      <c r="D983" t="str">
        <f>VLOOKUP(J983,Location[],2,FALSE)</f>
        <v>San Diego</v>
      </c>
      <c r="E983" t="str">
        <f>VLOOKUP(J983,Location[],3,FALSE)</f>
        <v> California</v>
      </c>
      <c r="F983" t="str">
        <f>VLOOKUP(K983,Dept[],2,FALSE)</f>
        <v>Assessment</v>
      </c>
      <c r="G983" s="11">
        <f t="shared" si="15"/>
        <v>44501</v>
      </c>
      <c r="H983" t="str">
        <f>VLOOKUP(N983,Status[],2,FALSE)</f>
        <v>Full-Time</v>
      </c>
      <c r="J983" s="7">
        <v>1008</v>
      </c>
      <c r="K983">
        <v>13</v>
      </c>
      <c r="L983">
        <v>2021</v>
      </c>
      <c r="M983">
        <v>11</v>
      </c>
      <c r="N983">
        <v>1</v>
      </c>
    </row>
    <row r="984" spans="1:14" x14ac:dyDescent="0.25">
      <c r="A984" t="s">
        <v>3221</v>
      </c>
      <c r="B984" t="s">
        <v>571</v>
      </c>
      <c r="C984" t="s">
        <v>572</v>
      </c>
      <c r="D984" t="str">
        <f>VLOOKUP(J984,Location[],2,FALSE)</f>
        <v>Jacksonville</v>
      </c>
      <c r="E984" t="str">
        <f>VLOOKUP(J984,Location[],3,FALSE)</f>
        <v> Florida</v>
      </c>
      <c r="F984" t="str">
        <f>VLOOKUP(K984,Dept[],2,FALSE)</f>
        <v>Media</v>
      </c>
      <c r="G984" s="11">
        <f t="shared" si="15"/>
        <v>43221</v>
      </c>
      <c r="H984" t="str">
        <f>VLOOKUP(N984,Status[],2,FALSE)</f>
        <v>Full-Time</v>
      </c>
      <c r="J984" s="7">
        <v>1012</v>
      </c>
      <c r="K984">
        <v>20</v>
      </c>
      <c r="L984">
        <v>2018</v>
      </c>
      <c r="M984">
        <v>5</v>
      </c>
      <c r="N984">
        <v>1</v>
      </c>
    </row>
    <row r="985" spans="1:14" x14ac:dyDescent="0.25">
      <c r="A985" t="s">
        <v>3222</v>
      </c>
      <c r="B985" t="s">
        <v>480</v>
      </c>
      <c r="C985" t="s">
        <v>1185</v>
      </c>
      <c r="D985" t="str">
        <f>VLOOKUP(J985,Location[],2,FALSE)</f>
        <v>New York City</v>
      </c>
      <c r="E985" t="str">
        <f>VLOOKUP(J985,Location[],3,FALSE)</f>
        <v> New York</v>
      </c>
      <c r="F985" t="str">
        <f>VLOOKUP(K985,Dept[],2,FALSE)</f>
        <v>Customer Support</v>
      </c>
      <c r="G985" s="11">
        <f t="shared" si="15"/>
        <v>45170</v>
      </c>
      <c r="H985" t="str">
        <f>VLOOKUP(N985,Status[],2,FALSE)</f>
        <v>Full-Time</v>
      </c>
      <c r="J985" s="7">
        <v>1001</v>
      </c>
      <c r="K985">
        <v>14</v>
      </c>
      <c r="L985">
        <v>2023</v>
      </c>
      <c r="M985">
        <v>9</v>
      </c>
      <c r="N985">
        <v>1</v>
      </c>
    </row>
    <row r="986" spans="1:14" x14ac:dyDescent="0.25">
      <c r="A986" t="s">
        <v>3223</v>
      </c>
      <c r="B986" t="s">
        <v>924</v>
      </c>
      <c r="C986" t="s">
        <v>925</v>
      </c>
      <c r="D986" t="str">
        <f>VLOOKUP(J986,Location[],2,FALSE)</f>
        <v>Houston</v>
      </c>
      <c r="E986" t="str">
        <f>VLOOKUP(J986,Location[],3,FALSE)</f>
        <v> Texas</v>
      </c>
      <c r="F986" t="str">
        <f>VLOOKUP(K986,Dept[],2,FALSE)</f>
        <v>Customer Support</v>
      </c>
      <c r="G986" s="11">
        <f t="shared" si="15"/>
        <v>40575</v>
      </c>
      <c r="H986" t="str">
        <f>VLOOKUP(N986,Status[],2,FALSE)</f>
        <v>Full-Time</v>
      </c>
      <c r="J986" s="7">
        <v>1004</v>
      </c>
      <c r="K986">
        <v>14</v>
      </c>
      <c r="L986">
        <v>2011</v>
      </c>
      <c r="M986">
        <v>2</v>
      </c>
      <c r="N986">
        <v>1</v>
      </c>
    </row>
    <row r="987" spans="1:14" x14ac:dyDescent="0.25">
      <c r="A987" t="s">
        <v>3224</v>
      </c>
      <c r="B987" t="s">
        <v>379</v>
      </c>
      <c r="C987" t="s">
        <v>912</v>
      </c>
      <c r="D987" t="str">
        <f>VLOOKUP(J987,Location[],2,FALSE)</f>
        <v>Chicago</v>
      </c>
      <c r="E987" t="str">
        <f>VLOOKUP(J987,Location[],3,FALSE)</f>
        <v> Illinois</v>
      </c>
      <c r="F987" t="str">
        <f>VLOOKUP(K987,Dept[],2,FALSE)</f>
        <v>Administration</v>
      </c>
      <c r="G987" s="11">
        <f t="shared" si="15"/>
        <v>42125</v>
      </c>
      <c r="H987" t="str">
        <f>VLOOKUP(N987,Status[],2,FALSE)</f>
        <v>Full-Time</v>
      </c>
      <c r="J987" s="7">
        <v>1003</v>
      </c>
      <c r="K987">
        <v>12</v>
      </c>
      <c r="L987">
        <v>2015</v>
      </c>
      <c r="M987">
        <v>5</v>
      </c>
      <c r="N987">
        <v>1</v>
      </c>
    </row>
    <row r="988" spans="1:14" x14ac:dyDescent="0.25">
      <c r="A988" t="s">
        <v>3225</v>
      </c>
      <c r="B988" t="s">
        <v>108</v>
      </c>
      <c r="C988" t="s">
        <v>442</v>
      </c>
      <c r="D988" t="str">
        <f>VLOOKUP(J988,Location[],2,FALSE)</f>
        <v>Los Angeles</v>
      </c>
      <c r="E988" t="str">
        <f>VLOOKUP(J988,Location[],3,FALSE)</f>
        <v> California</v>
      </c>
      <c r="F988" t="str">
        <f>VLOOKUP(K988,Dept[],2,FALSE)</f>
        <v>Sales</v>
      </c>
      <c r="G988" s="11">
        <f t="shared" si="15"/>
        <v>40787</v>
      </c>
      <c r="H988" t="str">
        <f>VLOOKUP(N988,Status[],2,FALSE)</f>
        <v>Full-Time</v>
      </c>
      <c r="J988" s="7">
        <v>1002</v>
      </c>
      <c r="K988">
        <v>22</v>
      </c>
      <c r="L988">
        <v>2011</v>
      </c>
      <c r="M988">
        <v>9</v>
      </c>
      <c r="N988">
        <v>1</v>
      </c>
    </row>
    <row r="989" spans="1:14" x14ac:dyDescent="0.25">
      <c r="A989" t="s">
        <v>3226</v>
      </c>
      <c r="B989" t="s">
        <v>253</v>
      </c>
      <c r="C989" t="s">
        <v>422</v>
      </c>
      <c r="D989" t="str">
        <f>VLOOKUP(J989,Location[],2,FALSE)</f>
        <v>Los Angeles</v>
      </c>
      <c r="E989" t="str">
        <f>VLOOKUP(J989,Location[],3,FALSE)</f>
        <v> California</v>
      </c>
      <c r="F989" t="str">
        <f>VLOOKUP(K989,Dept[],2,FALSE)</f>
        <v>Customer Support</v>
      </c>
      <c r="G989" s="11">
        <f t="shared" si="15"/>
        <v>45108</v>
      </c>
      <c r="H989" t="str">
        <f>VLOOKUP(N989,Status[],2,FALSE)</f>
        <v>Part-Time</v>
      </c>
      <c r="J989" s="7">
        <v>1002</v>
      </c>
      <c r="K989">
        <v>14</v>
      </c>
      <c r="L989">
        <v>2023</v>
      </c>
      <c r="M989">
        <v>7</v>
      </c>
      <c r="N989">
        <v>0</v>
      </c>
    </row>
    <row r="990" spans="1:14" x14ac:dyDescent="0.25">
      <c r="A990" t="s">
        <v>3227</v>
      </c>
      <c r="B990" t="s">
        <v>246</v>
      </c>
      <c r="C990" t="s">
        <v>247</v>
      </c>
      <c r="D990" t="str">
        <f>VLOOKUP(J990,Location[],2,FALSE)</f>
        <v>San Francisco</v>
      </c>
      <c r="E990" t="str">
        <f>VLOOKUP(J990,Location[],3,FALSE)</f>
        <v> California</v>
      </c>
      <c r="F990" t="str">
        <f>VLOOKUP(K990,Dept[],2,FALSE)</f>
        <v>Customer Support</v>
      </c>
      <c r="G990" s="11">
        <f t="shared" si="15"/>
        <v>42370</v>
      </c>
      <c r="H990" t="str">
        <f>VLOOKUP(N990,Status[],2,FALSE)</f>
        <v>Full-Time</v>
      </c>
      <c r="J990" s="7">
        <v>1013</v>
      </c>
      <c r="K990">
        <v>14</v>
      </c>
      <c r="L990">
        <v>2016</v>
      </c>
      <c r="M990">
        <v>1</v>
      </c>
      <c r="N990">
        <v>1</v>
      </c>
    </row>
    <row r="991" spans="1:14" x14ac:dyDescent="0.25">
      <c r="A991" t="s">
        <v>3228</v>
      </c>
      <c r="B991" t="s">
        <v>148</v>
      </c>
      <c r="C991" t="s">
        <v>967</v>
      </c>
      <c r="D991" t="str">
        <f>VLOOKUP(J991,Location[],2,FALSE)</f>
        <v>Durham</v>
      </c>
      <c r="E991" t="str">
        <f>VLOOKUP(J991,Location[],3,FALSE)</f>
        <v> North Carolina</v>
      </c>
      <c r="F991" t="str">
        <f>VLOOKUP(K991,Dept[],2,FALSE)</f>
        <v>Human Resources</v>
      </c>
      <c r="G991" s="11">
        <f t="shared" si="15"/>
        <v>43709</v>
      </c>
      <c r="H991" t="str">
        <f>VLOOKUP(N991,Status[],2,FALSE)</f>
        <v>Full-Time</v>
      </c>
      <c r="J991" s="7">
        <v>1077</v>
      </c>
      <c r="K991">
        <v>16</v>
      </c>
      <c r="L991">
        <v>2019</v>
      </c>
      <c r="M991">
        <v>9</v>
      </c>
      <c r="N991">
        <v>1</v>
      </c>
    </row>
    <row r="992" spans="1:14" x14ac:dyDescent="0.25">
      <c r="A992" t="s">
        <v>3229</v>
      </c>
      <c r="B992" t="s">
        <v>159</v>
      </c>
      <c r="C992" t="s">
        <v>226</v>
      </c>
      <c r="D992" t="str">
        <f>VLOOKUP(J992,Location[],2,FALSE)</f>
        <v>Glendale</v>
      </c>
      <c r="E992" t="str">
        <f>VLOOKUP(J992,Location[],3,FALSE)</f>
        <v> Arizona</v>
      </c>
      <c r="F992" t="str">
        <f>VLOOKUP(K992,Dept[],2,FALSE)</f>
        <v>Customer Support</v>
      </c>
      <c r="G992" s="11">
        <f t="shared" si="15"/>
        <v>42887</v>
      </c>
      <c r="H992" t="str">
        <f>VLOOKUP(N992,Status[],2,FALSE)</f>
        <v>Full-Time</v>
      </c>
      <c r="J992" s="7">
        <v>1087</v>
      </c>
      <c r="K992">
        <v>14</v>
      </c>
      <c r="L992">
        <v>2017</v>
      </c>
      <c r="M992">
        <v>6</v>
      </c>
      <c r="N992">
        <v>1</v>
      </c>
    </row>
    <row r="993" spans="1:14" x14ac:dyDescent="0.25">
      <c r="A993" t="s">
        <v>3230</v>
      </c>
      <c r="B993" t="s">
        <v>89</v>
      </c>
      <c r="C993" t="s">
        <v>226</v>
      </c>
      <c r="D993" t="str">
        <f>VLOOKUP(J993,Location[],2,FALSE)</f>
        <v>Dallas</v>
      </c>
      <c r="E993" t="str">
        <f>VLOOKUP(J993,Location[],3,FALSE)</f>
        <v> Texas</v>
      </c>
      <c r="F993" t="str">
        <f>VLOOKUP(K993,Dept[],2,FALSE)</f>
        <v>Customer Support</v>
      </c>
      <c r="G993" s="11">
        <f t="shared" si="15"/>
        <v>41275</v>
      </c>
      <c r="H993" t="str">
        <f>VLOOKUP(N993,Status[],2,FALSE)</f>
        <v>Full-Time</v>
      </c>
      <c r="J993" s="7">
        <v>1009</v>
      </c>
      <c r="K993">
        <v>14</v>
      </c>
      <c r="L993">
        <v>2013</v>
      </c>
      <c r="M993">
        <v>1</v>
      </c>
      <c r="N993">
        <v>1</v>
      </c>
    </row>
    <row r="994" spans="1:14" x14ac:dyDescent="0.25">
      <c r="A994" t="s">
        <v>3231</v>
      </c>
      <c r="B994" t="s">
        <v>1156</v>
      </c>
      <c r="C994" t="s">
        <v>1796</v>
      </c>
      <c r="D994" t="str">
        <f>VLOOKUP(J994,Location[],2,FALSE)</f>
        <v>Indianapolis</v>
      </c>
      <c r="E994" t="str">
        <f>VLOOKUP(J994,Location[],3,FALSE)</f>
        <v> Indiana</v>
      </c>
      <c r="F994" t="str">
        <f>VLOOKUP(K994,Dept[],2,FALSE)</f>
        <v>Administration</v>
      </c>
      <c r="G994" s="11">
        <f t="shared" si="15"/>
        <v>42339</v>
      </c>
      <c r="H994" t="str">
        <f>VLOOKUP(N994,Status[],2,FALSE)</f>
        <v>Part-Time</v>
      </c>
      <c r="J994" s="7">
        <v>1016</v>
      </c>
      <c r="K994">
        <v>12</v>
      </c>
      <c r="L994">
        <v>2015</v>
      </c>
      <c r="M994">
        <v>12</v>
      </c>
      <c r="N994">
        <v>0</v>
      </c>
    </row>
    <row r="995" spans="1:14" x14ac:dyDescent="0.25">
      <c r="A995" t="s">
        <v>2305</v>
      </c>
      <c r="B995" t="s">
        <v>1621</v>
      </c>
      <c r="C995" t="s">
        <v>1622</v>
      </c>
      <c r="D995" t="str">
        <f>VLOOKUP(J995,Location[],2,FALSE)</f>
        <v>Newark</v>
      </c>
      <c r="E995" t="str">
        <f>VLOOKUP(J995,Location[],3,FALSE)</f>
        <v> New Jersey</v>
      </c>
      <c r="F995" t="str">
        <f>VLOOKUP(K995,Dept[],2,FALSE)</f>
        <v>Customer Support</v>
      </c>
      <c r="G995" s="11">
        <f t="shared" si="15"/>
        <v>41791</v>
      </c>
      <c r="H995" t="str">
        <f>VLOOKUP(N995,Status[],2,FALSE)</f>
        <v>Full-Time</v>
      </c>
      <c r="J995" s="7">
        <v>1070</v>
      </c>
      <c r="K995">
        <v>14</v>
      </c>
      <c r="L995">
        <v>2014</v>
      </c>
      <c r="M995">
        <v>6</v>
      </c>
      <c r="N995">
        <v>1</v>
      </c>
    </row>
    <row r="996" spans="1:14" x14ac:dyDescent="0.25">
      <c r="A996" t="s">
        <v>3232</v>
      </c>
      <c r="B996" t="s">
        <v>261</v>
      </c>
      <c r="C996" t="s">
        <v>1702</v>
      </c>
      <c r="D996" t="str">
        <f>VLOOKUP(J996,Location[],2,FALSE)</f>
        <v>Austin</v>
      </c>
      <c r="E996" t="str">
        <f>VLOOKUP(J996,Location[],3,FALSE)</f>
        <v> Texas</v>
      </c>
      <c r="F996" t="str">
        <f>VLOOKUP(K996,Dept[],2,FALSE)</f>
        <v>Assessment</v>
      </c>
      <c r="G996" s="11">
        <f t="shared" si="15"/>
        <v>42005</v>
      </c>
      <c r="H996" t="str">
        <f>VLOOKUP(N996,Status[],2,FALSE)</f>
        <v>Full-Time</v>
      </c>
      <c r="J996" s="7">
        <v>1011</v>
      </c>
      <c r="K996">
        <v>13</v>
      </c>
      <c r="L996">
        <v>2015</v>
      </c>
      <c r="M996">
        <v>1</v>
      </c>
      <c r="N996">
        <v>1</v>
      </c>
    </row>
    <row r="997" spans="1:14" x14ac:dyDescent="0.25">
      <c r="A997" t="s">
        <v>3233</v>
      </c>
      <c r="B997" t="s">
        <v>211</v>
      </c>
      <c r="C997" t="s">
        <v>2028</v>
      </c>
      <c r="D997" t="str">
        <f>VLOOKUP(J997,Location[],2,FALSE)</f>
        <v>Santa Ana</v>
      </c>
      <c r="E997" t="str">
        <f>VLOOKUP(J997,Location[],3,FALSE)</f>
        <v> California</v>
      </c>
      <c r="F997" t="str">
        <f>VLOOKUP(K997,Dept[],2,FALSE)</f>
        <v>Administration</v>
      </c>
      <c r="G997" s="11">
        <f t="shared" si="15"/>
        <v>42461</v>
      </c>
      <c r="H997" t="str">
        <f>VLOOKUP(N997,Status[],2,FALSE)</f>
        <v>Part-Time</v>
      </c>
      <c r="J997" s="7">
        <v>1057</v>
      </c>
      <c r="K997">
        <v>12</v>
      </c>
      <c r="L997">
        <v>2016</v>
      </c>
      <c r="M997">
        <v>4</v>
      </c>
      <c r="N997">
        <v>0</v>
      </c>
    </row>
    <row r="998" spans="1:14" x14ac:dyDescent="0.25">
      <c r="A998" t="s">
        <v>3234</v>
      </c>
      <c r="B998" t="s">
        <v>1061</v>
      </c>
      <c r="C998" t="s">
        <v>1062</v>
      </c>
      <c r="D998" t="str">
        <f>VLOOKUP(J998,Location[],2,FALSE)</f>
        <v>Kansas City</v>
      </c>
      <c r="E998" t="str">
        <f>VLOOKUP(J998,Location[],3,FALSE)</f>
        <v> Missouri</v>
      </c>
      <c r="F998" t="str">
        <f>VLOOKUP(K998,Dept[],2,FALSE)</f>
        <v>Finance</v>
      </c>
      <c r="G998" s="11">
        <f t="shared" si="15"/>
        <v>44531</v>
      </c>
      <c r="H998" t="str">
        <f>VLOOKUP(N998,Status[],2,FALSE)</f>
        <v>Full-Time</v>
      </c>
      <c r="J998" s="7">
        <v>1037</v>
      </c>
      <c r="K998">
        <v>15</v>
      </c>
      <c r="L998">
        <v>2021</v>
      </c>
      <c r="M998">
        <v>12</v>
      </c>
      <c r="N998">
        <v>1</v>
      </c>
    </row>
    <row r="999" spans="1:14" x14ac:dyDescent="0.25">
      <c r="A999" t="s">
        <v>2327</v>
      </c>
      <c r="B999" t="s">
        <v>1047</v>
      </c>
      <c r="C999" t="s">
        <v>1048</v>
      </c>
      <c r="D999" t="str">
        <f>VLOOKUP(J999,Location[],2,FALSE)</f>
        <v>Chicago</v>
      </c>
      <c r="E999" t="str">
        <f>VLOOKUP(J999,Location[],3,FALSE)</f>
        <v> Illinois</v>
      </c>
      <c r="F999" t="str">
        <f>VLOOKUP(K999,Dept[],2,FALSE)</f>
        <v>Administration</v>
      </c>
      <c r="G999" s="11">
        <f t="shared" si="15"/>
        <v>40603</v>
      </c>
      <c r="H999" t="str">
        <f>VLOOKUP(N999,Status[],2,FALSE)</f>
        <v>Part-Time</v>
      </c>
      <c r="J999" s="7">
        <v>1003</v>
      </c>
      <c r="K999">
        <v>12</v>
      </c>
      <c r="L999">
        <v>2011</v>
      </c>
      <c r="M999">
        <v>3</v>
      </c>
      <c r="N999">
        <v>0</v>
      </c>
    </row>
    <row r="1000" spans="1:14" x14ac:dyDescent="0.25">
      <c r="A1000" t="s">
        <v>3235</v>
      </c>
      <c r="B1000" t="s">
        <v>993</v>
      </c>
      <c r="C1000" t="s">
        <v>1453</v>
      </c>
      <c r="D1000" t="str">
        <f>VLOOKUP(J1000,Location[],2,FALSE)</f>
        <v>Sacramento</v>
      </c>
      <c r="E1000" t="str">
        <f>VLOOKUP(J1000,Location[],3,FALSE)</f>
        <v> California</v>
      </c>
      <c r="F1000" t="str">
        <f>VLOOKUP(K1000,Dept[],2,FALSE)</f>
        <v>Accounting</v>
      </c>
      <c r="G1000" s="11">
        <f t="shared" si="15"/>
        <v>42430</v>
      </c>
      <c r="H1000" t="str">
        <f>VLOOKUP(N1000,Status[],2,FALSE)</f>
        <v>Part-Time</v>
      </c>
      <c r="J1000" s="7">
        <v>1035</v>
      </c>
      <c r="K1000">
        <v>11</v>
      </c>
      <c r="L1000">
        <v>2016</v>
      </c>
      <c r="M1000">
        <v>3</v>
      </c>
      <c r="N1000">
        <v>0</v>
      </c>
    </row>
    <row r="1001" spans="1:14" x14ac:dyDescent="0.25">
      <c r="A1001" t="s">
        <v>3236</v>
      </c>
      <c r="B1001" t="s">
        <v>490</v>
      </c>
      <c r="C1001" t="s">
        <v>1605</v>
      </c>
      <c r="D1001" t="str">
        <f>VLOOKUP(J1001,Location[],2,FALSE)</f>
        <v>Atlanta</v>
      </c>
      <c r="E1001" t="str">
        <f>VLOOKUP(J1001,Location[],3,FALSE)</f>
        <v> Georgia</v>
      </c>
      <c r="F1001" t="str">
        <f>VLOOKUP(K1001,Dept[],2,FALSE)</f>
        <v>Customer Support</v>
      </c>
      <c r="G1001" s="11">
        <f t="shared" si="15"/>
        <v>44774</v>
      </c>
      <c r="H1001" t="str">
        <f>VLOOKUP(N1001,Status[],2,FALSE)</f>
        <v>Full-Time</v>
      </c>
      <c r="J1001" s="7">
        <v>1038</v>
      </c>
      <c r="K1001">
        <v>14</v>
      </c>
      <c r="L1001">
        <v>2022</v>
      </c>
      <c r="M1001">
        <v>8</v>
      </c>
      <c r="N1001">
        <v>1</v>
      </c>
    </row>
    <row r="1002" spans="1:14" x14ac:dyDescent="0.25">
      <c r="A1002" t="s">
        <v>3237</v>
      </c>
      <c r="B1002" t="s">
        <v>292</v>
      </c>
      <c r="C1002" t="s">
        <v>1488</v>
      </c>
      <c r="D1002" t="str">
        <f>VLOOKUP(J1002,Location[],2,FALSE)</f>
        <v>Aurora</v>
      </c>
      <c r="E1002" t="str">
        <f>VLOOKUP(J1002,Location[],3,FALSE)</f>
        <v> Colorado</v>
      </c>
      <c r="F1002" t="str">
        <f>VLOOKUP(K1002,Dept[],2,FALSE)</f>
        <v>Administration</v>
      </c>
      <c r="G1002" s="11">
        <f t="shared" si="15"/>
        <v>44409</v>
      </c>
      <c r="H1002" t="str">
        <f>VLOOKUP(N1002,Status[],2,FALSE)</f>
        <v>Full-Time</v>
      </c>
      <c r="J1002" s="7">
        <v>1054</v>
      </c>
      <c r="K1002">
        <v>12</v>
      </c>
      <c r="L1002">
        <v>2021</v>
      </c>
      <c r="M1002">
        <v>8</v>
      </c>
      <c r="N1002">
        <v>1</v>
      </c>
    </row>
    <row r="1003" spans="1:14" x14ac:dyDescent="0.25">
      <c r="A1003" t="s">
        <v>3238</v>
      </c>
      <c r="B1003" t="s">
        <v>47</v>
      </c>
      <c r="C1003" t="s">
        <v>1514</v>
      </c>
      <c r="D1003" t="str">
        <f>VLOOKUP(J1003,Location[],2,FALSE)</f>
        <v>Milwaukee</v>
      </c>
      <c r="E1003" t="str">
        <f>VLOOKUP(J1003,Location[],3,FALSE)</f>
        <v> Wisconsin</v>
      </c>
      <c r="F1003" t="str">
        <f>VLOOKUP(K1003,Dept[],2,FALSE)</f>
        <v>Administration</v>
      </c>
      <c r="G1003" s="11">
        <f t="shared" si="15"/>
        <v>42552</v>
      </c>
      <c r="H1003" t="str">
        <f>VLOOKUP(N1003,Status[],2,FALSE)</f>
        <v>Full-Time</v>
      </c>
      <c r="J1003" s="7">
        <v>1031</v>
      </c>
      <c r="K1003">
        <v>12</v>
      </c>
      <c r="L1003">
        <v>2016</v>
      </c>
      <c r="M1003">
        <v>7</v>
      </c>
      <c r="N1003">
        <v>1</v>
      </c>
    </row>
    <row r="1004" spans="1:14" x14ac:dyDescent="0.25">
      <c r="A1004" t="s">
        <v>3239</v>
      </c>
      <c r="B1004" t="s">
        <v>116</v>
      </c>
      <c r="C1004" t="s">
        <v>197</v>
      </c>
      <c r="D1004" t="str">
        <f>VLOOKUP(J1004,Location[],2,FALSE)</f>
        <v>New York City</v>
      </c>
      <c r="E1004" t="str">
        <f>VLOOKUP(J1004,Location[],3,FALSE)</f>
        <v> New York</v>
      </c>
      <c r="F1004" t="str">
        <f>VLOOKUP(K1004,Dept[],2,FALSE)</f>
        <v>Legal</v>
      </c>
      <c r="G1004" s="11">
        <f t="shared" si="15"/>
        <v>41913</v>
      </c>
      <c r="H1004" t="str">
        <f>VLOOKUP(N1004,Status[],2,FALSE)</f>
        <v>Full-Time</v>
      </c>
      <c r="J1004" s="7">
        <v>1001</v>
      </c>
      <c r="K1004">
        <v>18</v>
      </c>
      <c r="L1004">
        <v>2014</v>
      </c>
      <c r="M1004">
        <v>10</v>
      </c>
      <c r="N1004">
        <v>1</v>
      </c>
    </row>
    <row r="1005" spans="1:14" x14ac:dyDescent="0.25">
      <c r="A1005" t="s">
        <v>3240</v>
      </c>
      <c r="B1005" t="s">
        <v>339</v>
      </c>
      <c r="C1005" t="s">
        <v>2023</v>
      </c>
      <c r="D1005" t="str">
        <f>VLOOKUP(J1005,Location[],2,FALSE)</f>
        <v>Tulsa</v>
      </c>
      <c r="E1005" t="str">
        <f>VLOOKUP(J1005,Location[],3,FALSE)</f>
        <v> Oklahoma</v>
      </c>
      <c r="F1005" t="str">
        <f>VLOOKUP(K1005,Dept[],2,FALSE)</f>
        <v>Administration</v>
      </c>
      <c r="G1005" s="11">
        <f t="shared" si="15"/>
        <v>44136</v>
      </c>
      <c r="H1005" t="str">
        <f>VLOOKUP(N1005,Status[],2,FALSE)</f>
        <v>Full-Time</v>
      </c>
      <c r="J1005" s="7">
        <v>1047</v>
      </c>
      <c r="K1005">
        <v>12</v>
      </c>
      <c r="L1005">
        <v>2020</v>
      </c>
      <c r="M1005">
        <v>11</v>
      </c>
      <c r="N1005">
        <v>1</v>
      </c>
    </row>
    <row r="1006" spans="1:14" x14ac:dyDescent="0.25">
      <c r="A1006" t="s">
        <v>3241</v>
      </c>
      <c r="B1006" t="s">
        <v>71</v>
      </c>
      <c r="C1006" t="s">
        <v>241</v>
      </c>
      <c r="D1006" t="str">
        <f>VLOOKUP(J1006,Location[],2,FALSE)</f>
        <v>Plano</v>
      </c>
      <c r="E1006" t="str">
        <f>VLOOKUP(J1006,Location[],3,FALSE)</f>
        <v> Texas</v>
      </c>
      <c r="F1006" t="str">
        <f>VLOOKUP(K1006,Dept[],2,FALSE)</f>
        <v>Finance</v>
      </c>
      <c r="G1006" s="11">
        <f t="shared" si="15"/>
        <v>40544</v>
      </c>
      <c r="H1006" t="str">
        <f>VLOOKUP(N1006,Status[],2,FALSE)</f>
        <v>Full-Time</v>
      </c>
      <c r="J1006" s="7">
        <v>1069</v>
      </c>
      <c r="K1006">
        <v>15</v>
      </c>
      <c r="L1006">
        <v>2011</v>
      </c>
      <c r="M1006">
        <v>1</v>
      </c>
      <c r="N1006">
        <v>1</v>
      </c>
    </row>
    <row r="1007" spans="1:14" x14ac:dyDescent="0.25">
      <c r="A1007" t="s">
        <v>3242</v>
      </c>
      <c r="B1007" t="s">
        <v>1697</v>
      </c>
      <c r="C1007" t="s">
        <v>1698</v>
      </c>
      <c r="D1007" t="str">
        <f>VLOOKUP(J1007,Location[],2,FALSE)</f>
        <v>San Antonio</v>
      </c>
      <c r="E1007" t="str">
        <f>VLOOKUP(J1007,Location[],3,FALSE)</f>
        <v> Texas</v>
      </c>
      <c r="F1007" t="str">
        <f>VLOOKUP(K1007,Dept[],2,FALSE)</f>
        <v>Marketing</v>
      </c>
      <c r="G1007" s="11">
        <f t="shared" si="15"/>
        <v>42186</v>
      </c>
      <c r="H1007" t="str">
        <f>VLOOKUP(N1007,Status[],2,FALSE)</f>
        <v>Full-Time</v>
      </c>
      <c r="J1007" s="7">
        <v>1007</v>
      </c>
      <c r="K1007">
        <v>19</v>
      </c>
      <c r="L1007">
        <v>2015</v>
      </c>
      <c r="M1007">
        <v>7</v>
      </c>
      <c r="N1007">
        <v>1</v>
      </c>
    </row>
    <row r="1008" spans="1:14" x14ac:dyDescent="0.25">
      <c r="A1008" t="s">
        <v>3243</v>
      </c>
      <c r="B1008" t="s">
        <v>639</v>
      </c>
      <c r="C1008" t="s">
        <v>1671</v>
      </c>
      <c r="D1008" t="str">
        <f>VLOOKUP(J1008,Location[],2,FALSE)</f>
        <v>Seattle</v>
      </c>
      <c r="E1008" t="str">
        <f>VLOOKUP(J1008,Location[],3,FALSE)</f>
        <v> Washington</v>
      </c>
      <c r="F1008" t="str">
        <f>VLOOKUP(K1008,Dept[],2,FALSE)</f>
        <v>Legal</v>
      </c>
      <c r="G1008" s="11">
        <f t="shared" si="15"/>
        <v>40817</v>
      </c>
      <c r="H1008" t="str">
        <f>VLOOKUP(N1008,Status[],2,FALSE)</f>
        <v>Full-Time</v>
      </c>
      <c r="J1008" s="7">
        <v>1018</v>
      </c>
      <c r="K1008">
        <v>18</v>
      </c>
      <c r="L1008">
        <v>2011</v>
      </c>
      <c r="M1008">
        <v>10</v>
      </c>
      <c r="N1008">
        <v>1</v>
      </c>
    </row>
    <row r="1009" spans="1:14" x14ac:dyDescent="0.25">
      <c r="A1009" t="s">
        <v>3244</v>
      </c>
      <c r="B1009" t="s">
        <v>359</v>
      </c>
      <c r="C1009" t="s">
        <v>360</v>
      </c>
      <c r="D1009" t="str">
        <f>VLOOKUP(J1009,Location[],2,FALSE)</f>
        <v>New York City</v>
      </c>
      <c r="E1009" t="str">
        <f>VLOOKUP(J1009,Location[],3,FALSE)</f>
        <v> New York</v>
      </c>
      <c r="F1009" t="str">
        <f>VLOOKUP(K1009,Dept[],2,FALSE)</f>
        <v>Customer Support</v>
      </c>
      <c r="G1009" s="11">
        <f t="shared" si="15"/>
        <v>41183</v>
      </c>
      <c r="H1009" t="str">
        <f>VLOOKUP(N1009,Status[],2,FALSE)</f>
        <v>Full-Time</v>
      </c>
      <c r="J1009" s="7">
        <v>1001</v>
      </c>
      <c r="K1009">
        <v>14</v>
      </c>
      <c r="L1009">
        <v>2012</v>
      </c>
      <c r="M1009">
        <v>10</v>
      </c>
      <c r="N1009">
        <v>1</v>
      </c>
    </row>
    <row r="1010" spans="1:14" x14ac:dyDescent="0.25">
      <c r="A1010" t="s">
        <v>3245</v>
      </c>
      <c r="B1010" t="s">
        <v>595</v>
      </c>
      <c r="C1010" t="s">
        <v>360</v>
      </c>
      <c r="D1010" t="str">
        <f>VLOOKUP(J1010,Location[],2,FALSE)</f>
        <v>New York City</v>
      </c>
      <c r="E1010" t="str">
        <f>VLOOKUP(J1010,Location[],3,FALSE)</f>
        <v> New York</v>
      </c>
      <c r="F1010" t="str">
        <f>VLOOKUP(K1010,Dept[],2,FALSE)</f>
        <v>Legal</v>
      </c>
      <c r="G1010" s="11">
        <f t="shared" si="15"/>
        <v>40575</v>
      </c>
      <c r="H1010" t="str">
        <f>VLOOKUP(N1010,Status[],2,FALSE)</f>
        <v>Full-Time</v>
      </c>
      <c r="J1010" s="7">
        <v>1001</v>
      </c>
      <c r="K1010">
        <v>18</v>
      </c>
      <c r="L1010">
        <v>2011</v>
      </c>
      <c r="M1010">
        <v>2</v>
      </c>
      <c r="N1010">
        <v>1</v>
      </c>
    </row>
    <row r="1011" spans="1:14" x14ac:dyDescent="0.25">
      <c r="A1011" t="s">
        <v>2246</v>
      </c>
      <c r="B1011" t="s">
        <v>341</v>
      </c>
      <c r="C1011" t="s">
        <v>1374</v>
      </c>
      <c r="D1011" t="str">
        <f>VLOOKUP(J1011,Location[],2,FALSE)</f>
        <v>Los Angeles</v>
      </c>
      <c r="E1011" t="str">
        <f>VLOOKUP(J1011,Location[],3,FALSE)</f>
        <v> California</v>
      </c>
      <c r="F1011" t="str">
        <f>VLOOKUP(K1011,Dept[],2,FALSE)</f>
        <v>Customer Support</v>
      </c>
      <c r="G1011" s="11">
        <f t="shared" si="15"/>
        <v>43405</v>
      </c>
      <c r="H1011" t="str">
        <f>VLOOKUP(N1011,Status[],2,FALSE)</f>
        <v>Full-Time</v>
      </c>
      <c r="J1011" s="7">
        <v>1002</v>
      </c>
      <c r="K1011">
        <v>14</v>
      </c>
      <c r="L1011">
        <v>2018</v>
      </c>
      <c r="M1011">
        <v>11</v>
      </c>
      <c r="N1011">
        <v>1</v>
      </c>
    </row>
    <row r="1012" spans="1:14" x14ac:dyDescent="0.25">
      <c r="A1012" t="s">
        <v>3246</v>
      </c>
      <c r="B1012" t="s">
        <v>322</v>
      </c>
      <c r="C1012" t="s">
        <v>1813</v>
      </c>
      <c r="D1012" t="str">
        <f>VLOOKUP(J1012,Location[],2,FALSE)</f>
        <v>Arlington</v>
      </c>
      <c r="E1012" t="str">
        <f>VLOOKUP(J1012,Location[],3,FALSE)</f>
        <v> Texas</v>
      </c>
      <c r="F1012" t="str">
        <f>VLOOKUP(K1012,Dept[],2,FALSE)</f>
        <v>Shipping</v>
      </c>
      <c r="G1012" s="11">
        <f t="shared" si="15"/>
        <v>43221</v>
      </c>
      <c r="H1012" t="str">
        <f>VLOOKUP(N1012,Status[],2,FALSE)</f>
        <v>Full-Time</v>
      </c>
      <c r="J1012" s="7">
        <v>1048</v>
      </c>
      <c r="K1012">
        <v>23</v>
      </c>
      <c r="L1012">
        <v>2018</v>
      </c>
      <c r="M1012">
        <v>5</v>
      </c>
      <c r="N1012">
        <v>1</v>
      </c>
    </row>
    <row r="1013" spans="1:14" x14ac:dyDescent="0.25">
      <c r="A1013" t="s">
        <v>3247</v>
      </c>
      <c r="B1013" t="s">
        <v>347</v>
      </c>
      <c r="C1013" t="s">
        <v>665</v>
      </c>
      <c r="D1013" t="str">
        <f>VLOOKUP(J1013,Location[],2,FALSE)</f>
        <v>Philadelphia</v>
      </c>
      <c r="E1013" t="str">
        <f>VLOOKUP(J1013,Location[],3,FALSE)</f>
        <v> Pennsylvania</v>
      </c>
      <c r="F1013" t="str">
        <f>VLOOKUP(K1013,Dept[],2,FALSE)</f>
        <v>Administration</v>
      </c>
      <c r="G1013" s="11">
        <f t="shared" si="15"/>
        <v>40664</v>
      </c>
      <c r="H1013" t="str">
        <f>VLOOKUP(N1013,Status[],2,FALSE)</f>
        <v>Full-Time</v>
      </c>
      <c r="J1013" s="7">
        <v>1006</v>
      </c>
      <c r="K1013">
        <v>12</v>
      </c>
      <c r="L1013">
        <v>2011</v>
      </c>
      <c r="M1013">
        <v>5</v>
      </c>
      <c r="N1013">
        <v>1</v>
      </c>
    </row>
    <row r="1014" spans="1:14" x14ac:dyDescent="0.25">
      <c r="A1014" t="s">
        <v>3248</v>
      </c>
      <c r="B1014" t="s">
        <v>1309</v>
      </c>
      <c r="C1014" t="s">
        <v>665</v>
      </c>
      <c r="D1014" t="str">
        <f>VLOOKUP(J1014,Location[],2,FALSE)</f>
        <v>Detroit</v>
      </c>
      <c r="E1014" t="str">
        <f>VLOOKUP(J1014,Location[],3,FALSE)</f>
        <v> Michigan</v>
      </c>
      <c r="F1014" t="str">
        <f>VLOOKUP(K1014,Dept[],2,FALSE)</f>
        <v>R&amp;D</v>
      </c>
      <c r="G1014" s="11">
        <f t="shared" si="15"/>
        <v>44409</v>
      </c>
      <c r="H1014" t="str">
        <f>VLOOKUP(N1014,Status[],2,FALSE)</f>
        <v>Full-Time</v>
      </c>
      <c r="J1014" s="7">
        <v>1023</v>
      </c>
      <c r="K1014">
        <v>21</v>
      </c>
      <c r="L1014">
        <v>2021</v>
      </c>
      <c r="M1014">
        <v>8</v>
      </c>
      <c r="N1014">
        <v>1</v>
      </c>
    </row>
    <row r="1015" spans="1:14" x14ac:dyDescent="0.25">
      <c r="A1015" t="s">
        <v>3249</v>
      </c>
      <c r="B1015" t="s">
        <v>146</v>
      </c>
      <c r="C1015" t="s">
        <v>147</v>
      </c>
      <c r="D1015" t="str">
        <f>VLOOKUP(J1015,Location[],2,FALSE)</f>
        <v>Tucson</v>
      </c>
      <c r="E1015" t="str">
        <f>VLOOKUP(J1015,Location[],3,FALSE)</f>
        <v> Arizona</v>
      </c>
      <c r="F1015" t="str">
        <f>VLOOKUP(K1015,Dept[],2,FALSE)</f>
        <v>Assessment</v>
      </c>
      <c r="G1015" s="11">
        <f t="shared" si="15"/>
        <v>40909</v>
      </c>
      <c r="H1015" t="str">
        <f>VLOOKUP(N1015,Status[],2,FALSE)</f>
        <v>Full-Time</v>
      </c>
      <c r="J1015" s="7">
        <v>1033</v>
      </c>
      <c r="K1015">
        <v>13</v>
      </c>
      <c r="L1015">
        <v>2012</v>
      </c>
      <c r="M1015">
        <v>1</v>
      </c>
      <c r="N1015">
        <v>1</v>
      </c>
    </row>
    <row r="1016" spans="1:14" x14ac:dyDescent="0.25">
      <c r="A1016" t="s">
        <v>3250</v>
      </c>
      <c r="B1016" t="s">
        <v>851</v>
      </c>
      <c r="C1016" t="s">
        <v>2083</v>
      </c>
      <c r="D1016" t="str">
        <f>VLOOKUP(J1016,Location[],2,FALSE)</f>
        <v>Scottsdale</v>
      </c>
      <c r="E1016" t="str">
        <f>VLOOKUP(J1016,Location[],3,FALSE)</f>
        <v> Arizona</v>
      </c>
      <c r="F1016" t="str">
        <f>VLOOKUP(K1016,Dept[],2,FALSE)</f>
        <v>Accounting</v>
      </c>
      <c r="G1016" s="11">
        <f t="shared" si="15"/>
        <v>43221</v>
      </c>
      <c r="H1016" t="str">
        <f>VLOOKUP(N1016,Status[],2,FALSE)</f>
        <v>Full-Time</v>
      </c>
      <c r="J1016" s="7">
        <v>1085</v>
      </c>
      <c r="K1016">
        <v>11</v>
      </c>
      <c r="L1016">
        <v>2018</v>
      </c>
      <c r="M1016">
        <v>5</v>
      </c>
      <c r="N1016">
        <v>1</v>
      </c>
    </row>
    <row r="1017" spans="1:14" x14ac:dyDescent="0.25">
      <c r="A1017" t="s">
        <v>3251</v>
      </c>
      <c r="B1017" t="s">
        <v>1385</v>
      </c>
      <c r="C1017" t="s">
        <v>1386</v>
      </c>
      <c r="D1017" t="str">
        <f>VLOOKUP(J1017,Location[],2,FALSE)</f>
        <v>Orlando</v>
      </c>
      <c r="E1017" t="str">
        <f>VLOOKUP(J1017,Location[],3,FALSE)</f>
        <v> Florida</v>
      </c>
      <c r="F1017" t="str">
        <f>VLOOKUP(K1017,Dept[],2,FALSE)</f>
        <v>Accounting</v>
      </c>
      <c r="G1017" s="11">
        <f t="shared" si="15"/>
        <v>42767</v>
      </c>
      <c r="H1017" t="str">
        <f>VLOOKUP(N1017,Status[],2,FALSE)</f>
        <v>Full-Time</v>
      </c>
      <c r="J1017" s="7">
        <v>1072</v>
      </c>
      <c r="K1017">
        <v>11</v>
      </c>
      <c r="L1017">
        <v>2017</v>
      </c>
      <c r="M1017">
        <v>2</v>
      </c>
      <c r="N1017">
        <v>1</v>
      </c>
    </row>
    <row r="1018" spans="1:14" x14ac:dyDescent="0.25">
      <c r="A1018" t="s">
        <v>3252</v>
      </c>
      <c r="B1018" t="s">
        <v>1884</v>
      </c>
      <c r="C1018" t="s">
        <v>1885</v>
      </c>
      <c r="D1018" t="str">
        <f>VLOOKUP(J1018,Location[],2,FALSE)</f>
        <v>Chicago</v>
      </c>
      <c r="E1018" t="str">
        <f>VLOOKUP(J1018,Location[],3,FALSE)</f>
        <v> Illinois</v>
      </c>
      <c r="F1018" t="str">
        <f>VLOOKUP(K1018,Dept[],2,FALSE)</f>
        <v>Human Resources</v>
      </c>
      <c r="G1018" s="11">
        <f t="shared" si="15"/>
        <v>44562</v>
      </c>
      <c r="H1018" t="str">
        <f>VLOOKUP(N1018,Status[],2,FALSE)</f>
        <v>Part-Time</v>
      </c>
      <c r="J1018" s="7">
        <v>1003</v>
      </c>
      <c r="K1018">
        <v>16</v>
      </c>
      <c r="L1018">
        <v>2022</v>
      </c>
      <c r="M1018">
        <v>1</v>
      </c>
      <c r="N1018">
        <v>0</v>
      </c>
    </row>
    <row r="1019" spans="1:14" x14ac:dyDescent="0.25">
      <c r="A1019" t="s">
        <v>3253</v>
      </c>
      <c r="B1019" t="s">
        <v>71</v>
      </c>
      <c r="C1019" t="s">
        <v>1303</v>
      </c>
      <c r="D1019" t="str">
        <f>VLOOKUP(J1019,Location[],2,FALSE)</f>
        <v>Saint Paul</v>
      </c>
      <c r="E1019" t="str">
        <f>VLOOKUP(J1019,Location[],3,FALSE)</f>
        <v> Minnesota</v>
      </c>
      <c r="F1019" t="str">
        <f>VLOOKUP(K1019,Dept[],2,FALSE)</f>
        <v>Sales</v>
      </c>
      <c r="G1019" s="11">
        <f t="shared" si="15"/>
        <v>40878</v>
      </c>
      <c r="H1019" t="str">
        <f>VLOOKUP(N1019,Status[],2,FALSE)</f>
        <v>Full-Time</v>
      </c>
      <c r="J1019" s="7">
        <v>1063</v>
      </c>
      <c r="K1019">
        <v>22</v>
      </c>
      <c r="L1019">
        <v>2011</v>
      </c>
      <c r="M1019">
        <v>12</v>
      </c>
      <c r="N1019">
        <v>1</v>
      </c>
    </row>
    <row r="1020" spans="1:14" x14ac:dyDescent="0.25">
      <c r="A1020" t="s">
        <v>3254</v>
      </c>
      <c r="B1020" t="s">
        <v>933</v>
      </c>
      <c r="C1020" t="s">
        <v>934</v>
      </c>
      <c r="D1020" t="str">
        <f>VLOOKUP(J1020,Location[],2,FALSE)</f>
        <v>Los Angeles</v>
      </c>
      <c r="E1020" t="str">
        <f>VLOOKUP(J1020,Location[],3,FALSE)</f>
        <v> California</v>
      </c>
      <c r="F1020" t="str">
        <f>VLOOKUP(K1020,Dept[],2,FALSE)</f>
        <v>IT</v>
      </c>
      <c r="G1020" s="11">
        <f t="shared" si="15"/>
        <v>44256</v>
      </c>
      <c r="H1020" t="str">
        <f>VLOOKUP(N1020,Status[],2,FALSE)</f>
        <v>Full-Time</v>
      </c>
      <c r="J1020" s="7">
        <v>1002</v>
      </c>
      <c r="K1020">
        <v>17</v>
      </c>
      <c r="L1020">
        <v>2021</v>
      </c>
      <c r="M1020">
        <v>3</v>
      </c>
      <c r="N1020">
        <v>1</v>
      </c>
    </row>
    <row r="1021" spans="1:14" x14ac:dyDescent="0.25">
      <c r="A1021" t="s">
        <v>3255</v>
      </c>
      <c r="B1021" t="s">
        <v>851</v>
      </c>
      <c r="C1021" t="s">
        <v>811</v>
      </c>
      <c r="D1021" t="str">
        <f>VLOOKUP(J1021,Location[],2,FALSE)</f>
        <v>Washington, D.C.</v>
      </c>
      <c r="E1021" t="str">
        <f>VLOOKUP(J1021,Location[],3,FALSE)</f>
        <v> District of Columbia</v>
      </c>
      <c r="F1021" t="str">
        <f>VLOOKUP(K1021,Dept[],2,FALSE)</f>
        <v>Customer Support</v>
      </c>
      <c r="G1021" s="11">
        <f t="shared" si="15"/>
        <v>41122</v>
      </c>
      <c r="H1021" t="str">
        <f>VLOOKUP(N1021,Status[],2,FALSE)</f>
        <v>Full-Time</v>
      </c>
      <c r="J1021" s="7">
        <v>1020</v>
      </c>
      <c r="K1021">
        <v>14</v>
      </c>
      <c r="L1021">
        <v>2012</v>
      </c>
      <c r="M1021">
        <v>8</v>
      </c>
      <c r="N1021">
        <v>1</v>
      </c>
    </row>
    <row r="1022" spans="1:14" x14ac:dyDescent="0.25">
      <c r="A1022" t="s">
        <v>3256</v>
      </c>
      <c r="B1022" t="s">
        <v>326</v>
      </c>
      <c r="C1022" t="s">
        <v>404</v>
      </c>
      <c r="D1022" t="str">
        <f>VLOOKUP(J1022,Location[],2,FALSE)</f>
        <v>New York City</v>
      </c>
      <c r="E1022" t="str">
        <f>VLOOKUP(J1022,Location[],3,FALSE)</f>
        <v> New York</v>
      </c>
      <c r="F1022" t="str">
        <f>VLOOKUP(K1022,Dept[],2,FALSE)</f>
        <v>Customer Support</v>
      </c>
      <c r="G1022" s="11">
        <f t="shared" si="15"/>
        <v>44805</v>
      </c>
      <c r="H1022" t="str">
        <f>VLOOKUP(N1022,Status[],2,FALSE)</f>
        <v>Part-Time</v>
      </c>
      <c r="J1022" s="7">
        <v>1001</v>
      </c>
      <c r="K1022">
        <v>14</v>
      </c>
      <c r="L1022">
        <v>2022</v>
      </c>
      <c r="M1022">
        <v>9</v>
      </c>
      <c r="N1022">
        <v>0</v>
      </c>
    </row>
    <row r="1023" spans="1:14" x14ac:dyDescent="0.25">
      <c r="A1023" t="s">
        <v>3257</v>
      </c>
      <c r="B1023" t="s">
        <v>403</v>
      </c>
      <c r="C1023" t="s">
        <v>404</v>
      </c>
      <c r="D1023" t="str">
        <f>VLOOKUP(J1023,Location[],2,FALSE)</f>
        <v>Chicago</v>
      </c>
      <c r="E1023" t="str">
        <f>VLOOKUP(J1023,Location[],3,FALSE)</f>
        <v> Illinois</v>
      </c>
      <c r="F1023" t="str">
        <f>VLOOKUP(K1023,Dept[],2,FALSE)</f>
        <v>IT</v>
      </c>
      <c r="G1023" s="11">
        <f t="shared" si="15"/>
        <v>40909</v>
      </c>
      <c r="H1023" t="str">
        <f>VLOOKUP(N1023,Status[],2,FALSE)</f>
        <v>Full-Time</v>
      </c>
      <c r="J1023" s="7">
        <v>1003</v>
      </c>
      <c r="K1023">
        <v>17</v>
      </c>
      <c r="L1023">
        <v>2012</v>
      </c>
      <c r="M1023">
        <v>1</v>
      </c>
      <c r="N1023">
        <v>1</v>
      </c>
    </row>
    <row r="1024" spans="1:14" x14ac:dyDescent="0.25">
      <c r="A1024" t="s">
        <v>3258</v>
      </c>
      <c r="B1024" t="s">
        <v>866</v>
      </c>
      <c r="C1024" t="s">
        <v>603</v>
      </c>
      <c r="D1024" t="str">
        <f>VLOOKUP(J1024,Location[],2,FALSE)</f>
        <v>New York City</v>
      </c>
      <c r="E1024" t="str">
        <f>VLOOKUP(J1024,Location[],3,FALSE)</f>
        <v> New York</v>
      </c>
      <c r="F1024" t="str">
        <f>VLOOKUP(K1024,Dept[],2,FALSE)</f>
        <v>Accounting</v>
      </c>
      <c r="G1024" s="11">
        <f t="shared" si="15"/>
        <v>42339</v>
      </c>
      <c r="H1024" t="str">
        <f>VLOOKUP(N1024,Status[],2,FALSE)</f>
        <v>Full-Time</v>
      </c>
      <c r="J1024" s="7">
        <v>1001</v>
      </c>
      <c r="K1024">
        <v>11</v>
      </c>
      <c r="L1024">
        <v>2015</v>
      </c>
      <c r="M1024">
        <v>12</v>
      </c>
      <c r="N1024">
        <v>1</v>
      </c>
    </row>
    <row r="1025" spans="1:14" x14ac:dyDescent="0.25">
      <c r="A1025" t="s">
        <v>3259</v>
      </c>
      <c r="B1025" t="s">
        <v>97</v>
      </c>
      <c r="C1025" t="s">
        <v>603</v>
      </c>
      <c r="D1025" t="str">
        <f>VLOOKUP(J1025,Location[],2,FALSE)</f>
        <v>Durham</v>
      </c>
      <c r="E1025" t="str">
        <f>VLOOKUP(J1025,Location[],3,FALSE)</f>
        <v> North Carolina</v>
      </c>
      <c r="F1025" t="str">
        <f>VLOOKUP(K1025,Dept[],2,FALSE)</f>
        <v>Administration</v>
      </c>
      <c r="G1025" s="11">
        <f t="shared" si="15"/>
        <v>44013</v>
      </c>
      <c r="H1025" t="str">
        <f>VLOOKUP(N1025,Status[],2,FALSE)</f>
        <v>Full-Time</v>
      </c>
      <c r="J1025" s="7">
        <v>1077</v>
      </c>
      <c r="K1025">
        <v>12</v>
      </c>
      <c r="L1025">
        <v>2020</v>
      </c>
      <c r="M1025">
        <v>7</v>
      </c>
      <c r="N1025">
        <v>1</v>
      </c>
    </row>
    <row r="1026" spans="1:14" x14ac:dyDescent="0.25">
      <c r="A1026" t="s">
        <v>3260</v>
      </c>
      <c r="B1026" t="s">
        <v>1056</v>
      </c>
      <c r="C1026" t="s">
        <v>603</v>
      </c>
      <c r="D1026" t="str">
        <f>VLOOKUP(J1026,Location[],2,FALSE)</f>
        <v>Las Vegas</v>
      </c>
      <c r="E1026" t="str">
        <f>VLOOKUP(J1026,Location[],3,FALSE)</f>
        <v> Nevada</v>
      </c>
      <c r="F1026" t="str">
        <f>VLOOKUP(K1026,Dept[],2,FALSE)</f>
        <v>Administration</v>
      </c>
      <c r="G1026" s="11">
        <f t="shared" si="15"/>
        <v>43405</v>
      </c>
      <c r="H1026" t="str">
        <f>VLOOKUP(N1026,Status[],2,FALSE)</f>
        <v>Full-Time</v>
      </c>
      <c r="J1026" s="7">
        <v>1028</v>
      </c>
      <c r="K1026">
        <v>12</v>
      </c>
      <c r="L1026">
        <v>2018</v>
      </c>
      <c r="M1026">
        <v>11</v>
      </c>
      <c r="N1026">
        <v>1</v>
      </c>
    </row>
    <row r="1027" spans="1:14" x14ac:dyDescent="0.25">
      <c r="A1027" t="s">
        <v>3261</v>
      </c>
      <c r="B1027" t="s">
        <v>85</v>
      </c>
      <c r="C1027" t="s">
        <v>1467</v>
      </c>
      <c r="D1027" t="str">
        <f>VLOOKUP(J1027,Location[],2,FALSE)</f>
        <v>Durham</v>
      </c>
      <c r="E1027" t="str">
        <f>VLOOKUP(J1027,Location[],3,FALSE)</f>
        <v> North Carolina</v>
      </c>
      <c r="F1027" t="str">
        <f>VLOOKUP(K1027,Dept[],2,FALSE)</f>
        <v>Customer Support</v>
      </c>
      <c r="G1027" s="11">
        <f t="shared" si="15"/>
        <v>40940</v>
      </c>
      <c r="H1027" t="str">
        <f>VLOOKUP(N1027,Status[],2,FALSE)</f>
        <v>Part-Time</v>
      </c>
      <c r="J1027" s="7">
        <v>1077</v>
      </c>
      <c r="K1027">
        <v>14</v>
      </c>
      <c r="L1027">
        <v>2012</v>
      </c>
      <c r="M1027">
        <v>2</v>
      </c>
      <c r="N1027">
        <v>0</v>
      </c>
    </row>
    <row r="1028" spans="1:14" x14ac:dyDescent="0.25">
      <c r="A1028" t="s">
        <v>3262</v>
      </c>
      <c r="B1028" t="s">
        <v>299</v>
      </c>
      <c r="C1028" t="s">
        <v>300</v>
      </c>
      <c r="D1028" t="str">
        <f>VLOOKUP(J1028,Location[],2,FALSE)</f>
        <v>Los Angeles</v>
      </c>
      <c r="E1028" t="str">
        <f>VLOOKUP(J1028,Location[],3,FALSE)</f>
        <v> California</v>
      </c>
      <c r="F1028" t="str">
        <f>VLOOKUP(K1028,Dept[],2,FALSE)</f>
        <v>Assessment</v>
      </c>
      <c r="G1028" s="11">
        <f t="shared" si="15"/>
        <v>42979</v>
      </c>
      <c r="H1028" t="str">
        <f>VLOOKUP(N1028,Status[],2,FALSE)</f>
        <v>Full-Time</v>
      </c>
      <c r="J1028" s="7">
        <v>1002</v>
      </c>
      <c r="K1028">
        <v>13</v>
      </c>
      <c r="L1028">
        <v>2017</v>
      </c>
      <c r="M1028">
        <v>9</v>
      </c>
      <c r="N1028">
        <v>1</v>
      </c>
    </row>
    <row r="1029" spans="1:14" x14ac:dyDescent="0.25">
      <c r="A1029" t="s">
        <v>3263</v>
      </c>
      <c r="B1029" t="s">
        <v>105</v>
      </c>
      <c r="C1029" t="s">
        <v>106</v>
      </c>
      <c r="D1029" t="str">
        <f>VLOOKUP(J1029,Location[],2,FALSE)</f>
        <v>Houston</v>
      </c>
      <c r="E1029" t="str">
        <f>VLOOKUP(J1029,Location[],3,FALSE)</f>
        <v> Texas</v>
      </c>
      <c r="F1029" t="str">
        <f>VLOOKUP(K1029,Dept[],2,FALSE)</f>
        <v>Finance</v>
      </c>
      <c r="G1029" s="11">
        <f t="shared" ref="G1029:G1092" si="16">DATE(L1029,M1029,1)</f>
        <v>44256</v>
      </c>
      <c r="H1029" t="str">
        <f>VLOOKUP(N1029,Status[],2,FALSE)</f>
        <v>Full-Time</v>
      </c>
      <c r="J1029" s="7">
        <v>1004</v>
      </c>
      <c r="K1029">
        <v>15</v>
      </c>
      <c r="L1029">
        <v>2021</v>
      </c>
      <c r="M1029">
        <v>3</v>
      </c>
      <c r="N1029">
        <v>1</v>
      </c>
    </row>
    <row r="1030" spans="1:14" x14ac:dyDescent="0.25">
      <c r="A1030" t="s">
        <v>3264</v>
      </c>
      <c r="B1030" t="s">
        <v>108</v>
      </c>
      <c r="C1030" t="s">
        <v>1038</v>
      </c>
      <c r="D1030" t="str">
        <f>VLOOKUP(J1030,Location[],2,FALSE)</f>
        <v>Miami</v>
      </c>
      <c r="E1030" t="str">
        <f>VLOOKUP(J1030,Location[],3,FALSE)</f>
        <v> Florida</v>
      </c>
      <c r="F1030" t="str">
        <f>VLOOKUP(K1030,Dept[],2,FALSE)</f>
        <v>Assessment</v>
      </c>
      <c r="G1030" s="11">
        <f t="shared" si="16"/>
        <v>42767</v>
      </c>
      <c r="H1030" t="str">
        <f>VLOOKUP(N1030,Status[],2,FALSE)</f>
        <v>Full-Time</v>
      </c>
      <c r="J1030" s="7">
        <v>1043</v>
      </c>
      <c r="K1030">
        <v>13</v>
      </c>
      <c r="L1030">
        <v>2017</v>
      </c>
      <c r="M1030">
        <v>2</v>
      </c>
      <c r="N1030">
        <v>1</v>
      </c>
    </row>
    <row r="1031" spans="1:14" x14ac:dyDescent="0.25">
      <c r="A1031" t="s">
        <v>3265</v>
      </c>
      <c r="B1031" t="s">
        <v>1347</v>
      </c>
      <c r="C1031" t="s">
        <v>256</v>
      </c>
      <c r="D1031" t="str">
        <f>VLOOKUP(J1031,Location[],2,FALSE)</f>
        <v>Sacramento</v>
      </c>
      <c r="E1031" t="str">
        <f>VLOOKUP(J1031,Location[],3,FALSE)</f>
        <v> California</v>
      </c>
      <c r="F1031" t="str">
        <f>VLOOKUP(K1031,Dept[],2,FALSE)</f>
        <v>R&amp;D</v>
      </c>
      <c r="G1031" s="11">
        <f t="shared" si="16"/>
        <v>41395</v>
      </c>
      <c r="H1031" t="str">
        <f>VLOOKUP(N1031,Status[],2,FALSE)</f>
        <v>Full-Time</v>
      </c>
      <c r="J1031" s="7">
        <v>1035</v>
      </c>
      <c r="K1031">
        <v>21</v>
      </c>
      <c r="L1031">
        <v>2013</v>
      </c>
      <c r="M1031">
        <v>5</v>
      </c>
      <c r="N1031">
        <v>1</v>
      </c>
    </row>
    <row r="1032" spans="1:14" x14ac:dyDescent="0.25">
      <c r="A1032" t="s">
        <v>3266</v>
      </c>
      <c r="B1032" t="s">
        <v>255</v>
      </c>
      <c r="C1032" t="s">
        <v>256</v>
      </c>
      <c r="D1032" t="str">
        <f>VLOOKUP(J1032,Location[],2,FALSE)</f>
        <v>St. Louis</v>
      </c>
      <c r="E1032" t="str">
        <f>VLOOKUP(J1032,Location[],3,FALSE)</f>
        <v> Missouri</v>
      </c>
      <c r="F1032" t="str">
        <f>VLOOKUP(K1032,Dept[],2,FALSE)</f>
        <v>Administration</v>
      </c>
      <c r="G1032" s="11">
        <f t="shared" si="16"/>
        <v>44378</v>
      </c>
      <c r="H1032" t="str">
        <f>VLOOKUP(N1032,Status[],2,FALSE)</f>
        <v>Full-Time</v>
      </c>
      <c r="J1032" s="7">
        <v>1062</v>
      </c>
      <c r="K1032">
        <v>12</v>
      </c>
      <c r="L1032">
        <v>2021</v>
      </c>
      <c r="M1032">
        <v>7</v>
      </c>
      <c r="N1032">
        <v>1</v>
      </c>
    </row>
    <row r="1033" spans="1:14" x14ac:dyDescent="0.25">
      <c r="A1033" t="s">
        <v>3267</v>
      </c>
      <c r="B1033" t="s">
        <v>986</v>
      </c>
      <c r="C1033" t="s">
        <v>256</v>
      </c>
      <c r="D1033" t="str">
        <f>VLOOKUP(J1033,Location[],2,FALSE)</f>
        <v>Mesa</v>
      </c>
      <c r="E1033" t="str">
        <f>VLOOKUP(J1033,Location[],3,FALSE)</f>
        <v> Arizona</v>
      </c>
      <c r="F1033" t="str">
        <f>VLOOKUP(K1033,Dept[],2,FALSE)</f>
        <v>Marketing</v>
      </c>
      <c r="G1033" s="11">
        <f t="shared" si="16"/>
        <v>42430</v>
      </c>
      <c r="H1033" t="str">
        <f>VLOOKUP(N1033,Status[],2,FALSE)</f>
        <v>Full-Time</v>
      </c>
      <c r="J1033" s="7">
        <v>1036</v>
      </c>
      <c r="K1033">
        <v>19</v>
      </c>
      <c r="L1033">
        <v>2016</v>
      </c>
      <c r="M1033">
        <v>3</v>
      </c>
      <c r="N1033">
        <v>1</v>
      </c>
    </row>
    <row r="1034" spans="1:14" x14ac:dyDescent="0.25">
      <c r="A1034" t="s">
        <v>3268</v>
      </c>
      <c r="B1034" t="s">
        <v>190</v>
      </c>
      <c r="C1034" t="s">
        <v>256</v>
      </c>
      <c r="D1034" t="str">
        <f>VLOOKUP(J1034,Location[],2,FALSE)</f>
        <v>Bakersfield</v>
      </c>
      <c r="E1034" t="str">
        <f>VLOOKUP(J1034,Location[],3,FALSE)</f>
        <v> California</v>
      </c>
      <c r="F1034" t="str">
        <f>VLOOKUP(K1034,Dept[],2,FALSE)</f>
        <v>Customer Support</v>
      </c>
      <c r="G1034" s="11">
        <f t="shared" si="16"/>
        <v>41791</v>
      </c>
      <c r="H1034" t="str">
        <f>VLOOKUP(N1034,Status[],2,FALSE)</f>
        <v>Full-Time</v>
      </c>
      <c r="J1034" s="7">
        <v>1053</v>
      </c>
      <c r="K1034">
        <v>14</v>
      </c>
      <c r="L1034">
        <v>2014</v>
      </c>
      <c r="M1034">
        <v>6</v>
      </c>
      <c r="N1034">
        <v>1</v>
      </c>
    </row>
    <row r="1035" spans="1:14" x14ac:dyDescent="0.25">
      <c r="A1035" t="s">
        <v>3269</v>
      </c>
      <c r="B1035" t="s">
        <v>408</v>
      </c>
      <c r="C1035" t="s">
        <v>256</v>
      </c>
      <c r="D1035" t="str">
        <f>VLOOKUP(J1035,Location[],2,FALSE)</f>
        <v>Bakersfield</v>
      </c>
      <c r="E1035" t="str">
        <f>VLOOKUP(J1035,Location[],3,FALSE)</f>
        <v> California</v>
      </c>
      <c r="F1035" t="str">
        <f>VLOOKUP(K1035,Dept[],2,FALSE)</f>
        <v>Human Resources</v>
      </c>
      <c r="G1035" s="11">
        <f t="shared" si="16"/>
        <v>43678</v>
      </c>
      <c r="H1035" t="str">
        <f>VLOOKUP(N1035,Status[],2,FALSE)</f>
        <v>Full-Time</v>
      </c>
      <c r="J1035" s="7">
        <v>1053</v>
      </c>
      <c r="K1035">
        <v>16</v>
      </c>
      <c r="L1035">
        <v>2019</v>
      </c>
      <c r="M1035">
        <v>8</v>
      </c>
      <c r="N1035">
        <v>1</v>
      </c>
    </row>
    <row r="1036" spans="1:14" x14ac:dyDescent="0.25">
      <c r="A1036" t="s">
        <v>3270</v>
      </c>
      <c r="B1036" t="s">
        <v>75</v>
      </c>
      <c r="C1036" t="s">
        <v>256</v>
      </c>
      <c r="D1036" t="str">
        <f>VLOOKUP(J1036,Location[],2,FALSE)</f>
        <v>Buffalo</v>
      </c>
      <c r="E1036" t="str">
        <f>VLOOKUP(J1036,Location[],3,FALSE)</f>
        <v> New York</v>
      </c>
      <c r="F1036" t="str">
        <f>VLOOKUP(K1036,Dept[],2,FALSE)</f>
        <v>Customer Support</v>
      </c>
      <c r="G1036" s="11">
        <f t="shared" si="16"/>
        <v>41609</v>
      </c>
      <c r="H1036" t="str">
        <f>VLOOKUP(N1036,Status[],2,FALSE)</f>
        <v>Full-Time</v>
      </c>
      <c r="J1036" s="7">
        <v>1081</v>
      </c>
      <c r="K1036">
        <v>14</v>
      </c>
      <c r="L1036">
        <v>2013</v>
      </c>
      <c r="M1036">
        <v>12</v>
      </c>
      <c r="N1036">
        <v>1</v>
      </c>
    </row>
    <row r="1037" spans="1:14" x14ac:dyDescent="0.25">
      <c r="A1037" t="s">
        <v>3271</v>
      </c>
      <c r="B1037" t="s">
        <v>253</v>
      </c>
      <c r="C1037" t="s">
        <v>1458</v>
      </c>
      <c r="D1037" t="str">
        <f>VLOOKUP(J1037,Location[],2,FALSE)</f>
        <v>Irvine</v>
      </c>
      <c r="E1037" t="str">
        <f>VLOOKUP(J1037,Location[],3,FALSE)</f>
        <v> California</v>
      </c>
      <c r="F1037" t="str">
        <f>VLOOKUP(K1037,Dept[],2,FALSE)</f>
        <v>Shipping</v>
      </c>
      <c r="G1037" s="11">
        <f t="shared" si="16"/>
        <v>43891</v>
      </c>
      <c r="H1037" t="str">
        <f>VLOOKUP(N1037,Status[],2,FALSE)</f>
        <v>Full-Time</v>
      </c>
      <c r="J1037" s="7">
        <v>1073</v>
      </c>
      <c r="K1037">
        <v>23</v>
      </c>
      <c r="L1037">
        <v>2020</v>
      </c>
      <c r="M1037">
        <v>3</v>
      </c>
      <c r="N1037">
        <v>1</v>
      </c>
    </row>
    <row r="1038" spans="1:14" x14ac:dyDescent="0.25">
      <c r="A1038" t="s">
        <v>3272</v>
      </c>
      <c r="B1038" t="s">
        <v>71</v>
      </c>
      <c r="C1038" t="s">
        <v>2040</v>
      </c>
      <c r="D1038" t="str">
        <f>VLOOKUP(J1038,Location[],2,FALSE)</f>
        <v>Saint Paul</v>
      </c>
      <c r="E1038" t="str">
        <f>VLOOKUP(J1038,Location[],3,FALSE)</f>
        <v> Minnesota</v>
      </c>
      <c r="F1038" t="str">
        <f>VLOOKUP(K1038,Dept[],2,FALSE)</f>
        <v>Marketing</v>
      </c>
      <c r="G1038" s="11">
        <f t="shared" si="16"/>
        <v>43160</v>
      </c>
      <c r="H1038" t="str">
        <f>VLOOKUP(N1038,Status[],2,FALSE)</f>
        <v>Full-Time</v>
      </c>
      <c r="J1038" s="7">
        <v>1063</v>
      </c>
      <c r="K1038">
        <v>19</v>
      </c>
      <c r="L1038">
        <v>2018</v>
      </c>
      <c r="M1038">
        <v>3</v>
      </c>
      <c r="N1038">
        <v>1</v>
      </c>
    </row>
    <row r="1039" spans="1:14" x14ac:dyDescent="0.25">
      <c r="A1039" t="s">
        <v>3273</v>
      </c>
      <c r="B1039" t="s">
        <v>1160</v>
      </c>
      <c r="C1039" t="s">
        <v>1883</v>
      </c>
      <c r="D1039" t="str">
        <f>VLOOKUP(J1039,Location[],2,FALSE)</f>
        <v>New Orleans</v>
      </c>
      <c r="E1039" t="str">
        <f>VLOOKUP(J1039,Location[],3,FALSE)</f>
        <v> Louisiana</v>
      </c>
      <c r="F1039" t="str">
        <f>VLOOKUP(K1039,Dept[],2,FALSE)</f>
        <v>Marketing</v>
      </c>
      <c r="G1039" s="11">
        <f t="shared" si="16"/>
        <v>41061</v>
      </c>
      <c r="H1039" t="str">
        <f>VLOOKUP(N1039,Status[],2,FALSE)</f>
        <v>Full-Time</v>
      </c>
      <c r="J1039" s="7">
        <v>1049</v>
      </c>
      <c r="K1039">
        <v>19</v>
      </c>
      <c r="L1039">
        <v>2012</v>
      </c>
      <c r="M1039">
        <v>6</v>
      </c>
      <c r="N1039">
        <v>1</v>
      </c>
    </row>
    <row r="1040" spans="1:14" x14ac:dyDescent="0.25">
      <c r="A1040" t="s">
        <v>3274</v>
      </c>
      <c r="B1040" t="s">
        <v>561</v>
      </c>
      <c r="C1040" t="s">
        <v>1587</v>
      </c>
      <c r="D1040" t="str">
        <f>VLOOKUP(J1040,Location[],2,FALSE)</f>
        <v>Fresno</v>
      </c>
      <c r="E1040" t="str">
        <f>VLOOKUP(J1040,Location[],3,FALSE)</f>
        <v> California</v>
      </c>
      <c r="F1040" t="str">
        <f>VLOOKUP(K1040,Dept[],2,FALSE)</f>
        <v>Legal</v>
      </c>
      <c r="G1040" s="11">
        <f t="shared" si="16"/>
        <v>44013</v>
      </c>
      <c r="H1040" t="str">
        <f>VLOOKUP(N1040,Status[],2,FALSE)</f>
        <v>Full-Time</v>
      </c>
      <c r="J1040" s="7">
        <v>1034</v>
      </c>
      <c r="K1040">
        <v>18</v>
      </c>
      <c r="L1040">
        <v>2020</v>
      </c>
      <c r="M1040">
        <v>7</v>
      </c>
      <c r="N1040">
        <v>1</v>
      </c>
    </row>
    <row r="1041" spans="1:14" x14ac:dyDescent="0.25">
      <c r="A1041" t="s">
        <v>3275</v>
      </c>
      <c r="B1041" t="s">
        <v>1177</v>
      </c>
      <c r="C1041" t="s">
        <v>1706</v>
      </c>
      <c r="D1041" t="str">
        <f>VLOOKUP(J1041,Location[],2,FALSE)</f>
        <v>San Antonio</v>
      </c>
      <c r="E1041" t="str">
        <f>VLOOKUP(J1041,Location[],3,FALSE)</f>
        <v> Texas</v>
      </c>
      <c r="F1041" t="str">
        <f>VLOOKUP(K1041,Dept[],2,FALSE)</f>
        <v>Accounting</v>
      </c>
      <c r="G1041" s="11">
        <f t="shared" si="16"/>
        <v>44774</v>
      </c>
      <c r="H1041" t="str">
        <f>VLOOKUP(N1041,Status[],2,FALSE)</f>
        <v>Full-Time</v>
      </c>
      <c r="J1041" s="7">
        <v>1007</v>
      </c>
      <c r="K1041">
        <v>11</v>
      </c>
      <c r="L1041">
        <v>2022</v>
      </c>
      <c r="M1041">
        <v>8</v>
      </c>
      <c r="N1041">
        <v>1</v>
      </c>
    </row>
    <row r="1042" spans="1:14" x14ac:dyDescent="0.25">
      <c r="A1042" t="s">
        <v>3276</v>
      </c>
      <c r="B1042" t="s">
        <v>235</v>
      </c>
      <c r="C1042" t="s">
        <v>657</v>
      </c>
      <c r="D1042" t="str">
        <f>VLOOKUP(J1042,Location[],2,FALSE)</f>
        <v>Charlotte</v>
      </c>
      <c r="E1042" t="str">
        <f>VLOOKUP(J1042,Location[],3,FALSE)</f>
        <v> North Carolina</v>
      </c>
      <c r="F1042" t="str">
        <f>VLOOKUP(K1042,Dept[],2,FALSE)</f>
        <v>IT</v>
      </c>
      <c r="G1042" s="11">
        <f t="shared" si="16"/>
        <v>42005</v>
      </c>
      <c r="H1042" t="str">
        <f>VLOOKUP(N1042,Status[],2,FALSE)</f>
        <v>Full-Time</v>
      </c>
      <c r="J1042" s="7">
        <v>1017</v>
      </c>
      <c r="K1042">
        <v>17</v>
      </c>
      <c r="L1042">
        <v>2015</v>
      </c>
      <c r="M1042">
        <v>1</v>
      </c>
      <c r="N1042">
        <v>1</v>
      </c>
    </row>
    <row r="1043" spans="1:14" x14ac:dyDescent="0.25">
      <c r="A1043" t="s">
        <v>3277</v>
      </c>
      <c r="B1043" t="s">
        <v>144</v>
      </c>
      <c r="C1043" t="s">
        <v>304</v>
      </c>
      <c r="D1043" t="str">
        <f>VLOOKUP(J1043,Location[],2,FALSE)</f>
        <v>San Antonio</v>
      </c>
      <c r="E1043" t="str">
        <f>VLOOKUP(J1043,Location[],3,FALSE)</f>
        <v> Texas</v>
      </c>
      <c r="F1043" t="str">
        <f>VLOOKUP(K1043,Dept[],2,FALSE)</f>
        <v>Human Resources</v>
      </c>
      <c r="G1043" s="11">
        <f t="shared" si="16"/>
        <v>42461</v>
      </c>
      <c r="H1043" t="str">
        <f>VLOOKUP(N1043,Status[],2,FALSE)</f>
        <v>Full-Time</v>
      </c>
      <c r="J1043" s="7">
        <v>1007</v>
      </c>
      <c r="K1043">
        <v>16</v>
      </c>
      <c r="L1043">
        <v>2016</v>
      </c>
      <c r="M1043">
        <v>4</v>
      </c>
      <c r="N1043">
        <v>1</v>
      </c>
    </row>
    <row r="1044" spans="1:14" x14ac:dyDescent="0.25">
      <c r="A1044" t="s">
        <v>3278</v>
      </c>
      <c r="B1044" t="s">
        <v>864</v>
      </c>
      <c r="C1044" t="s">
        <v>865</v>
      </c>
      <c r="D1044" t="str">
        <f>VLOOKUP(J1044,Location[],2,FALSE)</f>
        <v>Phoenix</v>
      </c>
      <c r="E1044" t="str">
        <f>VLOOKUP(J1044,Location[],3,FALSE)</f>
        <v> Arizona</v>
      </c>
      <c r="F1044" t="str">
        <f>VLOOKUP(K1044,Dept[],2,FALSE)</f>
        <v>Human Resources</v>
      </c>
      <c r="G1044" s="11">
        <f t="shared" si="16"/>
        <v>44287</v>
      </c>
      <c r="H1044" t="str">
        <f>VLOOKUP(N1044,Status[],2,FALSE)</f>
        <v>Full-Time</v>
      </c>
      <c r="J1044" s="7">
        <v>1005</v>
      </c>
      <c r="K1044">
        <v>16</v>
      </c>
      <c r="L1044">
        <v>2021</v>
      </c>
      <c r="M1044">
        <v>4</v>
      </c>
      <c r="N1044">
        <v>1</v>
      </c>
    </row>
    <row r="1045" spans="1:14" x14ac:dyDescent="0.25">
      <c r="A1045" t="s">
        <v>3279</v>
      </c>
      <c r="B1045" t="s">
        <v>556</v>
      </c>
      <c r="C1045" t="s">
        <v>1857</v>
      </c>
      <c r="D1045" t="str">
        <f>VLOOKUP(J1045,Location[],2,FALSE)</f>
        <v>Fort Worth</v>
      </c>
      <c r="E1045" t="str">
        <f>VLOOKUP(J1045,Location[],3,FALSE)</f>
        <v> Texas</v>
      </c>
      <c r="F1045" t="str">
        <f>VLOOKUP(K1045,Dept[],2,FALSE)</f>
        <v>Accounting</v>
      </c>
      <c r="G1045" s="11">
        <f t="shared" si="16"/>
        <v>42979</v>
      </c>
      <c r="H1045" t="str">
        <f>VLOOKUP(N1045,Status[],2,FALSE)</f>
        <v>Full-Time</v>
      </c>
      <c r="J1045" s="7">
        <v>1015</v>
      </c>
      <c r="K1045">
        <v>11</v>
      </c>
      <c r="L1045">
        <v>2017</v>
      </c>
      <c r="M1045">
        <v>9</v>
      </c>
      <c r="N1045">
        <v>1</v>
      </c>
    </row>
    <row r="1046" spans="1:14" x14ac:dyDescent="0.25">
      <c r="A1046" t="s">
        <v>3280</v>
      </c>
      <c r="B1046" t="s">
        <v>108</v>
      </c>
      <c r="C1046" t="s">
        <v>699</v>
      </c>
      <c r="D1046" t="str">
        <f>VLOOKUP(J1046,Location[],2,FALSE)</f>
        <v>Columbus</v>
      </c>
      <c r="E1046" t="str">
        <f>VLOOKUP(J1046,Location[],3,FALSE)</f>
        <v> Ohio</v>
      </c>
      <c r="F1046" t="str">
        <f>VLOOKUP(K1046,Dept[],2,FALSE)</f>
        <v>Sales</v>
      </c>
      <c r="G1046" s="11">
        <f t="shared" si="16"/>
        <v>42887</v>
      </c>
      <c r="H1046" t="str">
        <f>VLOOKUP(N1046,Status[],2,FALSE)</f>
        <v>Full-Time</v>
      </c>
      <c r="J1046" s="7">
        <v>1014</v>
      </c>
      <c r="K1046">
        <v>22</v>
      </c>
      <c r="L1046">
        <v>2017</v>
      </c>
      <c r="M1046">
        <v>6</v>
      </c>
      <c r="N1046">
        <v>1</v>
      </c>
    </row>
    <row r="1047" spans="1:14" x14ac:dyDescent="0.25">
      <c r="A1047" t="s">
        <v>3281</v>
      </c>
      <c r="B1047" t="s">
        <v>299</v>
      </c>
      <c r="C1047" t="s">
        <v>580</v>
      </c>
      <c r="D1047" t="str">
        <f>VLOOKUP(J1047,Location[],2,FALSE)</f>
        <v>Fort Worth</v>
      </c>
      <c r="E1047" t="str">
        <f>VLOOKUP(J1047,Location[],3,FALSE)</f>
        <v> Texas</v>
      </c>
      <c r="F1047" t="str">
        <f>VLOOKUP(K1047,Dept[],2,FALSE)</f>
        <v>Media</v>
      </c>
      <c r="G1047" s="11">
        <f t="shared" si="16"/>
        <v>45261</v>
      </c>
      <c r="H1047" t="str">
        <f>VLOOKUP(N1047,Status[],2,FALSE)</f>
        <v>Full-Time</v>
      </c>
      <c r="J1047" s="7">
        <v>1015</v>
      </c>
      <c r="K1047">
        <v>20</v>
      </c>
      <c r="L1047">
        <v>2023</v>
      </c>
      <c r="M1047">
        <v>12</v>
      </c>
      <c r="N1047">
        <v>1</v>
      </c>
    </row>
    <row r="1048" spans="1:14" x14ac:dyDescent="0.25">
      <c r="A1048" t="s">
        <v>3282</v>
      </c>
      <c r="B1048" t="s">
        <v>5</v>
      </c>
      <c r="C1048" t="s">
        <v>1228</v>
      </c>
      <c r="D1048" t="str">
        <f>VLOOKUP(J1048,Location[],2,FALSE)</f>
        <v>El Paso</v>
      </c>
      <c r="E1048" t="str">
        <f>VLOOKUP(J1048,Location[],3,FALSE)</f>
        <v> Texas</v>
      </c>
      <c r="F1048" t="str">
        <f>VLOOKUP(K1048,Dept[],2,FALSE)</f>
        <v>Customer Support</v>
      </c>
      <c r="G1048" s="11">
        <f t="shared" si="16"/>
        <v>44075</v>
      </c>
      <c r="H1048" t="str">
        <f>VLOOKUP(N1048,Status[],2,FALSE)</f>
        <v>Full-Time</v>
      </c>
      <c r="J1048" s="7">
        <v>1022</v>
      </c>
      <c r="K1048">
        <v>14</v>
      </c>
      <c r="L1048">
        <v>2020</v>
      </c>
      <c r="M1048">
        <v>9</v>
      </c>
      <c r="N1048">
        <v>1</v>
      </c>
    </row>
    <row r="1049" spans="1:14" x14ac:dyDescent="0.25">
      <c r="A1049" t="s">
        <v>3283</v>
      </c>
      <c r="B1049" t="s">
        <v>1014</v>
      </c>
      <c r="C1049" t="s">
        <v>1772</v>
      </c>
      <c r="D1049" t="str">
        <f>VLOOKUP(J1049,Location[],2,FALSE)</f>
        <v>Indianapolis</v>
      </c>
      <c r="E1049" t="str">
        <f>VLOOKUP(J1049,Location[],3,FALSE)</f>
        <v> Indiana</v>
      </c>
      <c r="F1049" t="str">
        <f>VLOOKUP(K1049,Dept[],2,FALSE)</f>
        <v>Assessment</v>
      </c>
      <c r="G1049" s="11">
        <f t="shared" si="16"/>
        <v>44166</v>
      </c>
      <c r="H1049" t="str">
        <f>VLOOKUP(N1049,Status[],2,FALSE)</f>
        <v>Full-Time</v>
      </c>
      <c r="J1049" s="7">
        <v>1016</v>
      </c>
      <c r="K1049">
        <v>13</v>
      </c>
      <c r="L1049">
        <v>2020</v>
      </c>
      <c r="M1049">
        <v>12</v>
      </c>
      <c r="N1049">
        <v>1</v>
      </c>
    </row>
    <row r="1050" spans="1:14" x14ac:dyDescent="0.25">
      <c r="A1050" t="s">
        <v>3284</v>
      </c>
      <c r="B1050" t="s">
        <v>1398</v>
      </c>
      <c r="C1050" t="s">
        <v>1349</v>
      </c>
      <c r="D1050" t="str">
        <f>VLOOKUP(J1050,Location[],2,FALSE)</f>
        <v>Scottsdale</v>
      </c>
      <c r="E1050" t="str">
        <f>VLOOKUP(J1050,Location[],3,FALSE)</f>
        <v> Arizona</v>
      </c>
      <c r="F1050" t="str">
        <f>VLOOKUP(K1050,Dept[],2,FALSE)</f>
        <v>Media</v>
      </c>
      <c r="G1050" s="11">
        <f t="shared" si="16"/>
        <v>42095</v>
      </c>
      <c r="H1050" t="str">
        <f>VLOOKUP(N1050,Status[],2,FALSE)</f>
        <v>Full-Time</v>
      </c>
      <c r="J1050" s="7">
        <v>1085</v>
      </c>
      <c r="K1050">
        <v>20</v>
      </c>
      <c r="L1050">
        <v>2015</v>
      </c>
      <c r="M1050">
        <v>4</v>
      </c>
      <c r="N1050">
        <v>1</v>
      </c>
    </row>
    <row r="1051" spans="1:14" x14ac:dyDescent="0.25">
      <c r="A1051" t="s">
        <v>3285</v>
      </c>
      <c r="B1051" t="s">
        <v>117</v>
      </c>
      <c r="C1051" t="s">
        <v>1349</v>
      </c>
      <c r="D1051" t="str">
        <f>VLOOKUP(J1051,Location[],2,FALSE)</f>
        <v>Chandler</v>
      </c>
      <c r="E1051" t="str">
        <f>VLOOKUP(J1051,Location[],3,FALSE)</f>
        <v> Arizona</v>
      </c>
      <c r="F1051" t="str">
        <f>VLOOKUP(K1051,Dept[],2,FALSE)</f>
        <v>IT</v>
      </c>
      <c r="G1051" s="11">
        <f t="shared" si="16"/>
        <v>44835</v>
      </c>
      <c r="H1051" t="str">
        <f>VLOOKUP(N1051,Status[],2,FALSE)</f>
        <v>Full-Time</v>
      </c>
      <c r="J1051" s="7">
        <v>1084</v>
      </c>
      <c r="K1051">
        <v>17</v>
      </c>
      <c r="L1051">
        <v>2022</v>
      </c>
      <c r="M1051">
        <v>10</v>
      </c>
      <c r="N1051">
        <v>1</v>
      </c>
    </row>
    <row r="1052" spans="1:14" x14ac:dyDescent="0.25">
      <c r="A1052" t="s">
        <v>3286</v>
      </c>
      <c r="B1052" t="s">
        <v>1184</v>
      </c>
      <c r="C1052" t="s">
        <v>1349</v>
      </c>
      <c r="D1052" t="str">
        <f>VLOOKUP(J1052,Location[],2,FALSE)</f>
        <v>Lexington</v>
      </c>
      <c r="E1052" t="str">
        <f>VLOOKUP(J1052,Location[],3,FALSE)</f>
        <v> Kentucky</v>
      </c>
      <c r="F1052" t="str">
        <f>VLOOKUP(K1052,Dept[],2,FALSE)</f>
        <v>Assessment</v>
      </c>
      <c r="G1052" s="11">
        <f t="shared" si="16"/>
        <v>44682</v>
      </c>
      <c r="H1052" t="str">
        <f>VLOOKUP(N1052,Status[],2,FALSE)</f>
        <v>Part-Time</v>
      </c>
      <c r="J1052" s="7">
        <v>1060</v>
      </c>
      <c r="K1052">
        <v>13</v>
      </c>
      <c r="L1052">
        <v>2022</v>
      </c>
      <c r="M1052">
        <v>5</v>
      </c>
      <c r="N1052">
        <v>0</v>
      </c>
    </row>
    <row r="1053" spans="1:14" x14ac:dyDescent="0.25">
      <c r="A1053" t="s">
        <v>3287</v>
      </c>
      <c r="B1053" t="s">
        <v>253</v>
      </c>
      <c r="C1053" t="s">
        <v>1349</v>
      </c>
      <c r="D1053" t="str">
        <f>VLOOKUP(J1053,Location[],2,FALSE)</f>
        <v>Sacramento</v>
      </c>
      <c r="E1053" t="str">
        <f>VLOOKUP(J1053,Location[],3,FALSE)</f>
        <v> California</v>
      </c>
      <c r="F1053" t="str">
        <f>VLOOKUP(K1053,Dept[],2,FALSE)</f>
        <v>Legal</v>
      </c>
      <c r="G1053" s="11">
        <f t="shared" si="16"/>
        <v>44835</v>
      </c>
      <c r="H1053" t="str">
        <f>VLOOKUP(N1053,Status[],2,FALSE)</f>
        <v>Full-Time</v>
      </c>
      <c r="J1053" s="7">
        <v>1035</v>
      </c>
      <c r="K1053">
        <v>18</v>
      </c>
      <c r="L1053">
        <v>2022</v>
      </c>
      <c r="M1053">
        <v>10</v>
      </c>
      <c r="N1053">
        <v>1</v>
      </c>
    </row>
    <row r="1054" spans="1:14" x14ac:dyDescent="0.25">
      <c r="A1054" t="s">
        <v>3288</v>
      </c>
      <c r="B1054" t="s">
        <v>47</v>
      </c>
      <c r="C1054" t="s">
        <v>1349</v>
      </c>
      <c r="D1054" t="str">
        <f>VLOOKUP(J1054,Location[],2,FALSE)</f>
        <v>Oklahoma City</v>
      </c>
      <c r="E1054" t="str">
        <f>VLOOKUP(J1054,Location[],3,FALSE)</f>
        <v> Oklahoma</v>
      </c>
      <c r="F1054" t="str">
        <f>VLOOKUP(K1054,Dept[],2,FALSE)</f>
        <v>Customer Support</v>
      </c>
      <c r="G1054" s="11">
        <f t="shared" si="16"/>
        <v>44228</v>
      </c>
      <c r="H1054" t="str">
        <f>VLOOKUP(N1054,Status[],2,FALSE)</f>
        <v>Full-Time</v>
      </c>
      <c r="J1054" s="7">
        <v>1027</v>
      </c>
      <c r="K1054">
        <v>14</v>
      </c>
      <c r="L1054">
        <v>2021</v>
      </c>
      <c r="M1054">
        <v>2</v>
      </c>
      <c r="N1054">
        <v>1</v>
      </c>
    </row>
    <row r="1055" spans="1:14" x14ac:dyDescent="0.25">
      <c r="A1055" t="s">
        <v>3289</v>
      </c>
      <c r="B1055" t="s">
        <v>1793</v>
      </c>
      <c r="C1055" t="s">
        <v>1794</v>
      </c>
      <c r="D1055" t="str">
        <f>VLOOKUP(J1055,Location[],2,FALSE)</f>
        <v>Virginia Beach</v>
      </c>
      <c r="E1055" t="str">
        <f>VLOOKUP(J1055,Location[],3,FALSE)</f>
        <v> Virginia</v>
      </c>
      <c r="F1055" t="str">
        <f>VLOOKUP(K1055,Dept[],2,FALSE)</f>
        <v>IT</v>
      </c>
      <c r="G1055" s="11">
        <f t="shared" si="16"/>
        <v>44958</v>
      </c>
      <c r="H1055" t="str">
        <f>VLOOKUP(N1055,Status[],2,FALSE)</f>
        <v>Full-Time</v>
      </c>
      <c r="J1055" s="7">
        <v>1044</v>
      </c>
      <c r="K1055">
        <v>17</v>
      </c>
      <c r="L1055">
        <v>2023</v>
      </c>
      <c r="M1055">
        <v>2</v>
      </c>
      <c r="N1055">
        <v>1</v>
      </c>
    </row>
    <row r="1056" spans="1:14" x14ac:dyDescent="0.25">
      <c r="A1056" t="s">
        <v>3290</v>
      </c>
      <c r="B1056" t="s">
        <v>744</v>
      </c>
      <c r="C1056" t="s">
        <v>745</v>
      </c>
      <c r="D1056" t="str">
        <f>VLOOKUP(J1056,Location[],2,FALSE)</f>
        <v>Durham</v>
      </c>
      <c r="E1056" t="str">
        <f>VLOOKUP(J1056,Location[],3,FALSE)</f>
        <v> North Carolina</v>
      </c>
      <c r="F1056" t="str">
        <f>VLOOKUP(K1056,Dept[],2,FALSE)</f>
        <v>Human Resources</v>
      </c>
      <c r="G1056" s="11">
        <f t="shared" si="16"/>
        <v>44805</v>
      </c>
      <c r="H1056" t="str">
        <f>VLOOKUP(N1056,Status[],2,FALSE)</f>
        <v>Full-Time</v>
      </c>
      <c r="J1056" s="7">
        <v>1077</v>
      </c>
      <c r="K1056">
        <v>16</v>
      </c>
      <c r="L1056">
        <v>2022</v>
      </c>
      <c r="M1056">
        <v>9</v>
      </c>
      <c r="N1056">
        <v>1</v>
      </c>
    </row>
    <row r="1057" spans="1:14" x14ac:dyDescent="0.25">
      <c r="A1057" t="s">
        <v>3291</v>
      </c>
      <c r="B1057" t="s">
        <v>1539</v>
      </c>
      <c r="C1057" t="s">
        <v>1540</v>
      </c>
      <c r="D1057" t="str">
        <f>VLOOKUP(J1057,Location[],2,FALSE)</f>
        <v>Los Angeles</v>
      </c>
      <c r="E1057" t="str">
        <f>VLOOKUP(J1057,Location[],3,FALSE)</f>
        <v> California</v>
      </c>
      <c r="F1057" t="str">
        <f>VLOOKUP(K1057,Dept[],2,FALSE)</f>
        <v>Assessment</v>
      </c>
      <c r="G1057" s="11">
        <f t="shared" si="16"/>
        <v>44593</v>
      </c>
      <c r="H1057" t="str">
        <f>VLOOKUP(N1057,Status[],2,FALSE)</f>
        <v>Full-Time</v>
      </c>
      <c r="J1057" s="7">
        <v>1002</v>
      </c>
      <c r="K1057">
        <v>13</v>
      </c>
      <c r="L1057">
        <v>2022</v>
      </c>
      <c r="M1057">
        <v>2</v>
      </c>
      <c r="N1057">
        <v>1</v>
      </c>
    </row>
    <row r="1058" spans="1:14" x14ac:dyDescent="0.25">
      <c r="A1058" t="s">
        <v>3292</v>
      </c>
      <c r="B1058" t="s">
        <v>1202</v>
      </c>
      <c r="C1058" t="s">
        <v>2056</v>
      </c>
      <c r="D1058" t="str">
        <f>VLOOKUP(J1058,Location[],2,FALSE)</f>
        <v>Jacksonville</v>
      </c>
      <c r="E1058" t="str">
        <f>VLOOKUP(J1058,Location[],3,FALSE)</f>
        <v> Florida</v>
      </c>
      <c r="F1058" t="str">
        <f>VLOOKUP(K1058,Dept[],2,FALSE)</f>
        <v>Media</v>
      </c>
      <c r="G1058" s="11">
        <f t="shared" si="16"/>
        <v>42583</v>
      </c>
      <c r="H1058" t="str">
        <f>VLOOKUP(N1058,Status[],2,FALSE)</f>
        <v>Full-Time</v>
      </c>
      <c r="J1058" s="7">
        <v>1012</v>
      </c>
      <c r="K1058">
        <v>20</v>
      </c>
      <c r="L1058">
        <v>2016</v>
      </c>
      <c r="M1058">
        <v>8</v>
      </c>
      <c r="N1058">
        <v>1</v>
      </c>
    </row>
    <row r="1059" spans="1:14" x14ac:dyDescent="0.25">
      <c r="A1059" t="s">
        <v>3293</v>
      </c>
      <c r="B1059" t="s">
        <v>5</v>
      </c>
      <c r="C1059" t="s">
        <v>1452</v>
      </c>
      <c r="D1059" t="str">
        <f>VLOOKUP(J1059,Location[],2,FALSE)</f>
        <v>Las Vegas</v>
      </c>
      <c r="E1059" t="str">
        <f>VLOOKUP(J1059,Location[],3,FALSE)</f>
        <v> Nevada</v>
      </c>
      <c r="F1059" t="str">
        <f>VLOOKUP(K1059,Dept[],2,FALSE)</f>
        <v>Finance</v>
      </c>
      <c r="G1059" s="11">
        <f t="shared" si="16"/>
        <v>44197</v>
      </c>
      <c r="H1059" t="str">
        <f>VLOOKUP(N1059,Status[],2,FALSE)</f>
        <v>Full-Time</v>
      </c>
      <c r="J1059" s="7">
        <v>1028</v>
      </c>
      <c r="K1059">
        <v>15</v>
      </c>
      <c r="L1059">
        <v>2021</v>
      </c>
      <c r="M1059">
        <v>1</v>
      </c>
      <c r="N1059">
        <v>1</v>
      </c>
    </row>
    <row r="1060" spans="1:14" x14ac:dyDescent="0.25">
      <c r="A1060" t="s">
        <v>3294</v>
      </c>
      <c r="B1060" t="s">
        <v>1387</v>
      </c>
      <c r="C1060" t="s">
        <v>1388</v>
      </c>
      <c r="D1060" t="str">
        <f>VLOOKUP(J1060,Location[],2,FALSE)</f>
        <v>Tampa</v>
      </c>
      <c r="E1060" t="str">
        <f>VLOOKUP(J1060,Location[],3,FALSE)</f>
        <v> Florida</v>
      </c>
      <c r="F1060" t="str">
        <f>VLOOKUP(K1060,Dept[],2,FALSE)</f>
        <v>Legal</v>
      </c>
      <c r="G1060" s="11">
        <f t="shared" si="16"/>
        <v>43800</v>
      </c>
      <c r="H1060" t="str">
        <f>VLOOKUP(N1060,Status[],2,FALSE)</f>
        <v>Full-Time</v>
      </c>
      <c r="J1060" s="7">
        <v>1052</v>
      </c>
      <c r="K1060">
        <v>18</v>
      </c>
      <c r="L1060">
        <v>2019</v>
      </c>
      <c r="M1060">
        <v>12</v>
      </c>
      <c r="N1060">
        <v>1</v>
      </c>
    </row>
    <row r="1061" spans="1:14" x14ac:dyDescent="0.25">
      <c r="A1061" t="s">
        <v>3295</v>
      </c>
      <c r="B1061" t="s">
        <v>565</v>
      </c>
      <c r="C1061" t="s">
        <v>566</v>
      </c>
      <c r="D1061" t="str">
        <f>VLOOKUP(J1061,Location[],2,FALSE)</f>
        <v>New York City</v>
      </c>
      <c r="E1061" t="str">
        <f>VLOOKUP(J1061,Location[],3,FALSE)</f>
        <v> New York</v>
      </c>
      <c r="F1061" t="str">
        <f>VLOOKUP(K1061,Dept[],2,FALSE)</f>
        <v>Human Resources</v>
      </c>
      <c r="G1061" s="11">
        <f t="shared" si="16"/>
        <v>42064</v>
      </c>
      <c r="H1061" t="str">
        <f>VLOOKUP(N1061,Status[],2,FALSE)</f>
        <v>Full-Time</v>
      </c>
      <c r="J1061" s="7">
        <v>1001</v>
      </c>
      <c r="K1061">
        <v>16</v>
      </c>
      <c r="L1061">
        <v>2015</v>
      </c>
      <c r="M1061">
        <v>3</v>
      </c>
      <c r="N1061">
        <v>1</v>
      </c>
    </row>
    <row r="1062" spans="1:14" x14ac:dyDescent="0.25">
      <c r="A1062" t="s">
        <v>3296</v>
      </c>
      <c r="B1062" t="s">
        <v>675</v>
      </c>
      <c r="C1062" t="s">
        <v>566</v>
      </c>
      <c r="D1062" t="str">
        <f>VLOOKUP(J1062,Location[],2,FALSE)</f>
        <v>San Antonio</v>
      </c>
      <c r="E1062" t="str">
        <f>VLOOKUP(J1062,Location[],3,FALSE)</f>
        <v> Texas</v>
      </c>
      <c r="F1062" t="str">
        <f>VLOOKUP(K1062,Dept[],2,FALSE)</f>
        <v>Shipping</v>
      </c>
      <c r="G1062" s="11">
        <f t="shared" si="16"/>
        <v>41395</v>
      </c>
      <c r="H1062" t="str">
        <f>VLOOKUP(N1062,Status[],2,FALSE)</f>
        <v>Full-Time</v>
      </c>
      <c r="J1062" s="7">
        <v>1007</v>
      </c>
      <c r="K1062">
        <v>23</v>
      </c>
      <c r="L1062">
        <v>2013</v>
      </c>
      <c r="M1062">
        <v>5</v>
      </c>
      <c r="N1062">
        <v>1</v>
      </c>
    </row>
    <row r="1063" spans="1:14" x14ac:dyDescent="0.25">
      <c r="A1063" t="s">
        <v>3297</v>
      </c>
      <c r="B1063" t="s">
        <v>97</v>
      </c>
      <c r="C1063" t="s">
        <v>1432</v>
      </c>
      <c r="D1063" t="str">
        <f>VLOOKUP(J1063,Location[],2,FALSE)</f>
        <v>Buffalo</v>
      </c>
      <c r="E1063" t="str">
        <f>VLOOKUP(J1063,Location[],3,FALSE)</f>
        <v> New York</v>
      </c>
      <c r="F1063" t="str">
        <f>VLOOKUP(K1063,Dept[],2,FALSE)</f>
        <v>Assessment</v>
      </c>
      <c r="G1063" s="11">
        <f t="shared" si="16"/>
        <v>41518</v>
      </c>
      <c r="H1063" t="str">
        <f>VLOOKUP(N1063,Status[],2,FALSE)</f>
        <v>Full-Time</v>
      </c>
      <c r="J1063" s="7">
        <v>1081</v>
      </c>
      <c r="K1063">
        <v>13</v>
      </c>
      <c r="L1063">
        <v>2013</v>
      </c>
      <c r="M1063">
        <v>9</v>
      </c>
      <c r="N1063">
        <v>1</v>
      </c>
    </row>
    <row r="1064" spans="1:14" x14ac:dyDescent="0.25">
      <c r="A1064" t="s">
        <v>3298</v>
      </c>
      <c r="B1064" t="s">
        <v>83</v>
      </c>
      <c r="C1064" t="s">
        <v>673</v>
      </c>
      <c r="D1064" t="str">
        <f>VLOOKUP(J1064,Location[],2,FALSE)</f>
        <v>Anaheim</v>
      </c>
      <c r="E1064" t="str">
        <f>VLOOKUP(J1064,Location[],3,FALSE)</f>
        <v> California</v>
      </c>
      <c r="F1064" t="str">
        <f>VLOOKUP(K1064,Dept[],2,FALSE)</f>
        <v>Assessment</v>
      </c>
      <c r="G1064" s="11">
        <f t="shared" si="16"/>
        <v>41000</v>
      </c>
      <c r="H1064" t="str">
        <f>VLOOKUP(N1064,Status[],2,FALSE)</f>
        <v>Full-Time</v>
      </c>
      <c r="J1064" s="7">
        <v>1055</v>
      </c>
      <c r="K1064">
        <v>13</v>
      </c>
      <c r="L1064">
        <v>2012</v>
      </c>
      <c r="M1064">
        <v>4</v>
      </c>
      <c r="N1064">
        <v>1</v>
      </c>
    </row>
    <row r="1065" spans="1:14" x14ac:dyDescent="0.25">
      <c r="A1065" t="s">
        <v>3299</v>
      </c>
      <c r="B1065" t="s">
        <v>7</v>
      </c>
      <c r="C1065" t="s">
        <v>1736</v>
      </c>
      <c r="D1065" t="str">
        <f>VLOOKUP(J1065,Location[],2,FALSE)</f>
        <v>Bakersfield</v>
      </c>
      <c r="E1065" t="str">
        <f>VLOOKUP(J1065,Location[],3,FALSE)</f>
        <v> California</v>
      </c>
      <c r="F1065" t="str">
        <f>VLOOKUP(K1065,Dept[],2,FALSE)</f>
        <v>Customer Support</v>
      </c>
      <c r="G1065" s="11">
        <f t="shared" si="16"/>
        <v>43586</v>
      </c>
      <c r="H1065" t="str">
        <f>VLOOKUP(N1065,Status[],2,FALSE)</f>
        <v>Full-Time</v>
      </c>
      <c r="J1065" s="7">
        <v>1053</v>
      </c>
      <c r="K1065">
        <v>14</v>
      </c>
      <c r="L1065">
        <v>2019</v>
      </c>
      <c r="M1065">
        <v>5</v>
      </c>
      <c r="N1065">
        <v>1</v>
      </c>
    </row>
    <row r="1066" spans="1:14" x14ac:dyDescent="0.25">
      <c r="A1066" t="s">
        <v>3300</v>
      </c>
      <c r="B1066" t="s">
        <v>5</v>
      </c>
      <c r="C1066" t="s">
        <v>815</v>
      </c>
      <c r="D1066" t="str">
        <f>VLOOKUP(J1066,Location[],2,FALSE)</f>
        <v>San Francisco</v>
      </c>
      <c r="E1066" t="str">
        <f>VLOOKUP(J1066,Location[],3,FALSE)</f>
        <v> California</v>
      </c>
      <c r="F1066" t="str">
        <f>VLOOKUP(K1066,Dept[],2,FALSE)</f>
        <v>Marketing</v>
      </c>
      <c r="G1066" s="11">
        <f t="shared" si="16"/>
        <v>44166</v>
      </c>
      <c r="H1066" t="str">
        <f>VLOOKUP(N1066,Status[],2,FALSE)</f>
        <v>Full-Time</v>
      </c>
      <c r="J1066" s="7">
        <v>1013</v>
      </c>
      <c r="K1066">
        <v>19</v>
      </c>
      <c r="L1066">
        <v>2020</v>
      </c>
      <c r="M1066">
        <v>12</v>
      </c>
      <c r="N1066">
        <v>1</v>
      </c>
    </row>
    <row r="1067" spans="1:14" x14ac:dyDescent="0.25">
      <c r="A1067" t="s">
        <v>3301</v>
      </c>
      <c r="B1067" t="s">
        <v>1607</v>
      </c>
      <c r="C1067" t="s">
        <v>2092</v>
      </c>
      <c r="D1067" t="str">
        <f>VLOOKUP(J1067,Location[],2,FALSE)</f>
        <v>New York City</v>
      </c>
      <c r="E1067" t="str">
        <f>VLOOKUP(J1067,Location[],3,FALSE)</f>
        <v> New York</v>
      </c>
      <c r="F1067" t="str">
        <f>VLOOKUP(K1067,Dept[],2,FALSE)</f>
        <v>Customer Support</v>
      </c>
      <c r="G1067" s="11">
        <f t="shared" si="16"/>
        <v>41426</v>
      </c>
      <c r="H1067" t="str">
        <f>VLOOKUP(N1067,Status[],2,FALSE)</f>
        <v>Full-Time</v>
      </c>
      <c r="J1067" s="7">
        <v>1001</v>
      </c>
      <c r="K1067">
        <v>14</v>
      </c>
      <c r="L1067">
        <v>2013</v>
      </c>
      <c r="M1067">
        <v>6</v>
      </c>
      <c r="N1067">
        <v>1</v>
      </c>
    </row>
    <row r="1068" spans="1:14" x14ac:dyDescent="0.25">
      <c r="A1068" t="s">
        <v>3302</v>
      </c>
      <c r="B1068" t="s">
        <v>490</v>
      </c>
      <c r="C1068" t="s">
        <v>491</v>
      </c>
      <c r="D1068" t="str">
        <f>VLOOKUP(J1068,Location[],2,FALSE)</f>
        <v>Houston</v>
      </c>
      <c r="E1068" t="str">
        <f>VLOOKUP(J1068,Location[],3,FALSE)</f>
        <v> Texas</v>
      </c>
      <c r="F1068" t="str">
        <f>VLOOKUP(K1068,Dept[],2,FALSE)</f>
        <v>Customer Support</v>
      </c>
      <c r="G1068" s="11">
        <f t="shared" si="16"/>
        <v>45017</v>
      </c>
      <c r="H1068" t="str">
        <f>VLOOKUP(N1068,Status[],2,FALSE)</f>
        <v>Full-Time</v>
      </c>
      <c r="J1068" s="7">
        <v>1004</v>
      </c>
      <c r="K1068">
        <v>14</v>
      </c>
      <c r="L1068">
        <v>2023</v>
      </c>
      <c r="M1068">
        <v>4</v>
      </c>
      <c r="N1068">
        <v>1</v>
      </c>
    </row>
    <row r="1069" spans="1:14" x14ac:dyDescent="0.25">
      <c r="A1069" t="s">
        <v>3303</v>
      </c>
      <c r="B1069" t="s">
        <v>405</v>
      </c>
      <c r="C1069" t="s">
        <v>491</v>
      </c>
      <c r="D1069" t="str">
        <f>VLOOKUP(J1069,Location[],2,FALSE)</f>
        <v>New York City</v>
      </c>
      <c r="E1069" t="str">
        <f>VLOOKUP(J1069,Location[],3,FALSE)</f>
        <v> New York</v>
      </c>
      <c r="F1069" t="str">
        <f>VLOOKUP(K1069,Dept[],2,FALSE)</f>
        <v>Sales</v>
      </c>
      <c r="G1069" s="11">
        <f t="shared" si="16"/>
        <v>42522</v>
      </c>
      <c r="H1069" t="str">
        <f>VLOOKUP(N1069,Status[],2,FALSE)</f>
        <v>Full-Time</v>
      </c>
      <c r="J1069" s="7">
        <v>1001</v>
      </c>
      <c r="K1069">
        <v>22</v>
      </c>
      <c r="L1069">
        <v>2016</v>
      </c>
      <c r="M1069">
        <v>6</v>
      </c>
      <c r="N1069">
        <v>1</v>
      </c>
    </row>
    <row r="1070" spans="1:14" x14ac:dyDescent="0.25">
      <c r="A1070" t="s">
        <v>3304</v>
      </c>
      <c r="B1070" t="s">
        <v>2038</v>
      </c>
      <c r="C1070" t="s">
        <v>491</v>
      </c>
      <c r="D1070" t="str">
        <f>VLOOKUP(J1070,Location[],2,FALSE)</f>
        <v>Detroit</v>
      </c>
      <c r="E1070" t="str">
        <f>VLOOKUP(J1070,Location[],3,FALSE)</f>
        <v> Michigan</v>
      </c>
      <c r="F1070" t="str">
        <f>VLOOKUP(K1070,Dept[],2,FALSE)</f>
        <v>Sales</v>
      </c>
      <c r="G1070" s="11">
        <f t="shared" si="16"/>
        <v>42401</v>
      </c>
      <c r="H1070" t="str">
        <f>VLOOKUP(N1070,Status[],2,FALSE)</f>
        <v>Full-Time</v>
      </c>
      <c r="J1070" s="7">
        <v>1023</v>
      </c>
      <c r="K1070">
        <v>22</v>
      </c>
      <c r="L1070">
        <v>2016</v>
      </c>
      <c r="M1070">
        <v>2</v>
      </c>
      <c r="N1070">
        <v>1</v>
      </c>
    </row>
    <row r="1071" spans="1:14" x14ac:dyDescent="0.25">
      <c r="A1071" t="s">
        <v>3305</v>
      </c>
      <c r="B1071" t="s">
        <v>75</v>
      </c>
      <c r="C1071" t="s">
        <v>873</v>
      </c>
      <c r="D1071" t="str">
        <f>VLOOKUP(J1071,Location[],2,FALSE)</f>
        <v>New York City</v>
      </c>
      <c r="E1071" t="str">
        <f>VLOOKUP(J1071,Location[],3,FALSE)</f>
        <v> New York</v>
      </c>
      <c r="F1071" t="str">
        <f>VLOOKUP(K1071,Dept[],2,FALSE)</f>
        <v>Marketing</v>
      </c>
      <c r="G1071" s="11">
        <f t="shared" si="16"/>
        <v>41306</v>
      </c>
      <c r="H1071" t="str">
        <f>VLOOKUP(N1071,Status[],2,FALSE)</f>
        <v>Full-Time</v>
      </c>
      <c r="J1071" s="7">
        <v>1001</v>
      </c>
      <c r="K1071">
        <v>19</v>
      </c>
      <c r="L1071">
        <v>2013</v>
      </c>
      <c r="M1071">
        <v>2</v>
      </c>
      <c r="N1071">
        <v>1</v>
      </c>
    </row>
    <row r="1072" spans="1:14" x14ac:dyDescent="0.25">
      <c r="A1072" t="s">
        <v>3306</v>
      </c>
      <c r="B1072" t="s">
        <v>190</v>
      </c>
      <c r="C1072" t="s">
        <v>737</v>
      </c>
      <c r="D1072" t="str">
        <f>VLOOKUP(J1072,Location[],2,FALSE)</f>
        <v>Atlanta</v>
      </c>
      <c r="E1072" t="str">
        <f>VLOOKUP(J1072,Location[],3,FALSE)</f>
        <v> Georgia</v>
      </c>
      <c r="F1072" t="str">
        <f>VLOOKUP(K1072,Dept[],2,FALSE)</f>
        <v>R&amp;D</v>
      </c>
      <c r="G1072" s="11">
        <f t="shared" si="16"/>
        <v>42675</v>
      </c>
      <c r="H1072" t="str">
        <f>VLOOKUP(N1072,Status[],2,FALSE)</f>
        <v>Full-Time</v>
      </c>
      <c r="J1072" s="7">
        <v>1038</v>
      </c>
      <c r="K1072">
        <v>21</v>
      </c>
      <c r="L1072">
        <v>2016</v>
      </c>
      <c r="M1072">
        <v>11</v>
      </c>
      <c r="N1072">
        <v>1</v>
      </c>
    </row>
    <row r="1073" spans="1:14" x14ac:dyDescent="0.25">
      <c r="A1073" t="s">
        <v>3307</v>
      </c>
      <c r="B1073" t="s">
        <v>23</v>
      </c>
      <c r="C1073" t="s">
        <v>741</v>
      </c>
      <c r="D1073" t="str">
        <f>VLOOKUP(J1073,Location[],2,FALSE)</f>
        <v>Phoenix</v>
      </c>
      <c r="E1073" t="str">
        <f>VLOOKUP(J1073,Location[],3,FALSE)</f>
        <v> Arizona</v>
      </c>
      <c r="F1073" t="str">
        <f>VLOOKUP(K1073,Dept[],2,FALSE)</f>
        <v>Accounting</v>
      </c>
      <c r="G1073" s="11">
        <f t="shared" si="16"/>
        <v>42156</v>
      </c>
      <c r="H1073" t="str">
        <f>VLOOKUP(N1073,Status[],2,FALSE)</f>
        <v>Full-Time</v>
      </c>
      <c r="J1073" s="7">
        <v>1005</v>
      </c>
      <c r="K1073">
        <v>11</v>
      </c>
      <c r="L1073">
        <v>2015</v>
      </c>
      <c r="M1073">
        <v>6</v>
      </c>
      <c r="N1073">
        <v>1</v>
      </c>
    </row>
    <row r="1074" spans="1:14" x14ac:dyDescent="0.25">
      <c r="A1074" t="s">
        <v>3308</v>
      </c>
      <c r="B1074" t="s">
        <v>490</v>
      </c>
      <c r="C1074" t="s">
        <v>741</v>
      </c>
      <c r="D1074" t="str">
        <f>VLOOKUP(J1074,Location[],2,FALSE)</f>
        <v>Milwaukee</v>
      </c>
      <c r="E1074" t="str">
        <f>VLOOKUP(J1074,Location[],3,FALSE)</f>
        <v> Wisconsin</v>
      </c>
      <c r="F1074" t="str">
        <f>VLOOKUP(K1074,Dept[],2,FALSE)</f>
        <v>Administration</v>
      </c>
      <c r="G1074" s="11">
        <f t="shared" si="16"/>
        <v>41091</v>
      </c>
      <c r="H1074" t="str">
        <f>VLOOKUP(N1074,Status[],2,FALSE)</f>
        <v>Full-Time</v>
      </c>
      <c r="J1074" s="7">
        <v>1031</v>
      </c>
      <c r="K1074">
        <v>12</v>
      </c>
      <c r="L1074">
        <v>2012</v>
      </c>
      <c r="M1074">
        <v>7</v>
      </c>
      <c r="N1074">
        <v>1</v>
      </c>
    </row>
    <row r="1075" spans="1:14" x14ac:dyDescent="0.25">
      <c r="A1075" t="s">
        <v>3309</v>
      </c>
      <c r="B1075" t="s">
        <v>367</v>
      </c>
      <c r="C1075" t="s">
        <v>741</v>
      </c>
      <c r="D1075" t="str">
        <f>VLOOKUP(J1075,Location[],2,FALSE)</f>
        <v>Los Angeles</v>
      </c>
      <c r="E1075" t="str">
        <f>VLOOKUP(J1075,Location[],3,FALSE)</f>
        <v> California</v>
      </c>
      <c r="F1075" t="str">
        <f>VLOOKUP(K1075,Dept[],2,FALSE)</f>
        <v>IT</v>
      </c>
      <c r="G1075" s="11">
        <f t="shared" si="16"/>
        <v>40756</v>
      </c>
      <c r="H1075" t="str">
        <f>VLOOKUP(N1075,Status[],2,FALSE)</f>
        <v>Full-Time</v>
      </c>
      <c r="J1075" s="7">
        <v>1002</v>
      </c>
      <c r="K1075">
        <v>17</v>
      </c>
      <c r="L1075">
        <v>2011</v>
      </c>
      <c r="M1075">
        <v>8</v>
      </c>
      <c r="N1075">
        <v>1</v>
      </c>
    </row>
    <row r="1076" spans="1:14" x14ac:dyDescent="0.25">
      <c r="A1076" t="s">
        <v>3310</v>
      </c>
      <c r="B1076" t="s">
        <v>307</v>
      </c>
      <c r="C1076" t="s">
        <v>741</v>
      </c>
      <c r="D1076" t="str">
        <f>VLOOKUP(J1076,Location[],2,FALSE)</f>
        <v>Kansas City</v>
      </c>
      <c r="E1076" t="str">
        <f>VLOOKUP(J1076,Location[],3,FALSE)</f>
        <v> Missouri</v>
      </c>
      <c r="F1076" t="str">
        <f>VLOOKUP(K1076,Dept[],2,FALSE)</f>
        <v>Sales</v>
      </c>
      <c r="G1076" s="11">
        <f t="shared" si="16"/>
        <v>41518</v>
      </c>
      <c r="H1076" t="str">
        <f>VLOOKUP(N1076,Status[],2,FALSE)</f>
        <v>Full-Time</v>
      </c>
      <c r="J1076" s="7">
        <v>1037</v>
      </c>
      <c r="K1076">
        <v>22</v>
      </c>
      <c r="L1076">
        <v>2013</v>
      </c>
      <c r="M1076">
        <v>9</v>
      </c>
      <c r="N1076">
        <v>1</v>
      </c>
    </row>
    <row r="1077" spans="1:14" x14ac:dyDescent="0.25">
      <c r="A1077" t="s">
        <v>3311</v>
      </c>
      <c r="B1077" t="s">
        <v>552</v>
      </c>
      <c r="C1077" t="s">
        <v>741</v>
      </c>
      <c r="D1077" t="str">
        <f>VLOOKUP(J1077,Location[],2,FALSE)</f>
        <v>Los Angeles</v>
      </c>
      <c r="E1077" t="str">
        <f>VLOOKUP(J1077,Location[],3,FALSE)</f>
        <v> California</v>
      </c>
      <c r="F1077" t="str">
        <f>VLOOKUP(K1077,Dept[],2,FALSE)</f>
        <v>IT</v>
      </c>
      <c r="G1077" s="11">
        <f t="shared" si="16"/>
        <v>43101</v>
      </c>
      <c r="H1077" t="str">
        <f>VLOOKUP(N1077,Status[],2,FALSE)</f>
        <v>Full-Time</v>
      </c>
      <c r="J1077" s="7">
        <v>1002</v>
      </c>
      <c r="K1077">
        <v>17</v>
      </c>
      <c r="L1077">
        <v>2018</v>
      </c>
      <c r="M1077">
        <v>1</v>
      </c>
      <c r="N1077">
        <v>1</v>
      </c>
    </row>
    <row r="1078" spans="1:14" x14ac:dyDescent="0.25">
      <c r="A1078" t="s">
        <v>3312</v>
      </c>
      <c r="B1078" t="s">
        <v>57</v>
      </c>
      <c r="C1078" t="s">
        <v>741</v>
      </c>
      <c r="D1078" t="str">
        <f>VLOOKUP(J1078,Location[],2,FALSE)</f>
        <v>San Antonio</v>
      </c>
      <c r="E1078" t="str">
        <f>VLOOKUP(J1078,Location[],3,FALSE)</f>
        <v> Texas</v>
      </c>
      <c r="F1078" t="str">
        <f>VLOOKUP(K1078,Dept[],2,FALSE)</f>
        <v>R&amp;D</v>
      </c>
      <c r="G1078" s="11">
        <f t="shared" si="16"/>
        <v>42401</v>
      </c>
      <c r="H1078" t="str">
        <f>VLOOKUP(N1078,Status[],2,FALSE)</f>
        <v>Full-Time</v>
      </c>
      <c r="J1078" s="7">
        <v>1007</v>
      </c>
      <c r="K1078">
        <v>21</v>
      </c>
      <c r="L1078">
        <v>2016</v>
      </c>
      <c r="M1078">
        <v>2</v>
      </c>
      <c r="N1078">
        <v>1</v>
      </c>
    </row>
    <row r="1079" spans="1:14" x14ac:dyDescent="0.25">
      <c r="A1079" t="s">
        <v>3313</v>
      </c>
      <c r="B1079" t="s">
        <v>1123</v>
      </c>
      <c r="C1079" t="s">
        <v>1124</v>
      </c>
      <c r="D1079" t="str">
        <f>VLOOKUP(J1079,Location[],2,FALSE)</f>
        <v>Riverside</v>
      </c>
      <c r="E1079" t="str">
        <f>VLOOKUP(J1079,Location[],3,FALSE)</f>
        <v> California</v>
      </c>
      <c r="F1079" t="str">
        <f>VLOOKUP(K1079,Dept[],2,FALSE)</f>
        <v>Finance</v>
      </c>
      <c r="G1079" s="11">
        <f t="shared" si="16"/>
        <v>43831</v>
      </c>
      <c r="H1079" t="str">
        <f>VLOOKUP(N1079,Status[],2,FALSE)</f>
        <v>Full-Time</v>
      </c>
      <c r="J1079" s="7">
        <v>1058</v>
      </c>
      <c r="K1079">
        <v>15</v>
      </c>
      <c r="L1079">
        <v>2020</v>
      </c>
      <c r="M1079">
        <v>1</v>
      </c>
      <c r="N1079">
        <v>1</v>
      </c>
    </row>
    <row r="1080" spans="1:14" x14ac:dyDescent="0.25">
      <c r="A1080" t="s">
        <v>3314</v>
      </c>
      <c r="B1080" t="s">
        <v>1091</v>
      </c>
      <c r="C1080" t="s">
        <v>1092</v>
      </c>
      <c r="D1080" t="str">
        <f>VLOOKUP(J1080,Location[],2,FALSE)</f>
        <v>Philadelphia</v>
      </c>
      <c r="E1080" t="str">
        <f>VLOOKUP(J1080,Location[],3,FALSE)</f>
        <v> Pennsylvania</v>
      </c>
      <c r="F1080" t="str">
        <f>VLOOKUP(K1080,Dept[],2,FALSE)</f>
        <v>Sales</v>
      </c>
      <c r="G1080" s="11">
        <f t="shared" si="16"/>
        <v>43617</v>
      </c>
      <c r="H1080" t="str">
        <f>VLOOKUP(N1080,Status[],2,FALSE)</f>
        <v>Full-Time</v>
      </c>
      <c r="J1080" s="7">
        <v>1006</v>
      </c>
      <c r="K1080">
        <v>22</v>
      </c>
      <c r="L1080">
        <v>2019</v>
      </c>
      <c r="M1080">
        <v>6</v>
      </c>
      <c r="N1080">
        <v>1</v>
      </c>
    </row>
    <row r="1081" spans="1:14" x14ac:dyDescent="0.25">
      <c r="A1081" t="s">
        <v>3315</v>
      </c>
      <c r="B1081" t="s">
        <v>1100</v>
      </c>
      <c r="C1081" t="s">
        <v>762</v>
      </c>
      <c r="D1081" t="str">
        <f>VLOOKUP(J1081,Location[],2,FALSE)</f>
        <v>New York City</v>
      </c>
      <c r="E1081" t="str">
        <f>VLOOKUP(J1081,Location[],3,FALSE)</f>
        <v> New York</v>
      </c>
      <c r="F1081" t="str">
        <f>VLOOKUP(K1081,Dept[],2,FALSE)</f>
        <v>Finance</v>
      </c>
      <c r="G1081" s="11">
        <f t="shared" si="16"/>
        <v>44378</v>
      </c>
      <c r="H1081" t="str">
        <f>VLOOKUP(N1081,Status[],2,FALSE)</f>
        <v>Full-Time</v>
      </c>
      <c r="J1081" s="7">
        <v>1001</v>
      </c>
      <c r="K1081">
        <v>15</v>
      </c>
      <c r="L1081">
        <v>2021</v>
      </c>
      <c r="M1081">
        <v>7</v>
      </c>
      <c r="N1081">
        <v>1</v>
      </c>
    </row>
    <row r="1082" spans="1:14" x14ac:dyDescent="0.25">
      <c r="A1082" t="s">
        <v>3316</v>
      </c>
      <c r="B1082" t="s">
        <v>239</v>
      </c>
      <c r="C1082" t="s">
        <v>762</v>
      </c>
      <c r="D1082" t="str">
        <f>VLOOKUP(J1082,Location[],2,FALSE)</f>
        <v>Reno</v>
      </c>
      <c r="E1082" t="str">
        <f>VLOOKUP(J1082,Location[],3,FALSE)</f>
        <v> Nevada</v>
      </c>
      <c r="F1082" t="str">
        <f>VLOOKUP(K1082,Dept[],2,FALSE)</f>
        <v>Customer Support</v>
      </c>
      <c r="G1082" s="11">
        <f t="shared" si="16"/>
        <v>40878</v>
      </c>
      <c r="H1082" t="str">
        <f>VLOOKUP(N1082,Status[],2,FALSE)</f>
        <v>Full-Time</v>
      </c>
      <c r="J1082" s="7">
        <v>1086</v>
      </c>
      <c r="K1082">
        <v>14</v>
      </c>
      <c r="L1082">
        <v>2011</v>
      </c>
      <c r="M1082">
        <v>12</v>
      </c>
      <c r="N1082">
        <v>1</v>
      </c>
    </row>
    <row r="1083" spans="1:14" x14ac:dyDescent="0.25">
      <c r="A1083" t="s">
        <v>3317</v>
      </c>
      <c r="B1083" t="s">
        <v>110</v>
      </c>
      <c r="C1083" t="s">
        <v>1971</v>
      </c>
      <c r="D1083" t="str">
        <f>VLOOKUP(J1083,Location[],2,FALSE)</f>
        <v>Chicago</v>
      </c>
      <c r="E1083" t="str">
        <f>VLOOKUP(J1083,Location[],3,FALSE)</f>
        <v> Illinois</v>
      </c>
      <c r="F1083" t="str">
        <f>VLOOKUP(K1083,Dept[],2,FALSE)</f>
        <v>Administration</v>
      </c>
      <c r="G1083" s="11">
        <f t="shared" si="16"/>
        <v>42248</v>
      </c>
      <c r="H1083" t="str">
        <f>VLOOKUP(N1083,Status[],2,FALSE)</f>
        <v>Part-Time</v>
      </c>
      <c r="J1083" s="7">
        <v>1003</v>
      </c>
      <c r="K1083">
        <v>12</v>
      </c>
      <c r="L1083">
        <v>2015</v>
      </c>
      <c r="M1083">
        <v>9</v>
      </c>
      <c r="N1083">
        <v>0</v>
      </c>
    </row>
    <row r="1084" spans="1:14" x14ac:dyDescent="0.25">
      <c r="A1084" t="s">
        <v>3318</v>
      </c>
      <c r="B1084" t="s">
        <v>163</v>
      </c>
      <c r="C1084" t="s">
        <v>1765</v>
      </c>
      <c r="D1084" t="str">
        <f>VLOOKUP(J1084,Location[],2,FALSE)</f>
        <v>Chicago</v>
      </c>
      <c r="E1084" t="str">
        <f>VLOOKUP(J1084,Location[],3,FALSE)</f>
        <v> Illinois</v>
      </c>
      <c r="F1084" t="str">
        <f>VLOOKUP(K1084,Dept[],2,FALSE)</f>
        <v>Assessment</v>
      </c>
      <c r="G1084" s="11">
        <f t="shared" si="16"/>
        <v>44562</v>
      </c>
      <c r="H1084" t="str">
        <f>VLOOKUP(N1084,Status[],2,FALSE)</f>
        <v>Full-Time</v>
      </c>
      <c r="J1084" s="7">
        <v>1003</v>
      </c>
      <c r="K1084">
        <v>13</v>
      </c>
      <c r="L1084">
        <v>2022</v>
      </c>
      <c r="M1084">
        <v>1</v>
      </c>
      <c r="N1084">
        <v>1</v>
      </c>
    </row>
    <row r="1085" spans="1:14" x14ac:dyDescent="0.25">
      <c r="A1085" t="s">
        <v>3319</v>
      </c>
      <c r="B1085" t="s">
        <v>445</v>
      </c>
      <c r="C1085" t="s">
        <v>1928</v>
      </c>
      <c r="D1085" t="str">
        <f>VLOOKUP(J1085,Location[],2,FALSE)</f>
        <v>Sacramento</v>
      </c>
      <c r="E1085" t="str">
        <f>VLOOKUP(J1085,Location[],3,FALSE)</f>
        <v> California</v>
      </c>
      <c r="F1085" t="str">
        <f>VLOOKUP(K1085,Dept[],2,FALSE)</f>
        <v>Finance</v>
      </c>
      <c r="G1085" s="11">
        <f t="shared" si="16"/>
        <v>43282</v>
      </c>
      <c r="H1085" t="str">
        <f>VLOOKUP(N1085,Status[],2,FALSE)</f>
        <v>Part-Time</v>
      </c>
      <c r="J1085" s="7">
        <v>1035</v>
      </c>
      <c r="K1085">
        <v>15</v>
      </c>
      <c r="L1085">
        <v>2018</v>
      </c>
      <c r="M1085">
        <v>7</v>
      </c>
      <c r="N1085">
        <v>0</v>
      </c>
    </row>
    <row r="1086" spans="1:14" x14ac:dyDescent="0.25">
      <c r="A1086" t="s">
        <v>3320</v>
      </c>
      <c r="B1086" t="s">
        <v>19</v>
      </c>
      <c r="C1086" t="s">
        <v>20</v>
      </c>
      <c r="D1086" t="str">
        <f>VLOOKUP(J1086,Location[],2,FALSE)</f>
        <v>San Antonio</v>
      </c>
      <c r="E1086" t="str">
        <f>VLOOKUP(J1086,Location[],3,FALSE)</f>
        <v> Texas</v>
      </c>
      <c r="F1086" t="str">
        <f>VLOOKUP(K1086,Dept[],2,FALSE)</f>
        <v>Accounting</v>
      </c>
      <c r="G1086" s="11">
        <f t="shared" si="16"/>
        <v>44958</v>
      </c>
      <c r="H1086" t="str">
        <f>VLOOKUP(N1086,Status[],2,FALSE)</f>
        <v>Full-Time</v>
      </c>
      <c r="J1086" s="7">
        <v>1007</v>
      </c>
      <c r="K1086">
        <v>11</v>
      </c>
      <c r="L1086">
        <v>2023</v>
      </c>
      <c r="M1086">
        <v>2</v>
      </c>
      <c r="N1086">
        <v>1</v>
      </c>
    </row>
    <row r="1087" spans="1:14" x14ac:dyDescent="0.25">
      <c r="A1087" t="s">
        <v>3321</v>
      </c>
      <c r="B1087" t="s">
        <v>55</v>
      </c>
      <c r="C1087" t="s">
        <v>56</v>
      </c>
      <c r="D1087" t="str">
        <f>VLOOKUP(J1087,Location[],2,FALSE)</f>
        <v>Chicago</v>
      </c>
      <c r="E1087" t="str">
        <f>VLOOKUP(J1087,Location[],3,FALSE)</f>
        <v> Illinois</v>
      </c>
      <c r="F1087" t="str">
        <f>VLOOKUP(K1087,Dept[],2,FALSE)</f>
        <v>Accounting</v>
      </c>
      <c r="G1087" s="11">
        <f t="shared" si="16"/>
        <v>42795</v>
      </c>
      <c r="H1087" t="str">
        <f>VLOOKUP(N1087,Status[],2,FALSE)</f>
        <v>Full-Time</v>
      </c>
      <c r="J1087" s="7">
        <v>1003</v>
      </c>
      <c r="K1087">
        <v>11</v>
      </c>
      <c r="L1087">
        <v>2017</v>
      </c>
      <c r="M1087">
        <v>3</v>
      </c>
      <c r="N1087">
        <v>1</v>
      </c>
    </row>
    <row r="1088" spans="1:14" x14ac:dyDescent="0.25">
      <c r="A1088" t="s">
        <v>3322</v>
      </c>
      <c r="B1088" t="s">
        <v>239</v>
      </c>
      <c r="C1088" t="s">
        <v>56</v>
      </c>
      <c r="D1088" t="str">
        <f>VLOOKUP(J1088,Location[],2,FALSE)</f>
        <v>San Diego</v>
      </c>
      <c r="E1088" t="str">
        <f>VLOOKUP(J1088,Location[],3,FALSE)</f>
        <v> California</v>
      </c>
      <c r="F1088" t="str">
        <f>VLOOKUP(K1088,Dept[],2,FALSE)</f>
        <v>Customer Support</v>
      </c>
      <c r="G1088" s="11">
        <f t="shared" si="16"/>
        <v>40695</v>
      </c>
      <c r="H1088" t="str">
        <f>VLOOKUP(N1088,Status[],2,FALSE)</f>
        <v>Full-Time</v>
      </c>
      <c r="J1088" s="7">
        <v>1008</v>
      </c>
      <c r="K1088">
        <v>14</v>
      </c>
      <c r="L1088">
        <v>2011</v>
      </c>
      <c r="M1088">
        <v>6</v>
      </c>
      <c r="N1088">
        <v>1</v>
      </c>
    </row>
    <row r="1089" spans="1:14" x14ac:dyDescent="0.25">
      <c r="A1089" t="s">
        <v>3323</v>
      </c>
      <c r="B1089" t="s">
        <v>253</v>
      </c>
      <c r="C1089" t="s">
        <v>1261</v>
      </c>
      <c r="D1089" t="str">
        <f>VLOOKUP(J1089,Location[],2,FALSE)</f>
        <v>Raleigh</v>
      </c>
      <c r="E1089" t="str">
        <f>VLOOKUP(J1089,Location[],3,FALSE)</f>
        <v> North Carolina</v>
      </c>
      <c r="F1089" t="str">
        <f>VLOOKUP(K1089,Dept[],2,FALSE)</f>
        <v>Sales</v>
      </c>
      <c r="G1089" s="11">
        <f t="shared" si="16"/>
        <v>40544</v>
      </c>
      <c r="H1089" t="str">
        <f>VLOOKUP(N1089,Status[],2,FALSE)</f>
        <v>Full-Time</v>
      </c>
      <c r="J1089" s="7">
        <v>1041</v>
      </c>
      <c r="K1089">
        <v>22</v>
      </c>
      <c r="L1089">
        <v>2011</v>
      </c>
      <c r="M1089">
        <v>1</v>
      </c>
      <c r="N1089">
        <v>1</v>
      </c>
    </row>
    <row r="1090" spans="1:14" x14ac:dyDescent="0.25">
      <c r="A1090" t="s">
        <v>3324</v>
      </c>
      <c r="B1090" t="s">
        <v>561</v>
      </c>
      <c r="C1090" t="s">
        <v>1261</v>
      </c>
      <c r="D1090" t="str">
        <f>VLOOKUP(J1090,Location[],2,FALSE)</f>
        <v>Cleveland</v>
      </c>
      <c r="E1090" t="str">
        <f>VLOOKUP(J1090,Location[],3,FALSE)</f>
        <v> Ohio</v>
      </c>
      <c r="F1090" t="str">
        <f>VLOOKUP(K1090,Dept[],2,FALSE)</f>
        <v>Marketing</v>
      </c>
      <c r="G1090" s="11">
        <f t="shared" si="16"/>
        <v>44287</v>
      </c>
      <c r="H1090" t="str">
        <f>VLOOKUP(N1090,Status[],2,FALSE)</f>
        <v>Full-Time</v>
      </c>
      <c r="J1090" s="7">
        <v>1051</v>
      </c>
      <c r="K1090">
        <v>19</v>
      </c>
      <c r="L1090">
        <v>2021</v>
      </c>
      <c r="M1090">
        <v>4</v>
      </c>
      <c r="N1090">
        <v>1</v>
      </c>
    </row>
    <row r="1091" spans="1:14" x14ac:dyDescent="0.25">
      <c r="A1091" t="s">
        <v>3325</v>
      </c>
      <c r="B1091" t="s">
        <v>163</v>
      </c>
      <c r="C1091" t="s">
        <v>736</v>
      </c>
      <c r="D1091" t="str">
        <f>VLOOKUP(J1091,Location[],2,FALSE)</f>
        <v>Chicago</v>
      </c>
      <c r="E1091" t="str">
        <f>VLOOKUP(J1091,Location[],3,FALSE)</f>
        <v> Illinois</v>
      </c>
      <c r="F1091" t="str">
        <f>VLOOKUP(K1091,Dept[],2,FALSE)</f>
        <v>Assessment</v>
      </c>
      <c r="G1091" s="11">
        <f t="shared" si="16"/>
        <v>42064</v>
      </c>
      <c r="H1091" t="str">
        <f>VLOOKUP(N1091,Status[],2,FALSE)</f>
        <v>Full-Time</v>
      </c>
      <c r="J1091" s="7">
        <v>1003</v>
      </c>
      <c r="K1091">
        <v>13</v>
      </c>
      <c r="L1091">
        <v>2015</v>
      </c>
      <c r="M1091">
        <v>3</v>
      </c>
      <c r="N1091">
        <v>1</v>
      </c>
    </row>
    <row r="1092" spans="1:14" x14ac:dyDescent="0.25">
      <c r="A1092" t="s">
        <v>2247</v>
      </c>
      <c r="B1092" t="s">
        <v>1184</v>
      </c>
      <c r="C1092" t="s">
        <v>736</v>
      </c>
      <c r="D1092" t="str">
        <f>VLOOKUP(J1092,Location[],2,FALSE)</f>
        <v>Houston</v>
      </c>
      <c r="E1092" t="str">
        <f>VLOOKUP(J1092,Location[],3,FALSE)</f>
        <v> Texas</v>
      </c>
      <c r="F1092" t="str">
        <f>VLOOKUP(K1092,Dept[],2,FALSE)</f>
        <v>Legal</v>
      </c>
      <c r="G1092" s="11">
        <f t="shared" si="16"/>
        <v>41579</v>
      </c>
      <c r="H1092" t="str">
        <f>VLOOKUP(N1092,Status[],2,FALSE)</f>
        <v>Full-Time</v>
      </c>
      <c r="J1092" s="7">
        <v>1004</v>
      </c>
      <c r="K1092">
        <v>18</v>
      </c>
      <c r="L1092">
        <v>2013</v>
      </c>
      <c r="M1092">
        <v>11</v>
      </c>
      <c r="N1092">
        <v>1</v>
      </c>
    </row>
    <row r="1093" spans="1:14" x14ac:dyDescent="0.25">
      <c r="A1093" t="s">
        <v>3326</v>
      </c>
      <c r="B1093" t="s">
        <v>507</v>
      </c>
      <c r="C1093" t="s">
        <v>1775</v>
      </c>
      <c r="D1093" t="str">
        <f>VLOOKUP(J1093,Location[],2,FALSE)</f>
        <v>Pittsburgh</v>
      </c>
      <c r="E1093" t="str">
        <f>VLOOKUP(J1093,Location[],3,FALSE)</f>
        <v> Pennsylvania</v>
      </c>
      <c r="F1093" t="str">
        <f>VLOOKUP(K1093,Dept[],2,FALSE)</f>
        <v>Marketing</v>
      </c>
      <c r="G1093" s="11">
        <f t="shared" ref="G1093:G1156" si="17">DATE(L1093,M1093,1)</f>
        <v>41944</v>
      </c>
      <c r="H1093" t="str">
        <f>VLOOKUP(N1093,Status[],2,FALSE)</f>
        <v>Full-Time</v>
      </c>
      <c r="J1093" s="7">
        <v>1065</v>
      </c>
      <c r="K1093">
        <v>19</v>
      </c>
      <c r="L1093">
        <v>2014</v>
      </c>
      <c r="M1093">
        <v>11</v>
      </c>
      <c r="N1093">
        <v>1</v>
      </c>
    </row>
    <row r="1094" spans="1:14" x14ac:dyDescent="0.25">
      <c r="A1094" t="s">
        <v>3327</v>
      </c>
      <c r="B1094" t="s">
        <v>828</v>
      </c>
      <c r="C1094" t="s">
        <v>1120</v>
      </c>
      <c r="D1094" t="str">
        <f>VLOOKUP(J1094,Location[],2,FALSE)</f>
        <v>Nashville</v>
      </c>
      <c r="E1094" t="str">
        <f>VLOOKUP(J1094,Location[],3,FALSE)</f>
        <v> Tennessee</v>
      </c>
      <c r="F1094" t="str">
        <f>VLOOKUP(K1094,Dept[],2,FALSE)</f>
        <v>Finance</v>
      </c>
      <c r="G1094" s="11">
        <f t="shared" si="17"/>
        <v>44287</v>
      </c>
      <c r="H1094" t="str">
        <f>VLOOKUP(N1094,Status[],2,FALSE)</f>
        <v>Full-Time</v>
      </c>
      <c r="J1094" s="7">
        <v>1024</v>
      </c>
      <c r="K1094">
        <v>15</v>
      </c>
      <c r="L1094">
        <v>2021</v>
      </c>
      <c r="M1094">
        <v>4</v>
      </c>
      <c r="N1094">
        <v>1</v>
      </c>
    </row>
    <row r="1095" spans="1:14" x14ac:dyDescent="0.25">
      <c r="A1095" t="s">
        <v>3328</v>
      </c>
      <c r="B1095" t="s">
        <v>527</v>
      </c>
      <c r="C1095" t="s">
        <v>658</v>
      </c>
      <c r="D1095" t="str">
        <f>VLOOKUP(J1095,Location[],2,FALSE)</f>
        <v>Newark</v>
      </c>
      <c r="E1095" t="str">
        <f>VLOOKUP(J1095,Location[],3,FALSE)</f>
        <v> New Jersey</v>
      </c>
      <c r="F1095" t="str">
        <f>VLOOKUP(K1095,Dept[],2,FALSE)</f>
        <v>Administration</v>
      </c>
      <c r="G1095" s="11">
        <f t="shared" si="17"/>
        <v>44013</v>
      </c>
      <c r="H1095" t="str">
        <f>VLOOKUP(N1095,Status[],2,FALSE)</f>
        <v>Part-Time</v>
      </c>
      <c r="J1095" s="7">
        <v>1070</v>
      </c>
      <c r="K1095">
        <v>12</v>
      </c>
      <c r="L1095">
        <v>2020</v>
      </c>
      <c r="M1095">
        <v>7</v>
      </c>
      <c r="N1095">
        <v>0</v>
      </c>
    </row>
    <row r="1096" spans="1:14" x14ac:dyDescent="0.25">
      <c r="A1096" t="s">
        <v>3329</v>
      </c>
      <c r="B1096" t="s">
        <v>988</v>
      </c>
      <c r="C1096" t="s">
        <v>1863</v>
      </c>
      <c r="D1096" t="str">
        <f>VLOOKUP(J1096,Location[],2,FALSE)</f>
        <v>New York City</v>
      </c>
      <c r="E1096" t="str">
        <f>VLOOKUP(J1096,Location[],3,FALSE)</f>
        <v> New York</v>
      </c>
      <c r="F1096" t="str">
        <f>VLOOKUP(K1096,Dept[],2,FALSE)</f>
        <v>Sales</v>
      </c>
      <c r="G1096" s="11">
        <f t="shared" si="17"/>
        <v>43282</v>
      </c>
      <c r="H1096" t="str">
        <f>VLOOKUP(N1096,Status[],2,FALSE)</f>
        <v>Full-Time</v>
      </c>
      <c r="J1096" s="7">
        <v>1001</v>
      </c>
      <c r="K1096">
        <v>22</v>
      </c>
      <c r="L1096">
        <v>2018</v>
      </c>
      <c r="M1096">
        <v>7</v>
      </c>
      <c r="N1096">
        <v>1</v>
      </c>
    </row>
    <row r="1097" spans="1:14" x14ac:dyDescent="0.25">
      <c r="A1097" t="s">
        <v>3330</v>
      </c>
      <c r="B1097" t="s">
        <v>390</v>
      </c>
      <c r="C1097" t="s">
        <v>391</v>
      </c>
      <c r="D1097" t="str">
        <f>VLOOKUP(J1097,Location[],2,FALSE)</f>
        <v>Phoenix</v>
      </c>
      <c r="E1097" t="str">
        <f>VLOOKUP(J1097,Location[],3,FALSE)</f>
        <v> Arizona</v>
      </c>
      <c r="F1097" t="str">
        <f>VLOOKUP(K1097,Dept[],2,FALSE)</f>
        <v>Assessment</v>
      </c>
      <c r="G1097" s="11">
        <f t="shared" si="17"/>
        <v>42917</v>
      </c>
      <c r="H1097" t="str">
        <f>VLOOKUP(N1097,Status[],2,FALSE)</f>
        <v>Full-Time</v>
      </c>
      <c r="J1097" s="7">
        <v>1005</v>
      </c>
      <c r="K1097">
        <v>13</v>
      </c>
      <c r="L1097">
        <v>2017</v>
      </c>
      <c r="M1097">
        <v>7</v>
      </c>
      <c r="N1097">
        <v>1</v>
      </c>
    </row>
    <row r="1098" spans="1:14" x14ac:dyDescent="0.25">
      <c r="A1098" t="s">
        <v>3331</v>
      </c>
      <c r="B1098" t="s">
        <v>1860</v>
      </c>
      <c r="C1098" t="s">
        <v>1861</v>
      </c>
      <c r="D1098" t="str">
        <f>VLOOKUP(J1098,Location[],2,FALSE)</f>
        <v>Kansas City</v>
      </c>
      <c r="E1098" t="str">
        <f>VLOOKUP(J1098,Location[],3,FALSE)</f>
        <v> Missouri</v>
      </c>
      <c r="F1098" t="str">
        <f>VLOOKUP(K1098,Dept[],2,FALSE)</f>
        <v>Customer Support</v>
      </c>
      <c r="G1098" s="11">
        <f t="shared" si="17"/>
        <v>43282</v>
      </c>
      <c r="H1098" t="str">
        <f>VLOOKUP(N1098,Status[],2,FALSE)</f>
        <v>Part-Time</v>
      </c>
      <c r="J1098" s="7">
        <v>1037</v>
      </c>
      <c r="K1098">
        <v>14</v>
      </c>
      <c r="L1098">
        <v>2018</v>
      </c>
      <c r="M1098">
        <v>7</v>
      </c>
      <c r="N1098">
        <v>0</v>
      </c>
    </row>
    <row r="1099" spans="1:14" x14ac:dyDescent="0.25">
      <c r="A1099" t="s">
        <v>3332</v>
      </c>
      <c r="B1099" t="s">
        <v>244</v>
      </c>
      <c r="C1099" t="s">
        <v>749</v>
      </c>
      <c r="D1099" t="str">
        <f>VLOOKUP(J1099,Location[],2,FALSE)</f>
        <v>Charlotte</v>
      </c>
      <c r="E1099" t="str">
        <f>VLOOKUP(J1099,Location[],3,FALSE)</f>
        <v> North Carolina</v>
      </c>
      <c r="F1099" t="str">
        <f>VLOOKUP(K1099,Dept[],2,FALSE)</f>
        <v>Accounting</v>
      </c>
      <c r="G1099" s="11">
        <f t="shared" si="17"/>
        <v>41821</v>
      </c>
      <c r="H1099" t="str">
        <f>VLOOKUP(N1099,Status[],2,FALSE)</f>
        <v>Full-Time</v>
      </c>
      <c r="J1099" s="7">
        <v>1017</v>
      </c>
      <c r="K1099">
        <v>11</v>
      </c>
      <c r="L1099">
        <v>2014</v>
      </c>
      <c r="M1099">
        <v>7</v>
      </c>
      <c r="N1099">
        <v>1</v>
      </c>
    </row>
    <row r="1100" spans="1:14" x14ac:dyDescent="0.25">
      <c r="A1100" t="s">
        <v>3333</v>
      </c>
      <c r="B1100" t="s">
        <v>59</v>
      </c>
      <c r="C1100" t="s">
        <v>60</v>
      </c>
      <c r="D1100" t="str">
        <f>VLOOKUP(J1100,Location[],2,FALSE)</f>
        <v>Long Beach</v>
      </c>
      <c r="E1100" t="str">
        <f>VLOOKUP(J1100,Location[],3,FALSE)</f>
        <v> California</v>
      </c>
      <c r="F1100" t="str">
        <f>VLOOKUP(K1100,Dept[],2,FALSE)</f>
        <v>Customer Support</v>
      </c>
      <c r="G1100" s="11">
        <f t="shared" si="17"/>
        <v>43739</v>
      </c>
      <c r="H1100" t="str">
        <f>VLOOKUP(N1100,Status[],2,FALSE)</f>
        <v>Part-Time</v>
      </c>
      <c r="J1100" s="7">
        <v>1039</v>
      </c>
      <c r="K1100">
        <v>14</v>
      </c>
      <c r="L1100">
        <v>2019</v>
      </c>
      <c r="M1100">
        <v>10</v>
      </c>
      <c r="N1100">
        <v>0</v>
      </c>
    </row>
    <row r="1101" spans="1:14" x14ac:dyDescent="0.25">
      <c r="A1101" t="s">
        <v>3334</v>
      </c>
      <c r="B1101" t="s">
        <v>471</v>
      </c>
      <c r="C1101" t="s">
        <v>1243</v>
      </c>
      <c r="D1101" t="str">
        <f>VLOOKUP(J1101,Location[],2,FALSE)</f>
        <v>Phoenix</v>
      </c>
      <c r="E1101" t="str">
        <f>VLOOKUP(J1101,Location[],3,FALSE)</f>
        <v> Arizona</v>
      </c>
      <c r="F1101" t="str">
        <f>VLOOKUP(K1101,Dept[],2,FALSE)</f>
        <v>Accounting</v>
      </c>
      <c r="G1101" s="11">
        <f t="shared" si="17"/>
        <v>44256</v>
      </c>
      <c r="H1101" t="str">
        <f>VLOOKUP(N1101,Status[],2,FALSE)</f>
        <v>Part-Time</v>
      </c>
      <c r="J1101" s="7">
        <v>1005</v>
      </c>
      <c r="K1101">
        <v>11</v>
      </c>
      <c r="L1101">
        <v>2021</v>
      </c>
      <c r="M1101">
        <v>3</v>
      </c>
      <c r="N1101">
        <v>0</v>
      </c>
    </row>
    <row r="1102" spans="1:14" x14ac:dyDescent="0.25">
      <c r="A1102" t="s">
        <v>3335</v>
      </c>
      <c r="B1102" t="s">
        <v>802</v>
      </c>
      <c r="C1102" t="s">
        <v>1704</v>
      </c>
      <c r="D1102" t="str">
        <f>VLOOKUP(J1102,Location[],2,FALSE)</f>
        <v>Denver</v>
      </c>
      <c r="E1102" t="str">
        <f>VLOOKUP(J1102,Location[],3,FALSE)</f>
        <v> Colorado</v>
      </c>
      <c r="F1102" t="str">
        <f>VLOOKUP(K1102,Dept[],2,FALSE)</f>
        <v>Customer Support</v>
      </c>
      <c r="G1102" s="11">
        <f t="shared" si="17"/>
        <v>44166</v>
      </c>
      <c r="H1102" t="str">
        <f>VLOOKUP(N1102,Status[],2,FALSE)</f>
        <v>Full-Time</v>
      </c>
      <c r="J1102" s="7">
        <v>1019</v>
      </c>
      <c r="K1102">
        <v>14</v>
      </c>
      <c r="L1102">
        <v>2020</v>
      </c>
      <c r="M1102">
        <v>12</v>
      </c>
      <c r="N1102">
        <v>1</v>
      </c>
    </row>
    <row r="1103" spans="1:14" x14ac:dyDescent="0.25">
      <c r="A1103" t="s">
        <v>3336</v>
      </c>
      <c r="B1103" t="s">
        <v>753</v>
      </c>
      <c r="C1103" t="s">
        <v>754</v>
      </c>
      <c r="D1103" t="str">
        <f>VLOOKUP(J1103,Location[],2,FALSE)</f>
        <v>Laredo</v>
      </c>
      <c r="E1103" t="str">
        <f>VLOOKUP(J1103,Location[],3,FALSE)</f>
        <v> Texas</v>
      </c>
      <c r="F1103" t="str">
        <f>VLOOKUP(K1103,Dept[],2,FALSE)</f>
        <v>R&amp;D</v>
      </c>
      <c r="G1103" s="11">
        <f t="shared" si="17"/>
        <v>41640</v>
      </c>
      <c r="H1103" t="str">
        <f>VLOOKUP(N1103,Status[],2,FALSE)</f>
        <v>Full-Time</v>
      </c>
      <c r="J1103" s="7">
        <v>1080</v>
      </c>
      <c r="K1103">
        <v>21</v>
      </c>
      <c r="L1103">
        <v>2014</v>
      </c>
      <c r="M1103">
        <v>1</v>
      </c>
      <c r="N1103">
        <v>1</v>
      </c>
    </row>
    <row r="1104" spans="1:14" x14ac:dyDescent="0.25">
      <c r="A1104" t="s">
        <v>3337</v>
      </c>
      <c r="B1104" t="s">
        <v>823</v>
      </c>
      <c r="C1104" t="s">
        <v>824</v>
      </c>
      <c r="D1104" t="str">
        <f>VLOOKUP(J1104,Location[],2,FALSE)</f>
        <v>Washington, D.C.</v>
      </c>
      <c r="E1104" t="str">
        <f>VLOOKUP(J1104,Location[],3,FALSE)</f>
        <v> District of Columbia</v>
      </c>
      <c r="F1104" t="str">
        <f>VLOOKUP(K1104,Dept[],2,FALSE)</f>
        <v>Media</v>
      </c>
      <c r="G1104" s="11">
        <f t="shared" si="17"/>
        <v>41426</v>
      </c>
      <c r="H1104" t="str">
        <f>VLOOKUP(N1104,Status[],2,FALSE)</f>
        <v>Full-Time</v>
      </c>
      <c r="J1104" s="7">
        <v>1020</v>
      </c>
      <c r="K1104">
        <v>20</v>
      </c>
      <c r="L1104">
        <v>2013</v>
      </c>
      <c r="M1104">
        <v>6</v>
      </c>
      <c r="N1104">
        <v>1</v>
      </c>
    </row>
    <row r="1105" spans="1:14" x14ac:dyDescent="0.25">
      <c r="A1105" t="s">
        <v>3338</v>
      </c>
      <c r="B1105" t="s">
        <v>561</v>
      </c>
      <c r="C1105" t="s">
        <v>1992</v>
      </c>
      <c r="D1105" t="str">
        <f>VLOOKUP(J1105,Location[],2,FALSE)</f>
        <v>Tampa</v>
      </c>
      <c r="E1105" t="str">
        <f>VLOOKUP(J1105,Location[],3,FALSE)</f>
        <v> Florida</v>
      </c>
      <c r="F1105" t="str">
        <f>VLOOKUP(K1105,Dept[],2,FALSE)</f>
        <v>Sales</v>
      </c>
      <c r="G1105" s="11">
        <f t="shared" si="17"/>
        <v>42491</v>
      </c>
      <c r="H1105" t="str">
        <f>VLOOKUP(N1105,Status[],2,FALSE)</f>
        <v>Full-Time</v>
      </c>
      <c r="J1105" s="7">
        <v>1052</v>
      </c>
      <c r="K1105">
        <v>22</v>
      </c>
      <c r="L1105">
        <v>2016</v>
      </c>
      <c r="M1105">
        <v>5</v>
      </c>
      <c r="N1105">
        <v>1</v>
      </c>
    </row>
    <row r="1106" spans="1:14" x14ac:dyDescent="0.25">
      <c r="A1106" t="s">
        <v>3339</v>
      </c>
      <c r="B1106" t="s">
        <v>800</v>
      </c>
      <c r="C1106" t="s">
        <v>801</v>
      </c>
      <c r="D1106" t="str">
        <f>VLOOKUP(J1106,Location[],2,FALSE)</f>
        <v>San Francisco</v>
      </c>
      <c r="E1106" t="str">
        <f>VLOOKUP(J1106,Location[],3,FALSE)</f>
        <v> California</v>
      </c>
      <c r="F1106" t="str">
        <f>VLOOKUP(K1106,Dept[],2,FALSE)</f>
        <v>Legal</v>
      </c>
      <c r="G1106" s="11">
        <f t="shared" si="17"/>
        <v>42036</v>
      </c>
      <c r="H1106" t="str">
        <f>VLOOKUP(N1106,Status[],2,FALSE)</f>
        <v>Full-Time</v>
      </c>
      <c r="J1106" s="7">
        <v>1013</v>
      </c>
      <c r="K1106">
        <v>18</v>
      </c>
      <c r="L1106">
        <v>2015</v>
      </c>
      <c r="M1106">
        <v>2</v>
      </c>
      <c r="N1106">
        <v>1</v>
      </c>
    </row>
    <row r="1107" spans="1:14" x14ac:dyDescent="0.25">
      <c r="A1107" t="s">
        <v>3340</v>
      </c>
      <c r="B1107" t="s">
        <v>988</v>
      </c>
      <c r="C1107" t="s">
        <v>2013</v>
      </c>
      <c r="D1107" t="str">
        <f>VLOOKUP(J1107,Location[],2,FALSE)</f>
        <v>Jersey City</v>
      </c>
      <c r="E1107" t="str">
        <f>VLOOKUP(J1107,Location[],3,FALSE)</f>
        <v> New Jersey</v>
      </c>
      <c r="F1107" t="str">
        <f>VLOOKUP(K1107,Dept[],2,FALSE)</f>
        <v>Customer Support</v>
      </c>
      <c r="G1107" s="11">
        <f t="shared" si="17"/>
        <v>44166</v>
      </c>
      <c r="H1107" t="str">
        <f>VLOOKUP(N1107,Status[],2,FALSE)</f>
        <v>Full-Time</v>
      </c>
      <c r="J1107" s="7">
        <v>1075</v>
      </c>
      <c r="K1107">
        <v>14</v>
      </c>
      <c r="L1107">
        <v>2020</v>
      </c>
      <c r="M1107">
        <v>12</v>
      </c>
      <c r="N1107">
        <v>1</v>
      </c>
    </row>
    <row r="1108" spans="1:14" x14ac:dyDescent="0.25">
      <c r="A1108" t="s">
        <v>3341</v>
      </c>
      <c r="B1108" t="s">
        <v>292</v>
      </c>
      <c r="C1108" t="s">
        <v>682</v>
      </c>
      <c r="D1108" t="str">
        <f>VLOOKUP(J1108,Location[],2,FALSE)</f>
        <v>Philadelphia</v>
      </c>
      <c r="E1108" t="str">
        <f>VLOOKUP(J1108,Location[],3,FALSE)</f>
        <v> Pennsylvania</v>
      </c>
      <c r="F1108" t="str">
        <f>VLOOKUP(K1108,Dept[],2,FALSE)</f>
        <v>Customer Support</v>
      </c>
      <c r="G1108" s="11">
        <f t="shared" si="17"/>
        <v>41030</v>
      </c>
      <c r="H1108" t="str">
        <f>VLOOKUP(N1108,Status[],2,FALSE)</f>
        <v>Part-Time</v>
      </c>
      <c r="J1108" s="7">
        <v>1006</v>
      </c>
      <c r="K1108">
        <v>14</v>
      </c>
      <c r="L1108">
        <v>2012</v>
      </c>
      <c r="M1108">
        <v>5</v>
      </c>
      <c r="N1108">
        <v>0</v>
      </c>
    </row>
    <row r="1109" spans="1:14" x14ac:dyDescent="0.25">
      <c r="A1109" t="s">
        <v>3342</v>
      </c>
      <c r="B1109" t="s">
        <v>1503</v>
      </c>
      <c r="C1109" t="s">
        <v>1504</v>
      </c>
      <c r="D1109" t="str">
        <f>VLOOKUP(J1109,Location[],2,FALSE)</f>
        <v>San Diego</v>
      </c>
      <c r="E1109" t="str">
        <f>VLOOKUP(J1109,Location[],3,FALSE)</f>
        <v> California</v>
      </c>
      <c r="F1109" t="str">
        <f>VLOOKUP(K1109,Dept[],2,FALSE)</f>
        <v>Administration</v>
      </c>
      <c r="G1109" s="11">
        <f t="shared" si="17"/>
        <v>41821</v>
      </c>
      <c r="H1109" t="str">
        <f>VLOOKUP(N1109,Status[],2,FALSE)</f>
        <v>Full-Time</v>
      </c>
      <c r="J1109" s="7">
        <v>1008</v>
      </c>
      <c r="K1109">
        <v>12</v>
      </c>
      <c r="L1109">
        <v>2014</v>
      </c>
      <c r="M1109">
        <v>7</v>
      </c>
      <c r="N1109">
        <v>1</v>
      </c>
    </row>
    <row r="1110" spans="1:14" x14ac:dyDescent="0.25">
      <c r="A1110" t="s">
        <v>3343</v>
      </c>
      <c r="B1110" t="s">
        <v>148</v>
      </c>
      <c r="C1110" t="s">
        <v>1325</v>
      </c>
      <c r="D1110" t="str">
        <f>VLOOKUP(J1110,Location[],2,FALSE)</f>
        <v>Scottsdale</v>
      </c>
      <c r="E1110" t="str">
        <f>VLOOKUP(J1110,Location[],3,FALSE)</f>
        <v> Arizona</v>
      </c>
      <c r="F1110" t="str">
        <f>VLOOKUP(K1110,Dept[],2,FALSE)</f>
        <v>Legal</v>
      </c>
      <c r="G1110" s="11">
        <f t="shared" si="17"/>
        <v>41671</v>
      </c>
      <c r="H1110" t="str">
        <f>VLOOKUP(N1110,Status[],2,FALSE)</f>
        <v>Full-Time</v>
      </c>
      <c r="J1110" s="7">
        <v>1085</v>
      </c>
      <c r="K1110">
        <v>18</v>
      </c>
      <c r="L1110">
        <v>2014</v>
      </c>
      <c r="M1110">
        <v>2</v>
      </c>
      <c r="N1110">
        <v>1</v>
      </c>
    </row>
    <row r="1111" spans="1:14" x14ac:dyDescent="0.25">
      <c r="A1111" t="s">
        <v>3344</v>
      </c>
      <c r="B1111" t="s">
        <v>328</v>
      </c>
      <c r="C1111" t="s">
        <v>329</v>
      </c>
      <c r="D1111" t="str">
        <f>VLOOKUP(J1111,Location[],2,FALSE)</f>
        <v>St. Petersburg</v>
      </c>
      <c r="E1111" t="str">
        <f>VLOOKUP(J1111,Location[],3,FALSE)</f>
        <v> Florida</v>
      </c>
      <c r="F1111" t="str">
        <f>VLOOKUP(K1111,Dept[],2,FALSE)</f>
        <v>Sales</v>
      </c>
      <c r="G1111" s="11">
        <f t="shared" si="17"/>
        <v>42795</v>
      </c>
      <c r="H1111" t="str">
        <f>VLOOKUP(N1111,Status[],2,FALSE)</f>
        <v>Full-Time</v>
      </c>
      <c r="J1111" s="7">
        <v>1079</v>
      </c>
      <c r="K1111">
        <v>22</v>
      </c>
      <c r="L1111">
        <v>2017</v>
      </c>
      <c r="M1111">
        <v>3</v>
      </c>
      <c r="N1111">
        <v>1</v>
      </c>
    </row>
    <row r="1112" spans="1:14" x14ac:dyDescent="0.25">
      <c r="A1112" t="s">
        <v>3345</v>
      </c>
      <c r="B1112" t="s">
        <v>1466</v>
      </c>
      <c r="C1112" t="s">
        <v>329</v>
      </c>
      <c r="D1112" t="str">
        <f>VLOOKUP(J1112,Location[],2,FALSE)</f>
        <v>Washington, D.C.</v>
      </c>
      <c r="E1112" t="str">
        <f>VLOOKUP(J1112,Location[],3,FALSE)</f>
        <v> District of Columbia</v>
      </c>
      <c r="F1112" t="str">
        <f>VLOOKUP(K1112,Dept[],2,FALSE)</f>
        <v>Finance</v>
      </c>
      <c r="G1112" s="11">
        <f t="shared" si="17"/>
        <v>42156</v>
      </c>
      <c r="H1112" t="str">
        <f>VLOOKUP(N1112,Status[],2,FALSE)</f>
        <v>Full-Time</v>
      </c>
      <c r="J1112" s="7">
        <v>1020</v>
      </c>
      <c r="K1112">
        <v>15</v>
      </c>
      <c r="L1112">
        <v>2015</v>
      </c>
      <c r="M1112">
        <v>6</v>
      </c>
      <c r="N1112">
        <v>1</v>
      </c>
    </row>
    <row r="1113" spans="1:14" x14ac:dyDescent="0.25">
      <c r="A1113" t="s">
        <v>3346</v>
      </c>
      <c r="B1113" t="s">
        <v>308</v>
      </c>
      <c r="C1113" t="s">
        <v>1623</v>
      </c>
      <c r="D1113" t="str">
        <f>VLOOKUP(J1113,Location[],2,FALSE)</f>
        <v>Tampa</v>
      </c>
      <c r="E1113" t="str">
        <f>VLOOKUP(J1113,Location[],3,FALSE)</f>
        <v> Florida</v>
      </c>
      <c r="F1113" t="str">
        <f>VLOOKUP(K1113,Dept[],2,FALSE)</f>
        <v>Administration</v>
      </c>
      <c r="G1113" s="11">
        <f t="shared" si="17"/>
        <v>42036</v>
      </c>
      <c r="H1113" t="str">
        <f>VLOOKUP(N1113,Status[],2,FALSE)</f>
        <v>Full-Time</v>
      </c>
      <c r="J1113" s="7">
        <v>1052</v>
      </c>
      <c r="K1113">
        <v>12</v>
      </c>
      <c r="L1113">
        <v>2015</v>
      </c>
      <c r="M1113">
        <v>2</v>
      </c>
      <c r="N1113">
        <v>1</v>
      </c>
    </row>
    <row r="1114" spans="1:14" x14ac:dyDescent="0.25">
      <c r="A1114" t="s">
        <v>3347</v>
      </c>
      <c r="B1114" t="s">
        <v>418</v>
      </c>
      <c r="C1114" t="s">
        <v>1264</v>
      </c>
      <c r="D1114" t="str">
        <f>VLOOKUP(J1114,Location[],2,FALSE)</f>
        <v>Oakland</v>
      </c>
      <c r="E1114" t="str">
        <f>VLOOKUP(J1114,Location[],3,FALSE)</f>
        <v> California</v>
      </c>
      <c r="F1114" t="str">
        <f>VLOOKUP(K1114,Dept[],2,FALSE)</f>
        <v>Administration</v>
      </c>
      <c r="G1114" s="11">
        <f t="shared" si="17"/>
        <v>40909</v>
      </c>
      <c r="H1114" t="str">
        <f>VLOOKUP(N1114,Status[],2,FALSE)</f>
        <v>Part-Time</v>
      </c>
      <c r="J1114" s="7">
        <v>1045</v>
      </c>
      <c r="K1114">
        <v>12</v>
      </c>
      <c r="L1114">
        <v>2012</v>
      </c>
      <c r="M1114">
        <v>1</v>
      </c>
      <c r="N1114">
        <v>0</v>
      </c>
    </row>
    <row r="1115" spans="1:14" x14ac:dyDescent="0.25">
      <c r="A1115" t="s">
        <v>3348</v>
      </c>
      <c r="B1115" t="s">
        <v>836</v>
      </c>
      <c r="C1115" t="s">
        <v>837</v>
      </c>
      <c r="D1115" t="str">
        <f>VLOOKUP(J1115,Location[],2,FALSE)</f>
        <v>Oklahoma City</v>
      </c>
      <c r="E1115" t="str">
        <f>VLOOKUP(J1115,Location[],3,FALSE)</f>
        <v> Oklahoma</v>
      </c>
      <c r="F1115" t="str">
        <f>VLOOKUP(K1115,Dept[],2,FALSE)</f>
        <v>Assessment</v>
      </c>
      <c r="G1115" s="11">
        <f t="shared" si="17"/>
        <v>41883</v>
      </c>
      <c r="H1115" t="str">
        <f>VLOOKUP(N1115,Status[],2,FALSE)</f>
        <v>Full-Time</v>
      </c>
      <c r="J1115" s="7">
        <v>1027</v>
      </c>
      <c r="K1115">
        <v>13</v>
      </c>
      <c r="L1115">
        <v>2014</v>
      </c>
      <c r="M1115">
        <v>9</v>
      </c>
      <c r="N1115">
        <v>1</v>
      </c>
    </row>
    <row r="1116" spans="1:14" x14ac:dyDescent="0.25">
      <c r="A1116" t="s">
        <v>3349</v>
      </c>
      <c r="B1116" t="s">
        <v>363</v>
      </c>
      <c r="C1116" t="s">
        <v>614</v>
      </c>
      <c r="D1116" t="str">
        <f>VLOOKUP(J1116,Location[],2,FALSE)</f>
        <v>Corpus Christi</v>
      </c>
      <c r="E1116" t="str">
        <f>VLOOKUP(J1116,Location[],3,FALSE)</f>
        <v> Texas</v>
      </c>
      <c r="F1116" t="str">
        <f>VLOOKUP(K1116,Dept[],2,FALSE)</f>
        <v>Sales</v>
      </c>
      <c r="G1116" s="11">
        <f t="shared" si="17"/>
        <v>42948</v>
      </c>
      <c r="H1116" t="str">
        <f>VLOOKUP(N1116,Status[],2,FALSE)</f>
        <v>Full-Time</v>
      </c>
      <c r="J1116" s="7">
        <v>1059</v>
      </c>
      <c r="K1116">
        <v>22</v>
      </c>
      <c r="L1116">
        <v>2017</v>
      </c>
      <c r="M1116">
        <v>8</v>
      </c>
      <c r="N1116">
        <v>1</v>
      </c>
    </row>
    <row r="1117" spans="1:14" x14ac:dyDescent="0.25">
      <c r="A1117" t="s">
        <v>3350</v>
      </c>
      <c r="B1117" t="s">
        <v>1202</v>
      </c>
      <c r="C1117" t="s">
        <v>614</v>
      </c>
      <c r="D1117" t="str">
        <f>VLOOKUP(J1117,Location[],2,FALSE)</f>
        <v>Los Angeles</v>
      </c>
      <c r="E1117" t="str">
        <f>VLOOKUP(J1117,Location[],3,FALSE)</f>
        <v> California</v>
      </c>
      <c r="F1117" t="str">
        <f>VLOOKUP(K1117,Dept[],2,FALSE)</f>
        <v>Sales</v>
      </c>
      <c r="G1117" s="11">
        <f t="shared" si="17"/>
        <v>44348</v>
      </c>
      <c r="H1117" t="str">
        <f>VLOOKUP(N1117,Status[],2,FALSE)</f>
        <v>Full-Time</v>
      </c>
      <c r="J1117" s="7">
        <v>1002</v>
      </c>
      <c r="K1117">
        <v>22</v>
      </c>
      <c r="L1117">
        <v>2021</v>
      </c>
      <c r="M1117">
        <v>6</v>
      </c>
      <c r="N1117">
        <v>1</v>
      </c>
    </row>
    <row r="1118" spans="1:14" x14ac:dyDescent="0.25">
      <c r="A1118" t="s">
        <v>3351</v>
      </c>
      <c r="B1118" t="s">
        <v>216</v>
      </c>
      <c r="C1118" t="s">
        <v>217</v>
      </c>
      <c r="D1118" t="str">
        <f>VLOOKUP(J1118,Location[],2,FALSE)</f>
        <v>Riverside</v>
      </c>
      <c r="E1118" t="str">
        <f>VLOOKUP(J1118,Location[],3,FALSE)</f>
        <v> California</v>
      </c>
      <c r="F1118" t="str">
        <f>VLOOKUP(K1118,Dept[],2,FALSE)</f>
        <v>Sales</v>
      </c>
      <c r="G1118" s="11">
        <f t="shared" si="17"/>
        <v>44348</v>
      </c>
      <c r="H1118" t="str">
        <f>VLOOKUP(N1118,Status[],2,FALSE)</f>
        <v>Part-Time</v>
      </c>
      <c r="J1118" s="7">
        <v>1058</v>
      </c>
      <c r="K1118">
        <v>22</v>
      </c>
      <c r="L1118">
        <v>2021</v>
      </c>
      <c r="M1118">
        <v>6</v>
      </c>
      <c r="N1118">
        <v>0</v>
      </c>
    </row>
    <row r="1119" spans="1:14" x14ac:dyDescent="0.25">
      <c r="A1119" t="s">
        <v>3352</v>
      </c>
      <c r="B1119" t="s">
        <v>1801</v>
      </c>
      <c r="C1119" t="s">
        <v>1802</v>
      </c>
      <c r="D1119" t="str">
        <f>VLOOKUP(J1119,Location[],2,FALSE)</f>
        <v>Pittsburgh</v>
      </c>
      <c r="E1119" t="str">
        <f>VLOOKUP(J1119,Location[],3,FALSE)</f>
        <v> Pennsylvania</v>
      </c>
      <c r="F1119" t="str">
        <f>VLOOKUP(K1119,Dept[],2,FALSE)</f>
        <v>Accounting</v>
      </c>
      <c r="G1119" s="11">
        <f t="shared" si="17"/>
        <v>41183</v>
      </c>
      <c r="H1119" t="str">
        <f>VLOOKUP(N1119,Status[],2,FALSE)</f>
        <v>Full-Time</v>
      </c>
      <c r="J1119" s="7">
        <v>1065</v>
      </c>
      <c r="K1119">
        <v>11</v>
      </c>
      <c r="L1119">
        <v>2012</v>
      </c>
      <c r="M1119">
        <v>10</v>
      </c>
      <c r="N1119">
        <v>1</v>
      </c>
    </row>
    <row r="1120" spans="1:14" x14ac:dyDescent="0.25">
      <c r="A1120" t="s">
        <v>3353</v>
      </c>
      <c r="B1120" t="s">
        <v>1003</v>
      </c>
      <c r="C1120" t="s">
        <v>1004</v>
      </c>
      <c r="D1120" t="str">
        <f>VLOOKUP(J1120,Location[],2,FALSE)</f>
        <v>Houston</v>
      </c>
      <c r="E1120" t="str">
        <f>VLOOKUP(J1120,Location[],3,FALSE)</f>
        <v> Texas</v>
      </c>
      <c r="F1120" t="str">
        <f>VLOOKUP(K1120,Dept[],2,FALSE)</f>
        <v>Administration</v>
      </c>
      <c r="G1120" s="11">
        <f t="shared" si="17"/>
        <v>43556</v>
      </c>
      <c r="H1120" t="str">
        <f>VLOOKUP(N1120,Status[],2,FALSE)</f>
        <v>Full-Time</v>
      </c>
      <c r="J1120" s="7">
        <v>1004</v>
      </c>
      <c r="K1120">
        <v>12</v>
      </c>
      <c r="L1120">
        <v>2019</v>
      </c>
      <c r="M1120">
        <v>4</v>
      </c>
      <c r="N1120">
        <v>1</v>
      </c>
    </row>
    <row r="1121" spans="1:14" x14ac:dyDescent="0.25">
      <c r="A1121" t="s">
        <v>3354</v>
      </c>
      <c r="B1121" t="s">
        <v>103</v>
      </c>
      <c r="C1121" t="s">
        <v>205</v>
      </c>
      <c r="D1121" t="str">
        <f>VLOOKUP(J1121,Location[],2,FALSE)</f>
        <v>Toledo</v>
      </c>
      <c r="E1121" t="str">
        <f>VLOOKUP(J1121,Location[],3,FALSE)</f>
        <v> Ohio</v>
      </c>
      <c r="F1121" t="str">
        <f>VLOOKUP(K1121,Dept[],2,FALSE)</f>
        <v>Marketing</v>
      </c>
      <c r="G1121" s="11">
        <f t="shared" si="17"/>
        <v>45200</v>
      </c>
      <c r="H1121" t="str">
        <f>VLOOKUP(N1121,Status[],2,FALSE)</f>
        <v>Full-Time</v>
      </c>
      <c r="J1121" s="7">
        <v>1074</v>
      </c>
      <c r="K1121">
        <v>19</v>
      </c>
      <c r="L1121">
        <v>2023</v>
      </c>
      <c r="M1121">
        <v>10</v>
      </c>
      <c r="N1121">
        <v>1</v>
      </c>
    </row>
    <row r="1122" spans="1:14" x14ac:dyDescent="0.25">
      <c r="A1122" t="s">
        <v>3355</v>
      </c>
      <c r="B1122" t="s">
        <v>71</v>
      </c>
      <c r="C1122" t="s">
        <v>1154</v>
      </c>
      <c r="D1122" t="str">
        <f>VLOOKUP(J1122,Location[],2,FALSE)</f>
        <v>Albuquerque</v>
      </c>
      <c r="E1122" t="str">
        <f>VLOOKUP(J1122,Location[],3,FALSE)</f>
        <v> New Mexico</v>
      </c>
      <c r="F1122" t="str">
        <f>VLOOKUP(K1122,Dept[],2,FALSE)</f>
        <v>Human Resources</v>
      </c>
      <c r="G1122" s="11">
        <f t="shared" si="17"/>
        <v>42552</v>
      </c>
      <c r="H1122" t="str">
        <f>VLOOKUP(N1122,Status[],2,FALSE)</f>
        <v>Full-Time</v>
      </c>
      <c r="J1122" s="7">
        <v>1032</v>
      </c>
      <c r="K1122">
        <v>16</v>
      </c>
      <c r="L1122">
        <v>2016</v>
      </c>
      <c r="M1122">
        <v>7</v>
      </c>
      <c r="N1122">
        <v>1</v>
      </c>
    </row>
    <row r="1123" spans="1:14" x14ac:dyDescent="0.25">
      <c r="A1123" t="s">
        <v>3356</v>
      </c>
      <c r="B1123" t="s">
        <v>27</v>
      </c>
      <c r="C1123" t="s">
        <v>1753</v>
      </c>
      <c r="D1123" t="str">
        <f>VLOOKUP(J1123,Location[],2,FALSE)</f>
        <v>Austin</v>
      </c>
      <c r="E1123" t="str">
        <f>VLOOKUP(J1123,Location[],3,FALSE)</f>
        <v> Texas</v>
      </c>
      <c r="F1123" t="str">
        <f>VLOOKUP(K1123,Dept[],2,FALSE)</f>
        <v>Sales</v>
      </c>
      <c r="G1123" s="11">
        <f t="shared" si="17"/>
        <v>41487</v>
      </c>
      <c r="H1123" t="str">
        <f>VLOOKUP(N1123,Status[],2,FALSE)</f>
        <v>Full-Time</v>
      </c>
      <c r="J1123" s="7">
        <v>1011</v>
      </c>
      <c r="K1123">
        <v>22</v>
      </c>
      <c r="L1123">
        <v>2013</v>
      </c>
      <c r="M1123">
        <v>8</v>
      </c>
      <c r="N1123">
        <v>1</v>
      </c>
    </row>
    <row r="1124" spans="1:14" x14ac:dyDescent="0.25">
      <c r="A1124" t="s">
        <v>3357</v>
      </c>
      <c r="B1124" t="s">
        <v>343</v>
      </c>
      <c r="C1124" t="s">
        <v>344</v>
      </c>
      <c r="D1124" t="str">
        <f>VLOOKUP(J1124,Location[],2,FALSE)</f>
        <v>Anaheim</v>
      </c>
      <c r="E1124" t="str">
        <f>VLOOKUP(J1124,Location[],3,FALSE)</f>
        <v> California</v>
      </c>
      <c r="F1124" t="str">
        <f>VLOOKUP(K1124,Dept[],2,FALSE)</f>
        <v>IT</v>
      </c>
      <c r="G1124" s="11">
        <f t="shared" si="17"/>
        <v>41153</v>
      </c>
      <c r="H1124" t="str">
        <f>VLOOKUP(N1124,Status[],2,FALSE)</f>
        <v>Full-Time</v>
      </c>
      <c r="J1124" s="7">
        <v>1055</v>
      </c>
      <c r="K1124">
        <v>17</v>
      </c>
      <c r="L1124">
        <v>2012</v>
      </c>
      <c r="M1124">
        <v>9</v>
      </c>
      <c r="N1124">
        <v>1</v>
      </c>
    </row>
    <row r="1125" spans="1:14" x14ac:dyDescent="0.25">
      <c r="A1125" t="s">
        <v>3358</v>
      </c>
      <c r="B1125" t="s">
        <v>1025</v>
      </c>
      <c r="C1125" t="s">
        <v>1026</v>
      </c>
      <c r="D1125" t="str">
        <f>VLOOKUP(J1125,Location[],2,FALSE)</f>
        <v>Baltimore</v>
      </c>
      <c r="E1125" t="str">
        <f>VLOOKUP(J1125,Location[],3,FALSE)</f>
        <v> Maryland</v>
      </c>
      <c r="F1125" t="str">
        <f>VLOOKUP(K1125,Dept[],2,FALSE)</f>
        <v>Legal</v>
      </c>
      <c r="G1125" s="11">
        <f t="shared" si="17"/>
        <v>43221</v>
      </c>
      <c r="H1125" t="str">
        <f>VLOOKUP(N1125,Status[],2,FALSE)</f>
        <v>Full-Time</v>
      </c>
      <c r="J1125" s="7">
        <v>1030</v>
      </c>
      <c r="K1125">
        <v>18</v>
      </c>
      <c r="L1125">
        <v>2018</v>
      </c>
      <c r="M1125">
        <v>5</v>
      </c>
      <c r="N1125">
        <v>1</v>
      </c>
    </row>
    <row r="1126" spans="1:14" x14ac:dyDescent="0.25">
      <c r="A1126" t="s">
        <v>3359</v>
      </c>
      <c r="B1126" t="s">
        <v>242</v>
      </c>
      <c r="C1126" t="s">
        <v>243</v>
      </c>
      <c r="D1126" t="str">
        <f>VLOOKUP(J1126,Location[],2,FALSE)</f>
        <v>Anchorage</v>
      </c>
      <c r="E1126" t="str">
        <f>VLOOKUP(J1126,Location[],3,FALSE)</f>
        <v> Alaska</v>
      </c>
      <c r="F1126" t="str">
        <f>VLOOKUP(K1126,Dept[],2,FALSE)</f>
        <v>IT</v>
      </c>
      <c r="G1126" s="11">
        <f t="shared" si="17"/>
        <v>43101</v>
      </c>
      <c r="H1126" t="str">
        <f>VLOOKUP(N1126,Status[],2,FALSE)</f>
        <v>Full-Time</v>
      </c>
      <c r="J1126" s="7">
        <v>1067</v>
      </c>
      <c r="K1126">
        <v>17</v>
      </c>
      <c r="L1126">
        <v>2018</v>
      </c>
      <c r="M1126">
        <v>1</v>
      </c>
      <c r="N1126">
        <v>1</v>
      </c>
    </row>
    <row r="1127" spans="1:14" x14ac:dyDescent="0.25">
      <c r="A1127" t="s">
        <v>3360</v>
      </c>
      <c r="B1127" t="s">
        <v>1615</v>
      </c>
      <c r="C1127" t="s">
        <v>573</v>
      </c>
      <c r="D1127" t="str">
        <f>VLOOKUP(J1127,Location[],2,FALSE)</f>
        <v>Albuquerque</v>
      </c>
      <c r="E1127" t="str">
        <f>VLOOKUP(J1127,Location[],3,FALSE)</f>
        <v> New Mexico</v>
      </c>
      <c r="F1127" t="str">
        <f>VLOOKUP(K1127,Dept[],2,FALSE)</f>
        <v>Accounting</v>
      </c>
      <c r="G1127" s="11">
        <f t="shared" si="17"/>
        <v>44805</v>
      </c>
      <c r="H1127" t="str">
        <f>VLOOKUP(N1127,Status[],2,FALSE)</f>
        <v>Part-Time</v>
      </c>
      <c r="J1127" s="7">
        <v>1032</v>
      </c>
      <c r="K1127">
        <v>11</v>
      </c>
      <c r="L1127">
        <v>2022</v>
      </c>
      <c r="M1127">
        <v>9</v>
      </c>
      <c r="N1127">
        <v>0</v>
      </c>
    </row>
    <row r="1128" spans="1:14" x14ac:dyDescent="0.25">
      <c r="A1128" t="s">
        <v>3361</v>
      </c>
      <c r="B1128" t="s">
        <v>757</v>
      </c>
      <c r="C1128" t="s">
        <v>97</v>
      </c>
      <c r="D1128" t="str">
        <f>VLOOKUP(J1128,Location[],2,FALSE)</f>
        <v>Mesa</v>
      </c>
      <c r="E1128" t="str">
        <f>VLOOKUP(J1128,Location[],3,FALSE)</f>
        <v> Arizona</v>
      </c>
      <c r="F1128" t="str">
        <f>VLOOKUP(K1128,Dept[],2,FALSE)</f>
        <v>Customer Support</v>
      </c>
      <c r="G1128" s="11">
        <f t="shared" si="17"/>
        <v>41030</v>
      </c>
      <c r="H1128" t="str">
        <f>VLOOKUP(N1128,Status[],2,FALSE)</f>
        <v>Part-Time</v>
      </c>
      <c r="J1128" s="7">
        <v>1036</v>
      </c>
      <c r="K1128">
        <v>14</v>
      </c>
      <c r="L1128">
        <v>2012</v>
      </c>
      <c r="M1128">
        <v>5</v>
      </c>
      <c r="N1128">
        <v>0</v>
      </c>
    </row>
    <row r="1129" spans="1:14" x14ac:dyDescent="0.25">
      <c r="A1129" t="s">
        <v>3362</v>
      </c>
      <c r="B1129" t="s">
        <v>246</v>
      </c>
      <c r="C1129" t="s">
        <v>97</v>
      </c>
      <c r="D1129" t="str">
        <f>VLOOKUP(J1129,Location[],2,FALSE)</f>
        <v>San Diego</v>
      </c>
      <c r="E1129" t="str">
        <f>VLOOKUP(J1129,Location[],3,FALSE)</f>
        <v> California</v>
      </c>
      <c r="F1129" t="str">
        <f>VLOOKUP(K1129,Dept[],2,FALSE)</f>
        <v>Human Resources</v>
      </c>
      <c r="G1129" s="11">
        <f t="shared" si="17"/>
        <v>42156</v>
      </c>
      <c r="H1129" t="str">
        <f>VLOOKUP(N1129,Status[],2,FALSE)</f>
        <v>Part-Time</v>
      </c>
      <c r="J1129" s="7">
        <v>1008</v>
      </c>
      <c r="K1129">
        <v>16</v>
      </c>
      <c r="L1129">
        <v>2015</v>
      </c>
      <c r="M1129">
        <v>6</v>
      </c>
      <c r="N1129">
        <v>0</v>
      </c>
    </row>
    <row r="1130" spans="1:14" x14ac:dyDescent="0.25">
      <c r="A1130" t="s">
        <v>3363</v>
      </c>
      <c r="B1130" t="s">
        <v>19</v>
      </c>
      <c r="C1130" t="s">
        <v>97</v>
      </c>
      <c r="D1130" t="str">
        <f>VLOOKUP(J1130,Location[],2,FALSE)</f>
        <v>Lincoln</v>
      </c>
      <c r="E1130" t="str">
        <f>VLOOKUP(J1130,Location[],3,FALSE)</f>
        <v> Nebraska</v>
      </c>
      <c r="F1130" t="str">
        <f>VLOOKUP(K1130,Dept[],2,FALSE)</f>
        <v>Human Resources</v>
      </c>
      <c r="G1130" s="11">
        <f t="shared" si="17"/>
        <v>41183</v>
      </c>
      <c r="H1130" t="str">
        <f>VLOOKUP(N1130,Status[],2,FALSE)</f>
        <v>Part-Time</v>
      </c>
      <c r="J1130" s="7">
        <v>1071</v>
      </c>
      <c r="K1130">
        <v>16</v>
      </c>
      <c r="L1130">
        <v>2012</v>
      </c>
      <c r="M1130">
        <v>10</v>
      </c>
      <c r="N1130">
        <v>0</v>
      </c>
    </row>
    <row r="1131" spans="1:14" x14ac:dyDescent="0.25">
      <c r="A1131" t="s">
        <v>3364</v>
      </c>
      <c r="B1131" t="s">
        <v>1462</v>
      </c>
      <c r="C1131" t="s">
        <v>97</v>
      </c>
      <c r="D1131" t="str">
        <f>VLOOKUP(J1131,Location[],2,FALSE)</f>
        <v>Miami</v>
      </c>
      <c r="E1131" t="str">
        <f>VLOOKUP(J1131,Location[],3,FALSE)</f>
        <v> Florida</v>
      </c>
      <c r="F1131" t="str">
        <f>VLOOKUP(K1131,Dept[],2,FALSE)</f>
        <v>Administration</v>
      </c>
      <c r="G1131" s="11">
        <f t="shared" si="17"/>
        <v>44562</v>
      </c>
      <c r="H1131" t="str">
        <f>VLOOKUP(N1131,Status[],2,FALSE)</f>
        <v>Full-Time</v>
      </c>
      <c r="J1131" s="7">
        <v>1043</v>
      </c>
      <c r="K1131">
        <v>12</v>
      </c>
      <c r="L1131">
        <v>2022</v>
      </c>
      <c r="M1131">
        <v>1</v>
      </c>
      <c r="N1131">
        <v>1</v>
      </c>
    </row>
    <row r="1132" spans="1:14" x14ac:dyDescent="0.25">
      <c r="A1132" t="s">
        <v>3365</v>
      </c>
      <c r="B1132" t="s">
        <v>729</v>
      </c>
      <c r="C1132" t="s">
        <v>97</v>
      </c>
      <c r="D1132" t="str">
        <f>VLOOKUP(J1132,Location[],2,FALSE)</f>
        <v>Chicago</v>
      </c>
      <c r="E1132" t="str">
        <f>VLOOKUP(J1132,Location[],3,FALSE)</f>
        <v> Illinois</v>
      </c>
      <c r="F1132" t="str">
        <f>VLOOKUP(K1132,Dept[],2,FALSE)</f>
        <v>Customer Support</v>
      </c>
      <c r="G1132" s="11">
        <f t="shared" si="17"/>
        <v>41730</v>
      </c>
      <c r="H1132" t="str">
        <f>VLOOKUP(N1132,Status[],2,FALSE)</f>
        <v>Full-Time</v>
      </c>
      <c r="J1132" s="7">
        <v>1003</v>
      </c>
      <c r="K1132">
        <v>14</v>
      </c>
      <c r="L1132">
        <v>2014</v>
      </c>
      <c r="M1132">
        <v>4</v>
      </c>
      <c r="N1132">
        <v>1</v>
      </c>
    </row>
    <row r="1133" spans="1:14" x14ac:dyDescent="0.25">
      <c r="A1133" t="s">
        <v>3366</v>
      </c>
      <c r="B1133" t="s">
        <v>1098</v>
      </c>
      <c r="C1133" t="s">
        <v>97</v>
      </c>
      <c r="D1133" t="str">
        <f>VLOOKUP(J1133,Location[],2,FALSE)</f>
        <v>Oakland</v>
      </c>
      <c r="E1133" t="str">
        <f>VLOOKUP(J1133,Location[],3,FALSE)</f>
        <v> California</v>
      </c>
      <c r="F1133" t="str">
        <f>VLOOKUP(K1133,Dept[],2,FALSE)</f>
        <v>Customer Support</v>
      </c>
      <c r="G1133" s="11">
        <f t="shared" si="17"/>
        <v>43101</v>
      </c>
      <c r="H1133" t="str">
        <f>VLOOKUP(N1133,Status[],2,FALSE)</f>
        <v>Full-Time</v>
      </c>
      <c r="J1133" s="7">
        <v>1045</v>
      </c>
      <c r="K1133">
        <v>14</v>
      </c>
      <c r="L1133">
        <v>2018</v>
      </c>
      <c r="M1133">
        <v>1</v>
      </c>
      <c r="N1133">
        <v>1</v>
      </c>
    </row>
    <row r="1134" spans="1:14" x14ac:dyDescent="0.25">
      <c r="A1134" t="s">
        <v>3367</v>
      </c>
      <c r="B1134" t="s">
        <v>307</v>
      </c>
      <c r="C1134" t="s">
        <v>97</v>
      </c>
      <c r="D1134" t="str">
        <f>VLOOKUP(J1134,Location[],2,FALSE)</f>
        <v>Bakersfield</v>
      </c>
      <c r="E1134" t="str">
        <f>VLOOKUP(J1134,Location[],3,FALSE)</f>
        <v> California</v>
      </c>
      <c r="F1134" t="str">
        <f>VLOOKUP(K1134,Dept[],2,FALSE)</f>
        <v>Customer Support</v>
      </c>
      <c r="G1134" s="11">
        <f t="shared" si="17"/>
        <v>43525</v>
      </c>
      <c r="H1134" t="str">
        <f>VLOOKUP(N1134,Status[],2,FALSE)</f>
        <v>Full-Time</v>
      </c>
      <c r="J1134" s="7">
        <v>1053</v>
      </c>
      <c r="K1134">
        <v>14</v>
      </c>
      <c r="L1134">
        <v>2019</v>
      </c>
      <c r="M1134">
        <v>3</v>
      </c>
      <c r="N1134">
        <v>1</v>
      </c>
    </row>
    <row r="1135" spans="1:14" x14ac:dyDescent="0.25">
      <c r="A1135" t="s">
        <v>3368</v>
      </c>
      <c r="B1135" t="s">
        <v>1180</v>
      </c>
      <c r="C1135" t="s">
        <v>97</v>
      </c>
      <c r="D1135" t="str">
        <f>VLOOKUP(J1135,Location[],2,FALSE)</f>
        <v>Anaheim</v>
      </c>
      <c r="E1135" t="str">
        <f>VLOOKUP(J1135,Location[],3,FALSE)</f>
        <v> California</v>
      </c>
      <c r="F1135" t="str">
        <f>VLOOKUP(K1135,Dept[],2,FALSE)</f>
        <v>Finance</v>
      </c>
      <c r="G1135" s="11">
        <f t="shared" si="17"/>
        <v>42795</v>
      </c>
      <c r="H1135" t="str">
        <f>VLOOKUP(N1135,Status[],2,FALSE)</f>
        <v>Full-Time</v>
      </c>
      <c r="J1135" s="7">
        <v>1055</v>
      </c>
      <c r="K1135">
        <v>15</v>
      </c>
      <c r="L1135">
        <v>2017</v>
      </c>
      <c r="M1135">
        <v>3</v>
      </c>
      <c r="N1135">
        <v>1</v>
      </c>
    </row>
    <row r="1136" spans="1:14" x14ac:dyDescent="0.25">
      <c r="A1136" t="s">
        <v>3369</v>
      </c>
      <c r="B1136" t="s">
        <v>165</v>
      </c>
      <c r="C1136" t="s">
        <v>97</v>
      </c>
      <c r="D1136" t="str">
        <f>VLOOKUP(J1136,Location[],2,FALSE)</f>
        <v>Raleigh</v>
      </c>
      <c r="E1136" t="str">
        <f>VLOOKUP(J1136,Location[],3,FALSE)</f>
        <v> North Carolina</v>
      </c>
      <c r="F1136" t="str">
        <f>VLOOKUP(K1136,Dept[],2,FALSE)</f>
        <v>Customer Support</v>
      </c>
      <c r="G1136" s="11">
        <f t="shared" si="17"/>
        <v>40787</v>
      </c>
      <c r="H1136" t="str">
        <f>VLOOKUP(N1136,Status[],2,FALSE)</f>
        <v>Part-Time</v>
      </c>
      <c r="J1136" s="7">
        <v>1041</v>
      </c>
      <c r="K1136">
        <v>14</v>
      </c>
      <c r="L1136">
        <v>2011</v>
      </c>
      <c r="M1136">
        <v>9</v>
      </c>
      <c r="N1136">
        <v>0</v>
      </c>
    </row>
    <row r="1137" spans="1:14" x14ac:dyDescent="0.25">
      <c r="A1137" t="s">
        <v>3370</v>
      </c>
      <c r="B1137" t="s">
        <v>1051</v>
      </c>
      <c r="C1137" t="s">
        <v>97</v>
      </c>
      <c r="D1137" t="str">
        <f>VLOOKUP(J1137,Location[],2,FALSE)</f>
        <v>Louisville</v>
      </c>
      <c r="E1137" t="str">
        <f>VLOOKUP(J1137,Location[],3,FALSE)</f>
        <v> Kentucky</v>
      </c>
      <c r="F1137" t="str">
        <f>VLOOKUP(K1137,Dept[],2,FALSE)</f>
        <v>Marketing</v>
      </c>
      <c r="G1137" s="11">
        <f t="shared" si="17"/>
        <v>44652</v>
      </c>
      <c r="H1137" t="str">
        <f>VLOOKUP(N1137,Status[],2,FALSE)</f>
        <v>Full-Time</v>
      </c>
      <c r="J1137" s="7">
        <v>1029</v>
      </c>
      <c r="K1137">
        <v>19</v>
      </c>
      <c r="L1137">
        <v>2022</v>
      </c>
      <c r="M1137">
        <v>4</v>
      </c>
      <c r="N1137">
        <v>1</v>
      </c>
    </row>
    <row r="1138" spans="1:14" x14ac:dyDescent="0.25">
      <c r="A1138" t="s">
        <v>3371</v>
      </c>
      <c r="B1138" t="s">
        <v>202</v>
      </c>
      <c r="C1138" t="s">
        <v>97</v>
      </c>
      <c r="D1138" t="str">
        <f>VLOOKUP(J1138,Location[],2,FALSE)</f>
        <v>Detroit</v>
      </c>
      <c r="E1138" t="str">
        <f>VLOOKUP(J1138,Location[],3,FALSE)</f>
        <v> Michigan</v>
      </c>
      <c r="F1138" t="str">
        <f>VLOOKUP(K1138,Dept[],2,FALSE)</f>
        <v>Sales</v>
      </c>
      <c r="G1138" s="11">
        <f t="shared" si="17"/>
        <v>40787</v>
      </c>
      <c r="H1138" t="str">
        <f>VLOOKUP(N1138,Status[],2,FALSE)</f>
        <v>Full-Time</v>
      </c>
      <c r="J1138" s="7">
        <v>1023</v>
      </c>
      <c r="K1138">
        <v>22</v>
      </c>
      <c r="L1138">
        <v>2011</v>
      </c>
      <c r="M1138">
        <v>9</v>
      </c>
      <c r="N1138">
        <v>1</v>
      </c>
    </row>
    <row r="1139" spans="1:14" x14ac:dyDescent="0.25">
      <c r="A1139" t="s">
        <v>3372</v>
      </c>
      <c r="B1139" t="s">
        <v>31</v>
      </c>
      <c r="C1139" t="s">
        <v>97</v>
      </c>
      <c r="D1139" t="str">
        <f>VLOOKUP(J1139,Location[],2,FALSE)</f>
        <v>Memphis</v>
      </c>
      <c r="E1139" t="str">
        <f>VLOOKUP(J1139,Location[],3,FALSE)</f>
        <v> Tennessee</v>
      </c>
      <c r="F1139" t="str">
        <f>VLOOKUP(K1139,Dept[],2,FALSE)</f>
        <v>Legal</v>
      </c>
      <c r="G1139" s="11">
        <f t="shared" si="17"/>
        <v>44713</v>
      </c>
      <c r="H1139" t="str">
        <f>VLOOKUP(N1139,Status[],2,FALSE)</f>
        <v>Full-Time</v>
      </c>
      <c r="J1139" s="7">
        <v>1025</v>
      </c>
      <c r="K1139">
        <v>18</v>
      </c>
      <c r="L1139">
        <v>2022</v>
      </c>
      <c r="M1139">
        <v>6</v>
      </c>
      <c r="N1139">
        <v>1</v>
      </c>
    </row>
    <row r="1140" spans="1:14" x14ac:dyDescent="0.25">
      <c r="A1140" t="s">
        <v>3373</v>
      </c>
      <c r="B1140" t="s">
        <v>148</v>
      </c>
      <c r="C1140" t="s">
        <v>97</v>
      </c>
      <c r="D1140" t="str">
        <f>VLOOKUP(J1140,Location[],2,FALSE)</f>
        <v>Lubbock</v>
      </c>
      <c r="E1140" t="str">
        <f>VLOOKUP(J1140,Location[],3,FALSE)</f>
        <v> Texas</v>
      </c>
      <c r="F1140" t="str">
        <f>VLOOKUP(K1140,Dept[],2,FALSE)</f>
        <v>IT</v>
      </c>
      <c r="G1140" s="11">
        <f t="shared" si="17"/>
        <v>45200</v>
      </c>
      <c r="H1140" t="str">
        <f>VLOOKUP(N1140,Status[],2,FALSE)</f>
        <v>Full-Time</v>
      </c>
      <c r="J1140" s="7">
        <v>1083</v>
      </c>
      <c r="K1140">
        <v>17</v>
      </c>
      <c r="L1140">
        <v>2023</v>
      </c>
      <c r="M1140">
        <v>10</v>
      </c>
      <c r="N1140">
        <v>1</v>
      </c>
    </row>
    <row r="1141" spans="1:14" x14ac:dyDescent="0.25">
      <c r="A1141" t="s">
        <v>3374</v>
      </c>
      <c r="B1141" t="s">
        <v>184</v>
      </c>
      <c r="C1141" t="s">
        <v>97</v>
      </c>
      <c r="D1141" t="str">
        <f>VLOOKUP(J1141,Location[],2,FALSE)</f>
        <v>Indianapolis</v>
      </c>
      <c r="E1141" t="str">
        <f>VLOOKUP(J1141,Location[],3,FALSE)</f>
        <v> Indiana</v>
      </c>
      <c r="F1141" t="str">
        <f>VLOOKUP(K1141,Dept[],2,FALSE)</f>
        <v>Legal</v>
      </c>
      <c r="G1141" s="11">
        <f t="shared" si="17"/>
        <v>40878</v>
      </c>
      <c r="H1141" t="str">
        <f>VLOOKUP(N1141,Status[],2,FALSE)</f>
        <v>Part-Time</v>
      </c>
      <c r="J1141" s="7">
        <v>1016</v>
      </c>
      <c r="K1141">
        <v>18</v>
      </c>
      <c r="L1141">
        <v>2011</v>
      </c>
      <c r="M1141">
        <v>12</v>
      </c>
      <c r="N1141">
        <v>0</v>
      </c>
    </row>
    <row r="1142" spans="1:14" x14ac:dyDescent="0.25">
      <c r="A1142" t="s">
        <v>3375</v>
      </c>
      <c r="B1142" t="s">
        <v>75</v>
      </c>
      <c r="C1142" t="s">
        <v>97</v>
      </c>
      <c r="D1142" t="str">
        <f>VLOOKUP(J1142,Location[],2,FALSE)</f>
        <v>Los Angeles</v>
      </c>
      <c r="E1142" t="str">
        <f>VLOOKUP(J1142,Location[],3,FALSE)</f>
        <v> California</v>
      </c>
      <c r="F1142" t="str">
        <f>VLOOKUP(K1142,Dept[],2,FALSE)</f>
        <v>Finance</v>
      </c>
      <c r="G1142" s="11">
        <f t="shared" si="17"/>
        <v>40909</v>
      </c>
      <c r="H1142" t="str">
        <f>VLOOKUP(N1142,Status[],2,FALSE)</f>
        <v>Full-Time</v>
      </c>
      <c r="J1142" s="7">
        <v>1002</v>
      </c>
      <c r="K1142">
        <v>15</v>
      </c>
      <c r="L1142">
        <v>2012</v>
      </c>
      <c r="M1142">
        <v>1</v>
      </c>
      <c r="N1142">
        <v>1</v>
      </c>
    </row>
    <row r="1143" spans="1:14" x14ac:dyDescent="0.25">
      <c r="A1143" t="s">
        <v>3376</v>
      </c>
      <c r="B1143" t="s">
        <v>425</v>
      </c>
      <c r="C1143" t="s">
        <v>97</v>
      </c>
      <c r="D1143" t="str">
        <f>VLOOKUP(J1143,Location[],2,FALSE)</f>
        <v>Houston</v>
      </c>
      <c r="E1143" t="str">
        <f>VLOOKUP(J1143,Location[],3,FALSE)</f>
        <v> Texas</v>
      </c>
      <c r="F1143" t="str">
        <f>VLOOKUP(K1143,Dept[],2,FALSE)</f>
        <v>Customer Support</v>
      </c>
      <c r="G1143" s="11">
        <f t="shared" si="17"/>
        <v>44531</v>
      </c>
      <c r="H1143" t="str">
        <f>VLOOKUP(N1143,Status[],2,FALSE)</f>
        <v>Part-Time</v>
      </c>
      <c r="J1143" s="7">
        <v>1004</v>
      </c>
      <c r="K1143">
        <v>14</v>
      </c>
      <c r="L1143">
        <v>2021</v>
      </c>
      <c r="M1143">
        <v>12</v>
      </c>
      <c r="N1143">
        <v>0</v>
      </c>
    </row>
    <row r="1144" spans="1:14" x14ac:dyDescent="0.25">
      <c r="A1144" t="s">
        <v>3377</v>
      </c>
      <c r="B1144" t="s">
        <v>171</v>
      </c>
      <c r="C1144" t="s">
        <v>172</v>
      </c>
      <c r="D1144" t="str">
        <f>VLOOKUP(J1144,Location[],2,FALSE)</f>
        <v>Wichita</v>
      </c>
      <c r="E1144" t="str">
        <f>VLOOKUP(J1144,Location[],3,FALSE)</f>
        <v> Kansas</v>
      </c>
      <c r="F1144" t="str">
        <f>VLOOKUP(K1144,Dept[],2,FALSE)</f>
        <v>Human Resources</v>
      </c>
      <c r="G1144" s="11">
        <f t="shared" si="17"/>
        <v>43252</v>
      </c>
      <c r="H1144" t="str">
        <f>VLOOKUP(N1144,Status[],2,FALSE)</f>
        <v>Part-Time</v>
      </c>
      <c r="J1144" s="7">
        <v>1050</v>
      </c>
      <c r="K1144">
        <v>16</v>
      </c>
      <c r="L1144">
        <v>2018</v>
      </c>
      <c r="M1144">
        <v>6</v>
      </c>
      <c r="N1144">
        <v>0</v>
      </c>
    </row>
    <row r="1145" spans="1:14" x14ac:dyDescent="0.25">
      <c r="A1145" t="s">
        <v>3378</v>
      </c>
      <c r="B1145" t="s">
        <v>188</v>
      </c>
      <c r="C1145" t="s">
        <v>172</v>
      </c>
      <c r="D1145" t="str">
        <f>VLOOKUP(J1145,Location[],2,FALSE)</f>
        <v>Washington, D.C.</v>
      </c>
      <c r="E1145" t="str">
        <f>VLOOKUP(J1145,Location[],3,FALSE)</f>
        <v> District of Columbia</v>
      </c>
      <c r="F1145" t="str">
        <f>VLOOKUP(K1145,Dept[],2,FALSE)</f>
        <v>Customer Support</v>
      </c>
      <c r="G1145" s="11">
        <f t="shared" si="17"/>
        <v>42856</v>
      </c>
      <c r="H1145" t="str">
        <f>VLOOKUP(N1145,Status[],2,FALSE)</f>
        <v>Full-Time</v>
      </c>
      <c r="J1145" s="7">
        <v>1020</v>
      </c>
      <c r="K1145">
        <v>14</v>
      </c>
      <c r="L1145">
        <v>2017</v>
      </c>
      <c r="M1145">
        <v>5</v>
      </c>
      <c r="N1145">
        <v>1</v>
      </c>
    </row>
    <row r="1146" spans="1:14" x14ac:dyDescent="0.25">
      <c r="A1146" t="s">
        <v>3379</v>
      </c>
      <c r="B1146" t="s">
        <v>871</v>
      </c>
      <c r="C1146" t="s">
        <v>172</v>
      </c>
      <c r="D1146" t="str">
        <f>VLOOKUP(J1146,Location[],2,FALSE)</f>
        <v>New York City</v>
      </c>
      <c r="E1146" t="str">
        <f>VLOOKUP(J1146,Location[],3,FALSE)</f>
        <v> New York</v>
      </c>
      <c r="F1146" t="str">
        <f>VLOOKUP(K1146,Dept[],2,FALSE)</f>
        <v>IT</v>
      </c>
      <c r="G1146" s="11">
        <f t="shared" si="17"/>
        <v>44470</v>
      </c>
      <c r="H1146" t="str">
        <f>VLOOKUP(N1146,Status[],2,FALSE)</f>
        <v>Full-Time</v>
      </c>
      <c r="J1146" s="7">
        <v>1001</v>
      </c>
      <c r="K1146">
        <v>17</v>
      </c>
      <c r="L1146">
        <v>2021</v>
      </c>
      <c r="M1146">
        <v>10</v>
      </c>
      <c r="N1146">
        <v>1</v>
      </c>
    </row>
    <row r="1147" spans="1:14" x14ac:dyDescent="0.25">
      <c r="A1147" t="s">
        <v>3380</v>
      </c>
      <c r="B1147" t="s">
        <v>310</v>
      </c>
      <c r="C1147" t="s">
        <v>172</v>
      </c>
      <c r="D1147" t="str">
        <f>VLOOKUP(J1147,Location[],2,FALSE)</f>
        <v>Buffalo</v>
      </c>
      <c r="E1147" t="str">
        <f>VLOOKUP(J1147,Location[],3,FALSE)</f>
        <v> New York</v>
      </c>
      <c r="F1147" t="str">
        <f>VLOOKUP(K1147,Dept[],2,FALSE)</f>
        <v>Customer Support</v>
      </c>
      <c r="G1147" s="11">
        <f t="shared" si="17"/>
        <v>43009</v>
      </c>
      <c r="H1147" t="str">
        <f>VLOOKUP(N1147,Status[],2,FALSE)</f>
        <v>Full-Time</v>
      </c>
      <c r="J1147" s="7">
        <v>1081</v>
      </c>
      <c r="K1147">
        <v>14</v>
      </c>
      <c r="L1147">
        <v>2017</v>
      </c>
      <c r="M1147">
        <v>10</v>
      </c>
      <c r="N1147">
        <v>1</v>
      </c>
    </row>
    <row r="1148" spans="1:14" x14ac:dyDescent="0.25">
      <c r="A1148" t="s">
        <v>3381</v>
      </c>
      <c r="B1148" t="s">
        <v>299</v>
      </c>
      <c r="C1148" t="s">
        <v>172</v>
      </c>
      <c r="D1148" t="str">
        <f>VLOOKUP(J1148,Location[],2,FALSE)</f>
        <v>Irvine</v>
      </c>
      <c r="E1148" t="str">
        <f>VLOOKUP(J1148,Location[],3,FALSE)</f>
        <v> California</v>
      </c>
      <c r="F1148" t="str">
        <f>VLOOKUP(K1148,Dept[],2,FALSE)</f>
        <v>IT</v>
      </c>
      <c r="G1148" s="11">
        <f t="shared" si="17"/>
        <v>42887</v>
      </c>
      <c r="H1148" t="str">
        <f>VLOOKUP(N1148,Status[],2,FALSE)</f>
        <v>Full-Time</v>
      </c>
      <c r="J1148" s="7">
        <v>1073</v>
      </c>
      <c r="K1148">
        <v>17</v>
      </c>
      <c r="L1148">
        <v>2017</v>
      </c>
      <c r="M1148">
        <v>6</v>
      </c>
      <c r="N1148">
        <v>1</v>
      </c>
    </row>
    <row r="1149" spans="1:14" x14ac:dyDescent="0.25">
      <c r="A1149" t="s">
        <v>3382</v>
      </c>
      <c r="B1149" t="s">
        <v>501</v>
      </c>
      <c r="C1149" t="s">
        <v>172</v>
      </c>
      <c r="D1149" t="str">
        <f>VLOOKUP(J1149,Location[],2,FALSE)</f>
        <v>Scottsdale</v>
      </c>
      <c r="E1149" t="str">
        <f>VLOOKUP(J1149,Location[],3,FALSE)</f>
        <v> Arizona</v>
      </c>
      <c r="F1149" t="str">
        <f>VLOOKUP(K1149,Dept[],2,FALSE)</f>
        <v>Sales</v>
      </c>
      <c r="G1149" s="11">
        <f t="shared" si="17"/>
        <v>43009</v>
      </c>
      <c r="H1149" t="str">
        <f>VLOOKUP(N1149,Status[],2,FALSE)</f>
        <v>Full-Time</v>
      </c>
      <c r="J1149" s="7">
        <v>1085</v>
      </c>
      <c r="K1149">
        <v>22</v>
      </c>
      <c r="L1149">
        <v>2017</v>
      </c>
      <c r="M1149">
        <v>10</v>
      </c>
      <c r="N1149">
        <v>1</v>
      </c>
    </row>
    <row r="1150" spans="1:14" x14ac:dyDescent="0.25">
      <c r="A1150" t="s">
        <v>3383</v>
      </c>
      <c r="B1150" t="s">
        <v>144</v>
      </c>
      <c r="C1150" t="s">
        <v>1912</v>
      </c>
      <c r="D1150" t="str">
        <f>VLOOKUP(J1150,Location[],2,FALSE)</f>
        <v>Chicago</v>
      </c>
      <c r="E1150" t="str">
        <f>VLOOKUP(J1150,Location[],3,FALSE)</f>
        <v> Illinois</v>
      </c>
      <c r="F1150" t="str">
        <f>VLOOKUP(K1150,Dept[],2,FALSE)</f>
        <v>Administration</v>
      </c>
      <c r="G1150" s="11">
        <f t="shared" si="17"/>
        <v>43922</v>
      </c>
      <c r="H1150" t="str">
        <f>VLOOKUP(N1150,Status[],2,FALSE)</f>
        <v>Full-Time</v>
      </c>
      <c r="J1150" s="7">
        <v>1003</v>
      </c>
      <c r="K1150">
        <v>12</v>
      </c>
      <c r="L1150">
        <v>2020</v>
      </c>
      <c r="M1150">
        <v>4</v>
      </c>
      <c r="N1150">
        <v>1</v>
      </c>
    </row>
    <row r="1151" spans="1:14" x14ac:dyDescent="0.25">
      <c r="A1151" t="s">
        <v>3384</v>
      </c>
      <c r="B1151" t="s">
        <v>1542</v>
      </c>
      <c r="C1151" t="s">
        <v>1843</v>
      </c>
      <c r="D1151" t="str">
        <f>VLOOKUP(J1151,Location[],2,FALSE)</f>
        <v>Nashville</v>
      </c>
      <c r="E1151" t="str">
        <f>VLOOKUP(J1151,Location[],3,FALSE)</f>
        <v> Tennessee</v>
      </c>
      <c r="F1151" t="str">
        <f>VLOOKUP(K1151,Dept[],2,FALSE)</f>
        <v>Legal</v>
      </c>
      <c r="G1151" s="11">
        <f t="shared" si="17"/>
        <v>43070</v>
      </c>
      <c r="H1151" t="str">
        <f>VLOOKUP(N1151,Status[],2,FALSE)</f>
        <v>Full-Time</v>
      </c>
      <c r="J1151" s="7">
        <v>1024</v>
      </c>
      <c r="K1151">
        <v>18</v>
      </c>
      <c r="L1151">
        <v>2017</v>
      </c>
      <c r="M1151">
        <v>12</v>
      </c>
      <c r="N1151">
        <v>1</v>
      </c>
    </row>
    <row r="1152" spans="1:14" x14ac:dyDescent="0.25">
      <c r="A1152" t="s">
        <v>3385</v>
      </c>
      <c r="B1152" t="s">
        <v>149</v>
      </c>
      <c r="C1152" t="s">
        <v>150</v>
      </c>
      <c r="D1152" t="str">
        <f>VLOOKUP(J1152,Location[],2,FALSE)</f>
        <v>Baltimore</v>
      </c>
      <c r="E1152" t="str">
        <f>VLOOKUP(J1152,Location[],3,FALSE)</f>
        <v> Maryland</v>
      </c>
      <c r="F1152" t="str">
        <f>VLOOKUP(K1152,Dept[],2,FALSE)</f>
        <v>Customer Support</v>
      </c>
      <c r="G1152" s="11">
        <f t="shared" si="17"/>
        <v>41395</v>
      </c>
      <c r="H1152" t="str">
        <f>VLOOKUP(N1152,Status[],2,FALSE)</f>
        <v>Full-Time</v>
      </c>
      <c r="J1152" s="7">
        <v>1030</v>
      </c>
      <c r="K1152">
        <v>14</v>
      </c>
      <c r="L1152">
        <v>2013</v>
      </c>
      <c r="M1152">
        <v>5</v>
      </c>
      <c r="N1152">
        <v>1</v>
      </c>
    </row>
    <row r="1153" spans="1:14" x14ac:dyDescent="0.25">
      <c r="A1153" t="s">
        <v>3386</v>
      </c>
      <c r="B1153" t="s">
        <v>526</v>
      </c>
      <c r="C1153" t="s">
        <v>1327</v>
      </c>
      <c r="D1153" t="str">
        <f>VLOOKUP(J1153,Location[],2,FALSE)</f>
        <v>Milwaukee</v>
      </c>
      <c r="E1153" t="str">
        <f>VLOOKUP(J1153,Location[],3,FALSE)</f>
        <v> Wisconsin</v>
      </c>
      <c r="F1153" t="str">
        <f>VLOOKUP(K1153,Dept[],2,FALSE)</f>
        <v>IT</v>
      </c>
      <c r="G1153" s="11">
        <f t="shared" si="17"/>
        <v>43221</v>
      </c>
      <c r="H1153" t="str">
        <f>VLOOKUP(N1153,Status[],2,FALSE)</f>
        <v>Part-Time</v>
      </c>
      <c r="J1153" s="7">
        <v>1031</v>
      </c>
      <c r="K1153">
        <v>17</v>
      </c>
      <c r="L1153">
        <v>2018</v>
      </c>
      <c r="M1153">
        <v>5</v>
      </c>
      <c r="N1153">
        <v>0</v>
      </c>
    </row>
    <row r="1154" spans="1:14" x14ac:dyDescent="0.25">
      <c r="A1154" t="s">
        <v>3387</v>
      </c>
      <c r="B1154" t="s">
        <v>431</v>
      </c>
      <c r="C1154" t="s">
        <v>432</v>
      </c>
      <c r="D1154" t="str">
        <f>VLOOKUP(J1154,Location[],2,FALSE)</f>
        <v>Los Angeles</v>
      </c>
      <c r="E1154" t="str">
        <f>VLOOKUP(J1154,Location[],3,FALSE)</f>
        <v> California</v>
      </c>
      <c r="F1154" t="str">
        <f>VLOOKUP(K1154,Dept[],2,FALSE)</f>
        <v>Marketing</v>
      </c>
      <c r="G1154" s="11">
        <f t="shared" si="17"/>
        <v>41395</v>
      </c>
      <c r="H1154" t="str">
        <f>VLOOKUP(N1154,Status[],2,FALSE)</f>
        <v>Full-Time</v>
      </c>
      <c r="J1154" s="7">
        <v>1002</v>
      </c>
      <c r="K1154">
        <v>19</v>
      </c>
      <c r="L1154">
        <v>2013</v>
      </c>
      <c r="M1154">
        <v>5</v>
      </c>
      <c r="N1154">
        <v>1</v>
      </c>
    </row>
    <row r="1155" spans="1:14" x14ac:dyDescent="0.25">
      <c r="A1155" t="s">
        <v>2409</v>
      </c>
      <c r="B1155" t="s">
        <v>367</v>
      </c>
      <c r="C1155" t="s">
        <v>2070</v>
      </c>
      <c r="D1155" t="str">
        <f>VLOOKUP(J1155,Location[],2,FALSE)</f>
        <v>Louisville</v>
      </c>
      <c r="E1155" t="str">
        <f>VLOOKUP(J1155,Location[],3,FALSE)</f>
        <v> Kentucky</v>
      </c>
      <c r="F1155" t="str">
        <f>VLOOKUP(K1155,Dept[],2,FALSE)</f>
        <v>Legal</v>
      </c>
      <c r="G1155" s="11">
        <f t="shared" si="17"/>
        <v>40603</v>
      </c>
      <c r="H1155" t="str">
        <f>VLOOKUP(N1155,Status[],2,FALSE)</f>
        <v>Full-Time</v>
      </c>
      <c r="J1155" s="7">
        <v>1029</v>
      </c>
      <c r="K1155">
        <v>18</v>
      </c>
      <c r="L1155">
        <v>2011</v>
      </c>
      <c r="M1155">
        <v>3</v>
      </c>
      <c r="N1155">
        <v>1</v>
      </c>
    </row>
    <row r="1156" spans="1:14" x14ac:dyDescent="0.25">
      <c r="A1156" t="s">
        <v>3388</v>
      </c>
      <c r="B1156" t="s">
        <v>5</v>
      </c>
      <c r="C1156" t="s">
        <v>2067</v>
      </c>
      <c r="D1156" t="str">
        <f>VLOOKUP(J1156,Location[],2,FALSE)</f>
        <v>Tucson</v>
      </c>
      <c r="E1156" t="str">
        <f>VLOOKUP(J1156,Location[],3,FALSE)</f>
        <v> Arizona</v>
      </c>
      <c r="F1156" t="str">
        <f>VLOOKUP(K1156,Dept[],2,FALSE)</f>
        <v>Administration</v>
      </c>
      <c r="G1156" s="11">
        <f t="shared" si="17"/>
        <v>43132</v>
      </c>
      <c r="H1156" t="str">
        <f>VLOOKUP(N1156,Status[],2,FALSE)</f>
        <v>Full-Time</v>
      </c>
      <c r="J1156" s="7">
        <v>1033</v>
      </c>
      <c r="K1156">
        <v>12</v>
      </c>
      <c r="L1156">
        <v>2018</v>
      </c>
      <c r="M1156">
        <v>2</v>
      </c>
      <c r="N1156">
        <v>1</v>
      </c>
    </row>
    <row r="1157" spans="1:14" x14ac:dyDescent="0.25">
      <c r="A1157" t="s">
        <v>3389</v>
      </c>
      <c r="B1157" t="s">
        <v>248</v>
      </c>
      <c r="C1157" t="s">
        <v>1570</v>
      </c>
      <c r="D1157" t="str">
        <f>VLOOKUP(J1157,Location[],2,FALSE)</f>
        <v>Santa Ana</v>
      </c>
      <c r="E1157" t="str">
        <f>VLOOKUP(J1157,Location[],3,FALSE)</f>
        <v> California</v>
      </c>
      <c r="F1157" t="str">
        <f>VLOOKUP(K1157,Dept[],2,FALSE)</f>
        <v>R&amp;D</v>
      </c>
      <c r="G1157" s="11">
        <f t="shared" ref="G1157:G1220" si="18">DATE(L1157,M1157,1)</f>
        <v>43497</v>
      </c>
      <c r="H1157" t="str">
        <f>VLOOKUP(N1157,Status[],2,FALSE)</f>
        <v>Part-Time</v>
      </c>
      <c r="J1157" s="7">
        <v>1057</v>
      </c>
      <c r="K1157">
        <v>21</v>
      </c>
      <c r="L1157">
        <v>2019</v>
      </c>
      <c r="M1157">
        <v>2</v>
      </c>
      <c r="N1157">
        <v>0</v>
      </c>
    </row>
    <row r="1158" spans="1:14" x14ac:dyDescent="0.25">
      <c r="A1158" t="s">
        <v>3390</v>
      </c>
      <c r="B1158" t="s">
        <v>220</v>
      </c>
      <c r="C1158" t="s">
        <v>1618</v>
      </c>
      <c r="D1158" t="str">
        <f>VLOOKUP(J1158,Location[],2,FALSE)</f>
        <v>New York City</v>
      </c>
      <c r="E1158" t="str">
        <f>VLOOKUP(J1158,Location[],3,FALSE)</f>
        <v> New York</v>
      </c>
      <c r="F1158" t="str">
        <f>VLOOKUP(K1158,Dept[],2,FALSE)</f>
        <v>IT</v>
      </c>
      <c r="G1158" s="11">
        <f t="shared" si="18"/>
        <v>43282</v>
      </c>
      <c r="H1158" t="str">
        <f>VLOOKUP(N1158,Status[],2,FALSE)</f>
        <v>Full-Time</v>
      </c>
      <c r="J1158" s="7">
        <v>1001</v>
      </c>
      <c r="K1158">
        <v>17</v>
      </c>
      <c r="L1158">
        <v>2018</v>
      </c>
      <c r="M1158">
        <v>7</v>
      </c>
      <c r="N1158">
        <v>1</v>
      </c>
    </row>
    <row r="1159" spans="1:14" x14ac:dyDescent="0.25">
      <c r="A1159" t="s">
        <v>3391</v>
      </c>
      <c r="B1159" t="s">
        <v>487</v>
      </c>
      <c r="C1159" t="s">
        <v>1206</v>
      </c>
      <c r="D1159" t="str">
        <f>VLOOKUP(J1159,Location[],2,FALSE)</f>
        <v>San Francisco</v>
      </c>
      <c r="E1159" t="str">
        <f>VLOOKUP(J1159,Location[],3,FALSE)</f>
        <v> California</v>
      </c>
      <c r="F1159" t="str">
        <f>VLOOKUP(K1159,Dept[],2,FALSE)</f>
        <v>Shipping</v>
      </c>
      <c r="G1159" s="11">
        <f t="shared" si="18"/>
        <v>44197</v>
      </c>
      <c r="H1159" t="str">
        <f>VLOOKUP(N1159,Status[],2,FALSE)</f>
        <v>Full-Time</v>
      </c>
      <c r="J1159" s="7">
        <v>1013</v>
      </c>
      <c r="K1159">
        <v>23</v>
      </c>
      <c r="L1159">
        <v>2021</v>
      </c>
      <c r="M1159">
        <v>1</v>
      </c>
      <c r="N1159">
        <v>1</v>
      </c>
    </row>
    <row r="1160" spans="1:14" x14ac:dyDescent="0.25">
      <c r="A1160" t="s">
        <v>3392</v>
      </c>
      <c r="B1160" t="s">
        <v>1404</v>
      </c>
      <c r="C1160" t="s">
        <v>812</v>
      </c>
      <c r="D1160" t="str">
        <f>VLOOKUP(J1160,Location[],2,FALSE)</f>
        <v>New York City</v>
      </c>
      <c r="E1160" t="str">
        <f>VLOOKUP(J1160,Location[],3,FALSE)</f>
        <v> New York</v>
      </c>
      <c r="F1160" t="str">
        <f>VLOOKUP(K1160,Dept[],2,FALSE)</f>
        <v>Marketing</v>
      </c>
      <c r="G1160" s="11">
        <f t="shared" si="18"/>
        <v>41061</v>
      </c>
      <c r="H1160" t="str">
        <f>VLOOKUP(N1160,Status[],2,FALSE)</f>
        <v>Full-Time</v>
      </c>
      <c r="J1160" s="7">
        <v>1001</v>
      </c>
      <c r="K1160">
        <v>19</v>
      </c>
      <c r="L1160">
        <v>2012</v>
      </c>
      <c r="M1160">
        <v>6</v>
      </c>
      <c r="N1160">
        <v>1</v>
      </c>
    </row>
    <row r="1161" spans="1:14" x14ac:dyDescent="0.25">
      <c r="A1161" t="s">
        <v>3393</v>
      </c>
      <c r="B1161" t="s">
        <v>811</v>
      </c>
      <c r="C1161" t="s">
        <v>812</v>
      </c>
      <c r="D1161" t="str">
        <f>VLOOKUP(J1161,Location[],2,FALSE)</f>
        <v>Santa Ana</v>
      </c>
      <c r="E1161" t="str">
        <f>VLOOKUP(J1161,Location[],3,FALSE)</f>
        <v> California</v>
      </c>
      <c r="F1161" t="str">
        <f>VLOOKUP(K1161,Dept[],2,FALSE)</f>
        <v>Legal</v>
      </c>
      <c r="G1161" s="11">
        <f t="shared" si="18"/>
        <v>41518</v>
      </c>
      <c r="H1161" t="str">
        <f>VLOOKUP(N1161,Status[],2,FALSE)</f>
        <v>Full-Time</v>
      </c>
      <c r="J1161" s="7">
        <v>1057</v>
      </c>
      <c r="K1161">
        <v>18</v>
      </c>
      <c r="L1161">
        <v>2013</v>
      </c>
      <c r="M1161">
        <v>9</v>
      </c>
      <c r="N1161">
        <v>1</v>
      </c>
    </row>
    <row r="1162" spans="1:14" x14ac:dyDescent="0.25">
      <c r="A1162" t="s">
        <v>3394</v>
      </c>
      <c r="B1162" t="s">
        <v>1305</v>
      </c>
      <c r="C1162" t="s">
        <v>1967</v>
      </c>
      <c r="D1162" t="str">
        <f>VLOOKUP(J1162,Location[],2,FALSE)</f>
        <v>Milwaukee</v>
      </c>
      <c r="E1162" t="str">
        <f>VLOOKUP(J1162,Location[],3,FALSE)</f>
        <v> Wisconsin</v>
      </c>
      <c r="F1162" t="str">
        <f>VLOOKUP(K1162,Dept[],2,FALSE)</f>
        <v>Human Resources</v>
      </c>
      <c r="G1162" s="11">
        <f t="shared" si="18"/>
        <v>43678</v>
      </c>
      <c r="H1162" t="str">
        <f>VLOOKUP(N1162,Status[],2,FALSE)</f>
        <v>Full-Time</v>
      </c>
      <c r="J1162" s="7">
        <v>1031</v>
      </c>
      <c r="K1162">
        <v>16</v>
      </c>
      <c r="L1162">
        <v>2019</v>
      </c>
      <c r="M1162">
        <v>8</v>
      </c>
      <c r="N1162">
        <v>1</v>
      </c>
    </row>
    <row r="1163" spans="1:14" x14ac:dyDescent="0.25">
      <c r="A1163" t="s">
        <v>3395</v>
      </c>
      <c r="B1163" t="s">
        <v>250</v>
      </c>
      <c r="C1163" t="s">
        <v>1365</v>
      </c>
      <c r="D1163" t="str">
        <f>VLOOKUP(J1163,Location[],2,FALSE)</f>
        <v>Bakersfield</v>
      </c>
      <c r="E1163" t="str">
        <f>VLOOKUP(J1163,Location[],3,FALSE)</f>
        <v> California</v>
      </c>
      <c r="F1163" t="str">
        <f>VLOOKUP(K1163,Dept[],2,FALSE)</f>
        <v>Customer Support</v>
      </c>
      <c r="G1163" s="11">
        <f t="shared" si="18"/>
        <v>43405</v>
      </c>
      <c r="H1163" t="str">
        <f>VLOOKUP(N1163,Status[],2,FALSE)</f>
        <v>Full-Time</v>
      </c>
      <c r="J1163" s="7">
        <v>1053</v>
      </c>
      <c r="K1163">
        <v>14</v>
      </c>
      <c r="L1163">
        <v>2018</v>
      </c>
      <c r="M1163">
        <v>11</v>
      </c>
      <c r="N1163">
        <v>1</v>
      </c>
    </row>
    <row r="1164" spans="1:14" x14ac:dyDescent="0.25">
      <c r="A1164" t="s">
        <v>3396</v>
      </c>
      <c r="B1164" t="s">
        <v>1565</v>
      </c>
      <c r="C1164" t="s">
        <v>1566</v>
      </c>
      <c r="D1164" t="str">
        <f>VLOOKUP(J1164,Location[],2,FALSE)</f>
        <v>Raleigh</v>
      </c>
      <c r="E1164" t="str">
        <f>VLOOKUP(J1164,Location[],3,FALSE)</f>
        <v> North Carolina</v>
      </c>
      <c r="F1164" t="str">
        <f>VLOOKUP(K1164,Dept[],2,FALSE)</f>
        <v>Administration</v>
      </c>
      <c r="G1164" s="11">
        <f t="shared" si="18"/>
        <v>44958</v>
      </c>
      <c r="H1164" t="str">
        <f>VLOOKUP(N1164,Status[],2,FALSE)</f>
        <v>Part-Time</v>
      </c>
      <c r="J1164" s="7">
        <v>1041</v>
      </c>
      <c r="K1164">
        <v>12</v>
      </c>
      <c r="L1164">
        <v>2023</v>
      </c>
      <c r="M1164">
        <v>2</v>
      </c>
      <c r="N1164">
        <v>0</v>
      </c>
    </row>
    <row r="1165" spans="1:14" x14ac:dyDescent="0.25">
      <c r="A1165" t="s">
        <v>3397</v>
      </c>
      <c r="B1165" t="s">
        <v>856</v>
      </c>
      <c r="C1165" t="s">
        <v>857</v>
      </c>
      <c r="D1165" t="str">
        <f>VLOOKUP(J1165,Location[],2,FALSE)</f>
        <v>Washington, D.C.</v>
      </c>
      <c r="E1165" t="str">
        <f>VLOOKUP(J1165,Location[],3,FALSE)</f>
        <v> District of Columbia</v>
      </c>
      <c r="F1165" t="str">
        <f>VLOOKUP(K1165,Dept[],2,FALSE)</f>
        <v>Administration</v>
      </c>
      <c r="G1165" s="11">
        <f t="shared" si="18"/>
        <v>44228</v>
      </c>
      <c r="H1165" t="str">
        <f>VLOOKUP(N1165,Status[],2,FALSE)</f>
        <v>Full-Time</v>
      </c>
      <c r="J1165" s="7">
        <v>1020</v>
      </c>
      <c r="K1165">
        <v>12</v>
      </c>
      <c r="L1165">
        <v>2021</v>
      </c>
      <c r="M1165">
        <v>2</v>
      </c>
      <c r="N1165">
        <v>1</v>
      </c>
    </row>
    <row r="1166" spans="1:14" x14ac:dyDescent="0.25">
      <c r="A1166" t="s">
        <v>3398</v>
      </c>
      <c r="B1166" t="s">
        <v>71</v>
      </c>
      <c r="C1166" t="s">
        <v>835</v>
      </c>
      <c r="D1166" t="str">
        <f>VLOOKUP(J1166,Location[],2,FALSE)</f>
        <v>New York City</v>
      </c>
      <c r="E1166" t="str">
        <f>VLOOKUP(J1166,Location[],3,FALSE)</f>
        <v> New York</v>
      </c>
      <c r="F1166" t="str">
        <f>VLOOKUP(K1166,Dept[],2,FALSE)</f>
        <v>Customer Support</v>
      </c>
      <c r="G1166" s="11">
        <f t="shared" si="18"/>
        <v>43617</v>
      </c>
      <c r="H1166" t="str">
        <f>VLOOKUP(N1166,Status[],2,FALSE)</f>
        <v>Full-Time</v>
      </c>
      <c r="J1166" s="7">
        <v>1001</v>
      </c>
      <c r="K1166">
        <v>14</v>
      </c>
      <c r="L1166">
        <v>2019</v>
      </c>
      <c r="M1166">
        <v>6</v>
      </c>
      <c r="N1166">
        <v>1</v>
      </c>
    </row>
    <row r="1167" spans="1:14" x14ac:dyDescent="0.25">
      <c r="A1167" t="s">
        <v>3399</v>
      </c>
      <c r="B1167" t="s">
        <v>361</v>
      </c>
      <c r="C1167" t="s">
        <v>835</v>
      </c>
      <c r="D1167" t="str">
        <f>VLOOKUP(J1167,Location[],2,FALSE)</f>
        <v>Charlotte</v>
      </c>
      <c r="E1167" t="str">
        <f>VLOOKUP(J1167,Location[],3,FALSE)</f>
        <v> North Carolina</v>
      </c>
      <c r="F1167" t="str">
        <f>VLOOKUP(K1167,Dept[],2,FALSE)</f>
        <v>Sales</v>
      </c>
      <c r="G1167" s="11">
        <f t="shared" si="18"/>
        <v>43952</v>
      </c>
      <c r="H1167" t="str">
        <f>VLOOKUP(N1167,Status[],2,FALSE)</f>
        <v>Full-Time</v>
      </c>
      <c r="J1167" s="7">
        <v>1017</v>
      </c>
      <c r="K1167">
        <v>22</v>
      </c>
      <c r="L1167">
        <v>2020</v>
      </c>
      <c r="M1167">
        <v>5</v>
      </c>
      <c r="N1167">
        <v>1</v>
      </c>
    </row>
    <row r="1168" spans="1:14" x14ac:dyDescent="0.25">
      <c r="A1168" t="s">
        <v>3400</v>
      </c>
      <c r="B1168" t="s">
        <v>2086</v>
      </c>
      <c r="C1168" t="s">
        <v>2087</v>
      </c>
      <c r="D1168" t="str">
        <f>VLOOKUP(J1168,Location[],2,FALSE)</f>
        <v>Memphis</v>
      </c>
      <c r="E1168" t="str">
        <f>VLOOKUP(J1168,Location[],3,FALSE)</f>
        <v> Tennessee</v>
      </c>
      <c r="F1168" t="str">
        <f>VLOOKUP(K1168,Dept[],2,FALSE)</f>
        <v>Legal</v>
      </c>
      <c r="G1168" s="11">
        <f t="shared" si="18"/>
        <v>41518</v>
      </c>
      <c r="H1168" t="str">
        <f>VLOOKUP(N1168,Status[],2,FALSE)</f>
        <v>Full-Time</v>
      </c>
      <c r="J1168" s="7">
        <v>1025</v>
      </c>
      <c r="K1168">
        <v>18</v>
      </c>
      <c r="L1168">
        <v>2013</v>
      </c>
      <c r="M1168">
        <v>9</v>
      </c>
      <c r="N1168">
        <v>1</v>
      </c>
    </row>
    <row r="1169" spans="1:14" x14ac:dyDescent="0.25">
      <c r="A1169" t="s">
        <v>3401</v>
      </c>
      <c r="B1169" t="s">
        <v>469</v>
      </c>
      <c r="C1169" t="s">
        <v>470</v>
      </c>
      <c r="D1169" t="str">
        <f>VLOOKUP(J1169,Location[],2,FALSE)</f>
        <v>Los Angeles</v>
      </c>
      <c r="E1169" t="str">
        <f>VLOOKUP(J1169,Location[],3,FALSE)</f>
        <v> California</v>
      </c>
      <c r="F1169" t="str">
        <f>VLOOKUP(K1169,Dept[],2,FALSE)</f>
        <v>Legal</v>
      </c>
      <c r="G1169" s="11">
        <f t="shared" si="18"/>
        <v>42461</v>
      </c>
      <c r="H1169" t="str">
        <f>VLOOKUP(N1169,Status[],2,FALSE)</f>
        <v>Full-Time</v>
      </c>
      <c r="J1169" s="7">
        <v>1002</v>
      </c>
      <c r="K1169">
        <v>18</v>
      </c>
      <c r="L1169">
        <v>2016</v>
      </c>
      <c r="M1169">
        <v>4</v>
      </c>
      <c r="N1169">
        <v>1</v>
      </c>
    </row>
    <row r="1170" spans="1:14" x14ac:dyDescent="0.25">
      <c r="A1170" t="s">
        <v>3402</v>
      </c>
      <c r="B1170" t="s">
        <v>55</v>
      </c>
      <c r="C1170" t="s">
        <v>470</v>
      </c>
      <c r="D1170" t="str">
        <f>VLOOKUP(J1170,Location[],2,FALSE)</f>
        <v>New York City</v>
      </c>
      <c r="E1170" t="str">
        <f>VLOOKUP(J1170,Location[],3,FALSE)</f>
        <v> New York</v>
      </c>
      <c r="F1170" t="str">
        <f>VLOOKUP(K1170,Dept[],2,FALSE)</f>
        <v>Media</v>
      </c>
      <c r="G1170" s="11">
        <f t="shared" si="18"/>
        <v>44682</v>
      </c>
      <c r="H1170" t="str">
        <f>VLOOKUP(N1170,Status[],2,FALSE)</f>
        <v>Full-Time</v>
      </c>
      <c r="J1170" s="7">
        <v>1001</v>
      </c>
      <c r="K1170">
        <v>20</v>
      </c>
      <c r="L1170">
        <v>2022</v>
      </c>
      <c r="M1170">
        <v>5</v>
      </c>
      <c r="N1170">
        <v>1</v>
      </c>
    </row>
    <row r="1171" spans="1:14" x14ac:dyDescent="0.25">
      <c r="A1171" t="s">
        <v>3403</v>
      </c>
      <c r="B1171" t="s">
        <v>1089</v>
      </c>
      <c r="C1171" t="s">
        <v>1090</v>
      </c>
      <c r="D1171" t="str">
        <f>VLOOKUP(J1171,Location[],2,FALSE)</f>
        <v>Chula Vista</v>
      </c>
      <c r="E1171" t="str">
        <f>VLOOKUP(J1171,Location[],3,FALSE)</f>
        <v> California</v>
      </c>
      <c r="F1171" t="str">
        <f>VLOOKUP(K1171,Dept[],2,FALSE)</f>
        <v>Customer Support</v>
      </c>
      <c r="G1171" s="11">
        <f t="shared" si="18"/>
        <v>44136</v>
      </c>
      <c r="H1171" t="str">
        <f>VLOOKUP(N1171,Status[],2,FALSE)</f>
        <v>Full-Time</v>
      </c>
      <c r="J1171" s="7">
        <v>1076</v>
      </c>
      <c r="K1171">
        <v>14</v>
      </c>
      <c r="L1171">
        <v>2020</v>
      </c>
      <c r="M1171">
        <v>11</v>
      </c>
      <c r="N1171">
        <v>1</v>
      </c>
    </row>
    <row r="1172" spans="1:14" x14ac:dyDescent="0.25">
      <c r="A1172" t="s">
        <v>3404</v>
      </c>
      <c r="B1172" t="s">
        <v>313</v>
      </c>
      <c r="C1172" t="s">
        <v>314</v>
      </c>
      <c r="D1172" t="str">
        <f>VLOOKUP(J1172,Location[],2,FALSE)</f>
        <v>Sacramento</v>
      </c>
      <c r="E1172" t="str">
        <f>VLOOKUP(J1172,Location[],3,FALSE)</f>
        <v> California</v>
      </c>
      <c r="F1172" t="str">
        <f>VLOOKUP(K1172,Dept[],2,FALSE)</f>
        <v>Customer Support</v>
      </c>
      <c r="G1172" s="11">
        <f t="shared" si="18"/>
        <v>44682</v>
      </c>
      <c r="H1172" t="str">
        <f>VLOOKUP(N1172,Status[],2,FALSE)</f>
        <v>Full-Time</v>
      </c>
      <c r="J1172" s="7">
        <v>1035</v>
      </c>
      <c r="K1172">
        <v>14</v>
      </c>
      <c r="L1172">
        <v>2022</v>
      </c>
      <c r="M1172">
        <v>5</v>
      </c>
      <c r="N1172">
        <v>1</v>
      </c>
    </row>
    <row r="1173" spans="1:14" x14ac:dyDescent="0.25">
      <c r="A1173" t="s">
        <v>3405</v>
      </c>
      <c r="B1173" t="s">
        <v>541</v>
      </c>
      <c r="C1173" t="s">
        <v>954</v>
      </c>
      <c r="D1173" t="str">
        <f>VLOOKUP(J1173,Location[],2,FALSE)</f>
        <v>Durham</v>
      </c>
      <c r="E1173" t="str">
        <f>VLOOKUP(J1173,Location[],3,FALSE)</f>
        <v> North Carolina</v>
      </c>
      <c r="F1173" t="str">
        <f>VLOOKUP(K1173,Dept[],2,FALSE)</f>
        <v>Human Resources</v>
      </c>
      <c r="G1173" s="11">
        <f t="shared" si="18"/>
        <v>44136</v>
      </c>
      <c r="H1173" t="str">
        <f>VLOOKUP(N1173,Status[],2,FALSE)</f>
        <v>Full-Time</v>
      </c>
      <c r="J1173" s="7">
        <v>1077</v>
      </c>
      <c r="K1173">
        <v>16</v>
      </c>
      <c r="L1173">
        <v>2020</v>
      </c>
      <c r="M1173">
        <v>11</v>
      </c>
      <c r="N1173">
        <v>1</v>
      </c>
    </row>
    <row r="1174" spans="1:14" x14ac:dyDescent="0.25">
      <c r="A1174" t="s">
        <v>3406</v>
      </c>
      <c r="B1174" t="s">
        <v>142</v>
      </c>
      <c r="C1174" t="s">
        <v>143</v>
      </c>
      <c r="D1174" t="str">
        <f>VLOOKUP(J1174,Location[],2,FALSE)</f>
        <v>Los Angeles</v>
      </c>
      <c r="E1174" t="str">
        <f>VLOOKUP(J1174,Location[],3,FALSE)</f>
        <v> California</v>
      </c>
      <c r="F1174" t="str">
        <f>VLOOKUP(K1174,Dept[],2,FALSE)</f>
        <v>Legal</v>
      </c>
      <c r="G1174" s="11">
        <f t="shared" si="18"/>
        <v>43678</v>
      </c>
      <c r="H1174" t="str">
        <f>VLOOKUP(N1174,Status[],2,FALSE)</f>
        <v>Part-Time</v>
      </c>
      <c r="J1174" s="7">
        <v>1002</v>
      </c>
      <c r="K1174">
        <v>18</v>
      </c>
      <c r="L1174">
        <v>2019</v>
      </c>
      <c r="M1174">
        <v>8</v>
      </c>
      <c r="N1174">
        <v>0</v>
      </c>
    </row>
    <row r="1175" spans="1:14" x14ac:dyDescent="0.25">
      <c r="A1175" t="s">
        <v>3407</v>
      </c>
      <c r="B1175" t="s">
        <v>1227</v>
      </c>
      <c r="C1175" t="s">
        <v>940</v>
      </c>
      <c r="D1175" t="str">
        <f>VLOOKUP(J1175,Location[],2,FALSE)</f>
        <v>Miami</v>
      </c>
      <c r="E1175" t="str">
        <f>VLOOKUP(J1175,Location[],3,FALSE)</f>
        <v> Florida</v>
      </c>
      <c r="F1175" t="str">
        <f>VLOOKUP(K1175,Dept[],2,FALSE)</f>
        <v>Shipping</v>
      </c>
      <c r="G1175" s="11">
        <f t="shared" si="18"/>
        <v>42614</v>
      </c>
      <c r="H1175" t="str">
        <f>VLOOKUP(N1175,Status[],2,FALSE)</f>
        <v>Part-Time</v>
      </c>
      <c r="J1175" s="7">
        <v>1043</v>
      </c>
      <c r="K1175">
        <v>23</v>
      </c>
      <c r="L1175">
        <v>2016</v>
      </c>
      <c r="M1175">
        <v>9</v>
      </c>
      <c r="N1175">
        <v>0</v>
      </c>
    </row>
    <row r="1176" spans="1:14" x14ac:dyDescent="0.25">
      <c r="A1176" t="s">
        <v>2986</v>
      </c>
      <c r="B1176" t="s">
        <v>471</v>
      </c>
      <c r="C1176" t="s">
        <v>940</v>
      </c>
      <c r="D1176" t="str">
        <f>VLOOKUP(J1176,Location[],2,FALSE)</f>
        <v>Chicago</v>
      </c>
      <c r="E1176" t="str">
        <f>VLOOKUP(J1176,Location[],3,FALSE)</f>
        <v> Illinois</v>
      </c>
      <c r="F1176" t="str">
        <f>VLOOKUP(K1176,Dept[],2,FALSE)</f>
        <v>Accounting</v>
      </c>
      <c r="G1176" s="11">
        <f t="shared" si="18"/>
        <v>42614</v>
      </c>
      <c r="H1176" t="str">
        <f>VLOOKUP(N1176,Status[],2,FALSE)</f>
        <v>Full-Time</v>
      </c>
      <c r="J1176" s="7">
        <v>1003</v>
      </c>
      <c r="K1176">
        <v>11</v>
      </c>
      <c r="L1176">
        <v>2016</v>
      </c>
      <c r="M1176">
        <v>9</v>
      </c>
      <c r="N1176">
        <v>1</v>
      </c>
    </row>
    <row r="1177" spans="1:14" x14ac:dyDescent="0.25">
      <c r="A1177" t="s">
        <v>3408</v>
      </c>
      <c r="B1177" t="s">
        <v>83</v>
      </c>
      <c r="C1177" t="s">
        <v>688</v>
      </c>
      <c r="D1177" t="str">
        <f>VLOOKUP(J1177,Location[],2,FALSE)</f>
        <v>Jacksonville</v>
      </c>
      <c r="E1177" t="str">
        <f>VLOOKUP(J1177,Location[],3,FALSE)</f>
        <v> Florida</v>
      </c>
      <c r="F1177" t="str">
        <f>VLOOKUP(K1177,Dept[],2,FALSE)</f>
        <v>Human Resources</v>
      </c>
      <c r="G1177" s="11">
        <f t="shared" si="18"/>
        <v>40969</v>
      </c>
      <c r="H1177" t="str">
        <f>VLOOKUP(N1177,Status[],2,FALSE)</f>
        <v>Full-Time</v>
      </c>
      <c r="J1177" s="7">
        <v>1012</v>
      </c>
      <c r="K1177">
        <v>16</v>
      </c>
      <c r="L1177">
        <v>2012</v>
      </c>
      <c r="M1177">
        <v>3</v>
      </c>
      <c r="N1177">
        <v>1</v>
      </c>
    </row>
    <row r="1178" spans="1:14" x14ac:dyDescent="0.25">
      <c r="A1178" t="s">
        <v>3409</v>
      </c>
      <c r="B1178" t="s">
        <v>71</v>
      </c>
      <c r="C1178" t="s">
        <v>102</v>
      </c>
      <c r="D1178" t="str">
        <f>VLOOKUP(J1178,Location[],2,FALSE)</f>
        <v>Indianapolis</v>
      </c>
      <c r="E1178" t="str">
        <f>VLOOKUP(J1178,Location[],3,FALSE)</f>
        <v> Indiana</v>
      </c>
      <c r="F1178" t="str">
        <f>VLOOKUP(K1178,Dept[],2,FALSE)</f>
        <v>Legal</v>
      </c>
      <c r="G1178" s="11">
        <f t="shared" si="18"/>
        <v>43586</v>
      </c>
      <c r="H1178" t="str">
        <f>VLOOKUP(N1178,Status[],2,FALSE)</f>
        <v>Full-Time</v>
      </c>
      <c r="J1178" s="7">
        <v>1016</v>
      </c>
      <c r="K1178">
        <v>18</v>
      </c>
      <c r="L1178">
        <v>2019</v>
      </c>
      <c r="M1178">
        <v>5</v>
      </c>
      <c r="N1178">
        <v>1</v>
      </c>
    </row>
    <row r="1179" spans="1:14" x14ac:dyDescent="0.25">
      <c r="A1179" t="s">
        <v>3410</v>
      </c>
      <c r="B1179" t="s">
        <v>1523</v>
      </c>
      <c r="C1179" t="s">
        <v>1524</v>
      </c>
      <c r="D1179" t="str">
        <f>VLOOKUP(J1179,Location[],2,FALSE)</f>
        <v>Laredo</v>
      </c>
      <c r="E1179" t="str">
        <f>VLOOKUP(J1179,Location[],3,FALSE)</f>
        <v> Texas</v>
      </c>
      <c r="F1179" t="str">
        <f>VLOOKUP(K1179,Dept[],2,FALSE)</f>
        <v>Finance</v>
      </c>
      <c r="G1179" s="11">
        <f t="shared" si="18"/>
        <v>43040</v>
      </c>
      <c r="H1179" t="str">
        <f>VLOOKUP(N1179,Status[],2,FALSE)</f>
        <v>Full-Time</v>
      </c>
      <c r="J1179" s="7">
        <v>1080</v>
      </c>
      <c r="K1179">
        <v>15</v>
      </c>
      <c r="L1179">
        <v>2017</v>
      </c>
      <c r="M1179">
        <v>11</v>
      </c>
      <c r="N1179">
        <v>1</v>
      </c>
    </row>
    <row r="1180" spans="1:14" x14ac:dyDescent="0.25">
      <c r="A1180" t="s">
        <v>3411</v>
      </c>
      <c r="B1180" t="s">
        <v>250</v>
      </c>
      <c r="C1180" t="s">
        <v>957</v>
      </c>
      <c r="D1180" t="str">
        <f>VLOOKUP(J1180,Location[],2,FALSE)</f>
        <v>Chicago</v>
      </c>
      <c r="E1180" t="str">
        <f>VLOOKUP(J1180,Location[],3,FALSE)</f>
        <v> Illinois</v>
      </c>
      <c r="F1180" t="str">
        <f>VLOOKUP(K1180,Dept[],2,FALSE)</f>
        <v>Media</v>
      </c>
      <c r="G1180" s="11">
        <f t="shared" si="18"/>
        <v>44378</v>
      </c>
      <c r="H1180" t="str">
        <f>VLOOKUP(N1180,Status[],2,FALSE)</f>
        <v>Full-Time</v>
      </c>
      <c r="J1180" s="7">
        <v>1003</v>
      </c>
      <c r="K1180">
        <v>20</v>
      </c>
      <c r="L1180">
        <v>2021</v>
      </c>
      <c r="M1180">
        <v>7</v>
      </c>
      <c r="N1180">
        <v>1</v>
      </c>
    </row>
    <row r="1181" spans="1:14" x14ac:dyDescent="0.25">
      <c r="A1181" t="s">
        <v>3412</v>
      </c>
      <c r="B1181" t="s">
        <v>108</v>
      </c>
      <c r="C1181" t="s">
        <v>1829</v>
      </c>
      <c r="D1181" t="str">
        <f>VLOOKUP(J1181,Location[],2,FALSE)</f>
        <v>Santa Ana</v>
      </c>
      <c r="E1181" t="str">
        <f>VLOOKUP(J1181,Location[],3,FALSE)</f>
        <v> California</v>
      </c>
      <c r="F1181" t="str">
        <f>VLOOKUP(K1181,Dept[],2,FALSE)</f>
        <v>Accounting</v>
      </c>
      <c r="G1181" s="11">
        <f t="shared" si="18"/>
        <v>43344</v>
      </c>
      <c r="H1181" t="str">
        <f>VLOOKUP(N1181,Status[],2,FALSE)</f>
        <v>Full-Time</v>
      </c>
      <c r="J1181" s="7">
        <v>1057</v>
      </c>
      <c r="K1181">
        <v>11</v>
      </c>
      <c r="L1181">
        <v>2018</v>
      </c>
      <c r="M1181">
        <v>9</v>
      </c>
      <c r="N1181">
        <v>1</v>
      </c>
    </row>
    <row r="1182" spans="1:14" x14ac:dyDescent="0.25">
      <c r="A1182" t="s">
        <v>3413</v>
      </c>
      <c r="B1182" t="s">
        <v>464</v>
      </c>
      <c r="C1182" t="s">
        <v>465</v>
      </c>
      <c r="D1182" t="str">
        <f>VLOOKUP(J1182,Location[],2,FALSE)</f>
        <v>Anchorage</v>
      </c>
      <c r="E1182" t="str">
        <f>VLOOKUP(J1182,Location[],3,FALSE)</f>
        <v> Alaska</v>
      </c>
      <c r="F1182" t="str">
        <f>VLOOKUP(K1182,Dept[],2,FALSE)</f>
        <v>Accounting</v>
      </c>
      <c r="G1182" s="11">
        <f t="shared" si="18"/>
        <v>41061</v>
      </c>
      <c r="H1182" t="str">
        <f>VLOOKUP(N1182,Status[],2,FALSE)</f>
        <v>Full-Time</v>
      </c>
      <c r="J1182" s="7">
        <v>1067</v>
      </c>
      <c r="K1182">
        <v>11</v>
      </c>
      <c r="L1182">
        <v>2012</v>
      </c>
      <c r="M1182">
        <v>6</v>
      </c>
      <c r="N1182">
        <v>1</v>
      </c>
    </row>
    <row r="1183" spans="1:14" x14ac:dyDescent="0.25">
      <c r="A1183" t="s">
        <v>3414</v>
      </c>
      <c r="B1183" t="s">
        <v>47</v>
      </c>
      <c r="C1183" t="s">
        <v>970</v>
      </c>
      <c r="D1183" t="str">
        <f>VLOOKUP(J1183,Location[],2,FALSE)</f>
        <v>Charlotte</v>
      </c>
      <c r="E1183" t="str">
        <f>VLOOKUP(J1183,Location[],3,FALSE)</f>
        <v> North Carolina</v>
      </c>
      <c r="F1183" t="str">
        <f>VLOOKUP(K1183,Dept[],2,FALSE)</f>
        <v>Finance</v>
      </c>
      <c r="G1183" s="11">
        <f t="shared" si="18"/>
        <v>42401</v>
      </c>
      <c r="H1183" t="str">
        <f>VLOOKUP(N1183,Status[],2,FALSE)</f>
        <v>Full-Time</v>
      </c>
      <c r="J1183" s="7">
        <v>1017</v>
      </c>
      <c r="K1183">
        <v>15</v>
      </c>
      <c r="L1183">
        <v>2016</v>
      </c>
      <c r="M1183">
        <v>2</v>
      </c>
      <c r="N1183">
        <v>1</v>
      </c>
    </row>
    <row r="1184" spans="1:14" x14ac:dyDescent="0.25">
      <c r="A1184" t="s">
        <v>3415</v>
      </c>
      <c r="B1184" t="s">
        <v>1780</v>
      </c>
      <c r="C1184" t="s">
        <v>1781</v>
      </c>
      <c r="D1184" t="str">
        <f>VLOOKUP(J1184,Location[],2,FALSE)</f>
        <v>Oakland</v>
      </c>
      <c r="E1184" t="str">
        <f>VLOOKUP(J1184,Location[],3,FALSE)</f>
        <v> California</v>
      </c>
      <c r="F1184" t="str">
        <f>VLOOKUP(K1184,Dept[],2,FALSE)</f>
        <v>Accounting</v>
      </c>
      <c r="G1184" s="11">
        <f t="shared" si="18"/>
        <v>42856</v>
      </c>
      <c r="H1184" t="str">
        <f>VLOOKUP(N1184,Status[],2,FALSE)</f>
        <v>Part-Time</v>
      </c>
      <c r="J1184" s="7">
        <v>1045</v>
      </c>
      <c r="K1184">
        <v>11</v>
      </c>
      <c r="L1184">
        <v>2017</v>
      </c>
      <c r="M1184">
        <v>5</v>
      </c>
      <c r="N1184">
        <v>0</v>
      </c>
    </row>
    <row r="1185" spans="1:14" x14ac:dyDescent="0.25">
      <c r="A1185" t="s">
        <v>3416</v>
      </c>
      <c r="B1185" t="s">
        <v>683</v>
      </c>
      <c r="C1185" t="s">
        <v>684</v>
      </c>
      <c r="D1185" t="str">
        <f>VLOOKUP(J1185,Location[],2,FALSE)</f>
        <v>Newark</v>
      </c>
      <c r="E1185" t="str">
        <f>VLOOKUP(J1185,Location[],3,FALSE)</f>
        <v> New Jersey</v>
      </c>
      <c r="F1185" t="str">
        <f>VLOOKUP(K1185,Dept[],2,FALSE)</f>
        <v>Assessment</v>
      </c>
      <c r="G1185" s="11">
        <f t="shared" si="18"/>
        <v>40664</v>
      </c>
      <c r="H1185" t="str">
        <f>VLOOKUP(N1185,Status[],2,FALSE)</f>
        <v>Full-Time</v>
      </c>
      <c r="J1185" s="7">
        <v>1070</v>
      </c>
      <c r="K1185">
        <v>13</v>
      </c>
      <c r="L1185">
        <v>2011</v>
      </c>
      <c r="M1185">
        <v>5</v>
      </c>
      <c r="N1185">
        <v>1</v>
      </c>
    </row>
    <row r="1186" spans="1:14" x14ac:dyDescent="0.25">
      <c r="A1186" t="s">
        <v>3417</v>
      </c>
      <c r="B1186" t="s">
        <v>739</v>
      </c>
      <c r="C1186" t="s">
        <v>1822</v>
      </c>
      <c r="D1186" t="str">
        <f>VLOOKUP(J1186,Location[],2,FALSE)</f>
        <v>Oklahoma City</v>
      </c>
      <c r="E1186" t="str">
        <f>VLOOKUP(J1186,Location[],3,FALSE)</f>
        <v> Oklahoma</v>
      </c>
      <c r="F1186" t="str">
        <f>VLOOKUP(K1186,Dept[],2,FALSE)</f>
        <v>Assessment</v>
      </c>
      <c r="G1186" s="11">
        <f t="shared" si="18"/>
        <v>44409</v>
      </c>
      <c r="H1186" t="str">
        <f>VLOOKUP(N1186,Status[],2,FALSE)</f>
        <v>Full-Time</v>
      </c>
      <c r="J1186" s="7">
        <v>1027</v>
      </c>
      <c r="K1186">
        <v>13</v>
      </c>
      <c r="L1186">
        <v>2021</v>
      </c>
      <c r="M1186">
        <v>8</v>
      </c>
      <c r="N1186">
        <v>1</v>
      </c>
    </row>
    <row r="1187" spans="1:14" x14ac:dyDescent="0.25">
      <c r="A1187" t="s">
        <v>3418</v>
      </c>
      <c r="B1187" t="s">
        <v>1484</v>
      </c>
      <c r="C1187" t="s">
        <v>1485</v>
      </c>
      <c r="D1187" t="str">
        <f>VLOOKUP(J1187,Location[],2,FALSE)</f>
        <v>Los Angeles</v>
      </c>
      <c r="E1187" t="str">
        <f>VLOOKUP(J1187,Location[],3,FALSE)</f>
        <v> California</v>
      </c>
      <c r="F1187" t="str">
        <f>VLOOKUP(K1187,Dept[],2,FALSE)</f>
        <v>Finance</v>
      </c>
      <c r="G1187" s="11">
        <f t="shared" si="18"/>
        <v>41791</v>
      </c>
      <c r="H1187" t="str">
        <f>VLOOKUP(N1187,Status[],2,FALSE)</f>
        <v>Full-Time</v>
      </c>
      <c r="J1187" s="7">
        <v>1002</v>
      </c>
      <c r="K1187">
        <v>15</v>
      </c>
      <c r="L1187">
        <v>2014</v>
      </c>
      <c r="M1187">
        <v>6</v>
      </c>
      <c r="N1187">
        <v>1</v>
      </c>
    </row>
    <row r="1188" spans="1:14" x14ac:dyDescent="0.25">
      <c r="A1188" t="s">
        <v>3419</v>
      </c>
      <c r="B1188" t="s">
        <v>1059</v>
      </c>
      <c r="C1188" t="s">
        <v>1060</v>
      </c>
      <c r="D1188" t="str">
        <f>VLOOKUP(J1188,Location[],2,FALSE)</f>
        <v>Kansas City</v>
      </c>
      <c r="E1188" t="str">
        <f>VLOOKUP(J1188,Location[],3,FALSE)</f>
        <v> Missouri</v>
      </c>
      <c r="F1188" t="str">
        <f>VLOOKUP(K1188,Dept[],2,FALSE)</f>
        <v>Media</v>
      </c>
      <c r="G1188" s="11">
        <f t="shared" si="18"/>
        <v>41944</v>
      </c>
      <c r="H1188" t="str">
        <f>VLOOKUP(N1188,Status[],2,FALSE)</f>
        <v>Full-Time</v>
      </c>
      <c r="J1188" s="7">
        <v>1037</v>
      </c>
      <c r="K1188">
        <v>20</v>
      </c>
      <c r="L1188">
        <v>2014</v>
      </c>
      <c r="M1188">
        <v>11</v>
      </c>
      <c r="N1188">
        <v>1</v>
      </c>
    </row>
    <row r="1189" spans="1:14" x14ac:dyDescent="0.25">
      <c r="A1189" t="s">
        <v>3420</v>
      </c>
      <c r="B1189" t="s">
        <v>9</v>
      </c>
      <c r="C1189" t="s">
        <v>1060</v>
      </c>
      <c r="D1189" t="str">
        <f>VLOOKUP(J1189,Location[],2,FALSE)</f>
        <v>El Paso</v>
      </c>
      <c r="E1189" t="str">
        <f>VLOOKUP(J1189,Location[],3,FALSE)</f>
        <v> Texas</v>
      </c>
      <c r="F1189" t="str">
        <f>VLOOKUP(K1189,Dept[],2,FALSE)</f>
        <v>Finance</v>
      </c>
      <c r="G1189" s="11">
        <f t="shared" si="18"/>
        <v>43252</v>
      </c>
      <c r="H1189" t="str">
        <f>VLOOKUP(N1189,Status[],2,FALSE)</f>
        <v>Full-Time</v>
      </c>
      <c r="J1189" s="7">
        <v>1022</v>
      </c>
      <c r="K1189">
        <v>15</v>
      </c>
      <c r="L1189">
        <v>2018</v>
      </c>
      <c r="M1189">
        <v>6</v>
      </c>
      <c r="N1189">
        <v>1</v>
      </c>
    </row>
    <row r="1190" spans="1:14" x14ac:dyDescent="0.25">
      <c r="A1190" t="s">
        <v>3421</v>
      </c>
      <c r="B1190" t="s">
        <v>2036</v>
      </c>
      <c r="C1190" t="s">
        <v>2037</v>
      </c>
      <c r="D1190" t="str">
        <f>VLOOKUP(J1190,Location[],2,FALSE)</f>
        <v>Omaha</v>
      </c>
      <c r="E1190" t="str">
        <f>VLOOKUP(J1190,Location[],3,FALSE)</f>
        <v> Nebraska</v>
      </c>
      <c r="F1190" t="str">
        <f>VLOOKUP(K1190,Dept[],2,FALSE)</f>
        <v>Accounting</v>
      </c>
      <c r="G1190" s="11">
        <f t="shared" si="18"/>
        <v>43862</v>
      </c>
      <c r="H1190" t="str">
        <f>VLOOKUP(N1190,Status[],2,FALSE)</f>
        <v>Full-Time</v>
      </c>
      <c r="J1190" s="7">
        <v>1040</v>
      </c>
      <c r="K1190">
        <v>11</v>
      </c>
      <c r="L1190">
        <v>2020</v>
      </c>
      <c r="M1190">
        <v>2</v>
      </c>
      <c r="N1190">
        <v>1</v>
      </c>
    </row>
    <row r="1191" spans="1:14" x14ac:dyDescent="0.25">
      <c r="A1191" t="s">
        <v>3422</v>
      </c>
      <c r="B1191" t="s">
        <v>270</v>
      </c>
      <c r="C1191" t="s">
        <v>2099</v>
      </c>
      <c r="D1191" t="str">
        <f>VLOOKUP(J1191,Location[],2,FALSE)</f>
        <v>Los Angeles</v>
      </c>
      <c r="E1191" t="str">
        <f>VLOOKUP(J1191,Location[],3,FALSE)</f>
        <v> California</v>
      </c>
      <c r="F1191" t="str">
        <f>VLOOKUP(K1191,Dept[],2,FALSE)</f>
        <v>Legal</v>
      </c>
      <c r="G1191" s="11">
        <f t="shared" si="18"/>
        <v>41518</v>
      </c>
      <c r="H1191" t="str">
        <f>VLOOKUP(N1191,Status[],2,FALSE)</f>
        <v>Full-Time</v>
      </c>
      <c r="J1191" s="7">
        <v>1002</v>
      </c>
      <c r="K1191">
        <v>18</v>
      </c>
      <c r="L1191">
        <v>2013</v>
      </c>
      <c r="M1191">
        <v>9</v>
      </c>
      <c r="N1191">
        <v>1</v>
      </c>
    </row>
    <row r="1192" spans="1:14" x14ac:dyDescent="0.25">
      <c r="A1192" t="s">
        <v>3423</v>
      </c>
      <c r="B1192" t="s">
        <v>53</v>
      </c>
      <c r="C1192" t="s">
        <v>1306</v>
      </c>
      <c r="D1192" t="str">
        <f>VLOOKUP(J1192,Location[],2,FALSE)</f>
        <v>San Diego</v>
      </c>
      <c r="E1192" t="str">
        <f>VLOOKUP(J1192,Location[],3,FALSE)</f>
        <v> California</v>
      </c>
      <c r="F1192" t="str">
        <f>VLOOKUP(K1192,Dept[],2,FALSE)</f>
        <v>Accounting</v>
      </c>
      <c r="G1192" s="11">
        <f t="shared" si="18"/>
        <v>42767</v>
      </c>
      <c r="H1192" t="str">
        <f>VLOOKUP(N1192,Status[],2,FALSE)</f>
        <v>Full-Time</v>
      </c>
      <c r="J1192" s="7">
        <v>1008</v>
      </c>
      <c r="K1192">
        <v>11</v>
      </c>
      <c r="L1192">
        <v>2017</v>
      </c>
      <c r="M1192">
        <v>2</v>
      </c>
      <c r="N1192">
        <v>1</v>
      </c>
    </row>
    <row r="1193" spans="1:14" x14ac:dyDescent="0.25">
      <c r="A1193" t="s">
        <v>3424</v>
      </c>
      <c r="B1193" t="s">
        <v>694</v>
      </c>
      <c r="C1193" t="s">
        <v>1039</v>
      </c>
      <c r="D1193" t="str">
        <f>VLOOKUP(J1193,Location[],2,FALSE)</f>
        <v>San Diego</v>
      </c>
      <c r="E1193" t="str">
        <f>VLOOKUP(J1193,Location[],3,FALSE)</f>
        <v> California</v>
      </c>
      <c r="F1193" t="str">
        <f>VLOOKUP(K1193,Dept[],2,FALSE)</f>
        <v>Assessment</v>
      </c>
      <c r="G1193" s="11">
        <f t="shared" si="18"/>
        <v>41153</v>
      </c>
      <c r="H1193" t="str">
        <f>VLOOKUP(N1193,Status[],2,FALSE)</f>
        <v>Full-Time</v>
      </c>
      <c r="J1193" s="7">
        <v>1008</v>
      </c>
      <c r="K1193">
        <v>13</v>
      </c>
      <c r="L1193">
        <v>2012</v>
      </c>
      <c r="M1193">
        <v>9</v>
      </c>
      <c r="N1193">
        <v>1</v>
      </c>
    </row>
    <row r="1194" spans="1:14" x14ac:dyDescent="0.25">
      <c r="A1194" t="s">
        <v>3425</v>
      </c>
      <c r="B1194" t="s">
        <v>253</v>
      </c>
      <c r="C1194" t="s">
        <v>1882</v>
      </c>
      <c r="D1194" t="str">
        <f>VLOOKUP(J1194,Location[],2,FALSE)</f>
        <v>El Paso</v>
      </c>
      <c r="E1194" t="str">
        <f>VLOOKUP(J1194,Location[],3,FALSE)</f>
        <v> Texas</v>
      </c>
      <c r="F1194" t="str">
        <f>VLOOKUP(K1194,Dept[],2,FALSE)</f>
        <v>Customer Support</v>
      </c>
      <c r="G1194" s="11">
        <f t="shared" si="18"/>
        <v>42522</v>
      </c>
      <c r="H1194" t="str">
        <f>VLOOKUP(N1194,Status[],2,FALSE)</f>
        <v>Full-Time</v>
      </c>
      <c r="J1194" s="7">
        <v>1022</v>
      </c>
      <c r="K1194">
        <v>14</v>
      </c>
      <c r="L1194">
        <v>2016</v>
      </c>
      <c r="M1194">
        <v>6</v>
      </c>
      <c r="N1194">
        <v>1</v>
      </c>
    </row>
    <row r="1195" spans="1:14" x14ac:dyDescent="0.25">
      <c r="A1195" t="s">
        <v>3426</v>
      </c>
      <c r="B1195" t="s">
        <v>1673</v>
      </c>
      <c r="C1195" t="s">
        <v>1674</v>
      </c>
      <c r="D1195" t="str">
        <f>VLOOKUP(J1195,Location[],2,FALSE)</f>
        <v>New York City</v>
      </c>
      <c r="E1195" t="str">
        <f>VLOOKUP(J1195,Location[],3,FALSE)</f>
        <v> New York</v>
      </c>
      <c r="F1195" t="str">
        <f>VLOOKUP(K1195,Dept[],2,FALSE)</f>
        <v>Legal</v>
      </c>
      <c r="G1195" s="11">
        <f t="shared" si="18"/>
        <v>40756</v>
      </c>
      <c r="H1195" t="str">
        <f>VLOOKUP(N1195,Status[],2,FALSE)</f>
        <v>Full-Time</v>
      </c>
      <c r="J1195" s="7">
        <v>1001</v>
      </c>
      <c r="K1195">
        <v>18</v>
      </c>
      <c r="L1195">
        <v>2011</v>
      </c>
      <c r="M1195">
        <v>8</v>
      </c>
      <c r="N1195">
        <v>1</v>
      </c>
    </row>
    <row r="1196" spans="1:14" x14ac:dyDescent="0.25">
      <c r="A1196" t="s">
        <v>3427</v>
      </c>
      <c r="B1196" t="s">
        <v>736</v>
      </c>
      <c r="C1196" t="s">
        <v>1454</v>
      </c>
      <c r="D1196" t="str">
        <f>VLOOKUP(J1196,Location[],2,FALSE)</f>
        <v>New York City</v>
      </c>
      <c r="E1196" t="str">
        <f>VLOOKUP(J1196,Location[],3,FALSE)</f>
        <v> New York</v>
      </c>
      <c r="F1196" t="str">
        <f>VLOOKUP(K1196,Dept[],2,FALSE)</f>
        <v>Accounting</v>
      </c>
      <c r="G1196" s="11">
        <f t="shared" si="18"/>
        <v>41091</v>
      </c>
      <c r="H1196" t="str">
        <f>VLOOKUP(N1196,Status[],2,FALSE)</f>
        <v>Full-Time</v>
      </c>
      <c r="J1196" s="7">
        <v>1001</v>
      </c>
      <c r="K1196">
        <v>11</v>
      </c>
      <c r="L1196">
        <v>2012</v>
      </c>
      <c r="M1196">
        <v>7</v>
      </c>
      <c r="N1196">
        <v>1</v>
      </c>
    </row>
    <row r="1197" spans="1:14" x14ac:dyDescent="0.25">
      <c r="A1197" t="s">
        <v>3428</v>
      </c>
      <c r="B1197" t="s">
        <v>103</v>
      </c>
      <c r="C1197" t="s">
        <v>1795</v>
      </c>
      <c r="D1197" t="str">
        <f>VLOOKUP(J1197,Location[],2,FALSE)</f>
        <v>New York City</v>
      </c>
      <c r="E1197" t="str">
        <f>VLOOKUP(J1197,Location[],3,FALSE)</f>
        <v> New York</v>
      </c>
      <c r="F1197" t="str">
        <f>VLOOKUP(K1197,Dept[],2,FALSE)</f>
        <v>Sales</v>
      </c>
      <c r="G1197" s="11">
        <f t="shared" si="18"/>
        <v>42644</v>
      </c>
      <c r="H1197" t="str">
        <f>VLOOKUP(N1197,Status[],2,FALSE)</f>
        <v>Full-Time</v>
      </c>
      <c r="J1197" s="7">
        <v>1001</v>
      </c>
      <c r="K1197">
        <v>22</v>
      </c>
      <c r="L1197">
        <v>2016</v>
      </c>
      <c r="M1197">
        <v>10</v>
      </c>
      <c r="N1197">
        <v>1</v>
      </c>
    </row>
    <row r="1198" spans="1:14" x14ac:dyDescent="0.25">
      <c r="A1198" t="s">
        <v>3429</v>
      </c>
      <c r="B1198" t="s">
        <v>999</v>
      </c>
      <c r="C1198" t="s">
        <v>1000</v>
      </c>
      <c r="D1198" t="str">
        <f>VLOOKUP(J1198,Location[],2,FALSE)</f>
        <v>Philadelphia</v>
      </c>
      <c r="E1198" t="str">
        <f>VLOOKUP(J1198,Location[],3,FALSE)</f>
        <v> Pennsylvania</v>
      </c>
      <c r="F1198" t="str">
        <f>VLOOKUP(K1198,Dept[],2,FALSE)</f>
        <v>IT</v>
      </c>
      <c r="G1198" s="11">
        <f t="shared" si="18"/>
        <v>41334</v>
      </c>
      <c r="H1198" t="str">
        <f>VLOOKUP(N1198,Status[],2,FALSE)</f>
        <v>Full-Time</v>
      </c>
      <c r="J1198" s="7">
        <v>1006</v>
      </c>
      <c r="K1198">
        <v>17</v>
      </c>
      <c r="L1198">
        <v>2013</v>
      </c>
      <c r="M1198">
        <v>3</v>
      </c>
      <c r="N1198">
        <v>1</v>
      </c>
    </row>
    <row r="1199" spans="1:14" x14ac:dyDescent="0.25">
      <c r="A1199" t="s">
        <v>3430</v>
      </c>
      <c r="B1199" t="s">
        <v>367</v>
      </c>
      <c r="C1199" t="s">
        <v>1474</v>
      </c>
      <c r="D1199" t="str">
        <f>VLOOKUP(J1199,Location[],2,FALSE)</f>
        <v>Fort Worth</v>
      </c>
      <c r="E1199" t="str">
        <f>VLOOKUP(J1199,Location[],3,FALSE)</f>
        <v> Texas</v>
      </c>
      <c r="F1199" t="str">
        <f>VLOOKUP(K1199,Dept[],2,FALSE)</f>
        <v>Sales</v>
      </c>
      <c r="G1199" s="11">
        <f t="shared" si="18"/>
        <v>45231</v>
      </c>
      <c r="H1199" t="str">
        <f>VLOOKUP(N1199,Status[],2,FALSE)</f>
        <v>Full-Time</v>
      </c>
      <c r="J1199" s="7">
        <v>1015</v>
      </c>
      <c r="K1199">
        <v>22</v>
      </c>
      <c r="L1199">
        <v>2023</v>
      </c>
      <c r="M1199">
        <v>11</v>
      </c>
      <c r="N1199">
        <v>1</v>
      </c>
    </row>
    <row r="1200" spans="1:14" x14ac:dyDescent="0.25">
      <c r="A1200" t="s">
        <v>3431</v>
      </c>
      <c r="B1200" t="s">
        <v>848</v>
      </c>
      <c r="C1200" t="s">
        <v>862</v>
      </c>
      <c r="D1200" t="str">
        <f>VLOOKUP(J1200,Location[],2,FALSE)</f>
        <v>Houston</v>
      </c>
      <c r="E1200" t="str">
        <f>VLOOKUP(J1200,Location[],3,FALSE)</f>
        <v> Texas</v>
      </c>
      <c r="F1200" t="str">
        <f>VLOOKUP(K1200,Dept[],2,FALSE)</f>
        <v>Legal</v>
      </c>
      <c r="G1200" s="11">
        <f t="shared" si="18"/>
        <v>43374</v>
      </c>
      <c r="H1200" t="str">
        <f>VLOOKUP(N1200,Status[],2,FALSE)</f>
        <v>Part-Time</v>
      </c>
      <c r="J1200" s="7">
        <v>1004</v>
      </c>
      <c r="K1200">
        <v>18</v>
      </c>
      <c r="L1200">
        <v>2018</v>
      </c>
      <c r="M1200">
        <v>10</v>
      </c>
      <c r="N1200">
        <v>0</v>
      </c>
    </row>
    <row r="1201" spans="1:14" x14ac:dyDescent="0.25">
      <c r="A1201" t="s">
        <v>3432</v>
      </c>
      <c r="B1201" t="s">
        <v>731</v>
      </c>
      <c r="C1201" t="s">
        <v>732</v>
      </c>
      <c r="D1201" t="str">
        <f>VLOOKUP(J1201,Location[],2,FALSE)</f>
        <v>Lexington</v>
      </c>
      <c r="E1201" t="str">
        <f>VLOOKUP(J1201,Location[],3,FALSE)</f>
        <v> Kentucky</v>
      </c>
      <c r="F1201" t="str">
        <f>VLOOKUP(K1201,Dept[],2,FALSE)</f>
        <v>Assessment</v>
      </c>
      <c r="G1201" s="11">
        <f t="shared" si="18"/>
        <v>41030</v>
      </c>
      <c r="H1201" t="str">
        <f>VLOOKUP(N1201,Status[],2,FALSE)</f>
        <v>Full-Time</v>
      </c>
      <c r="J1201" s="7">
        <v>1060</v>
      </c>
      <c r="K1201">
        <v>13</v>
      </c>
      <c r="L1201">
        <v>2012</v>
      </c>
      <c r="M1201">
        <v>5</v>
      </c>
      <c r="N1201">
        <v>1</v>
      </c>
    </row>
    <row r="1202" spans="1:14" x14ac:dyDescent="0.25">
      <c r="A1202" t="s">
        <v>3433</v>
      </c>
      <c r="B1202" t="s">
        <v>349</v>
      </c>
      <c r="C1202" t="s">
        <v>976</v>
      </c>
      <c r="D1202" t="str">
        <f>VLOOKUP(J1202,Location[],2,FALSE)</f>
        <v>Fresno</v>
      </c>
      <c r="E1202" t="str">
        <f>VLOOKUP(J1202,Location[],3,FALSE)</f>
        <v> California</v>
      </c>
      <c r="F1202" t="str">
        <f>VLOOKUP(K1202,Dept[],2,FALSE)</f>
        <v>Customer Support</v>
      </c>
      <c r="G1202" s="11">
        <f t="shared" si="18"/>
        <v>41548</v>
      </c>
      <c r="H1202" t="str">
        <f>VLOOKUP(N1202,Status[],2,FALSE)</f>
        <v>Full-Time</v>
      </c>
      <c r="J1202" s="7">
        <v>1034</v>
      </c>
      <c r="K1202">
        <v>14</v>
      </c>
      <c r="L1202">
        <v>2013</v>
      </c>
      <c r="M1202">
        <v>10</v>
      </c>
      <c r="N1202">
        <v>1</v>
      </c>
    </row>
    <row r="1203" spans="1:14" x14ac:dyDescent="0.25">
      <c r="A1203" t="s">
        <v>3434</v>
      </c>
      <c r="B1203" t="s">
        <v>573</v>
      </c>
      <c r="C1203" t="s">
        <v>1136</v>
      </c>
      <c r="D1203" t="str">
        <f>VLOOKUP(J1203,Location[],2,FALSE)</f>
        <v>Los Angeles</v>
      </c>
      <c r="E1203" t="str">
        <f>VLOOKUP(J1203,Location[],3,FALSE)</f>
        <v> California</v>
      </c>
      <c r="F1203" t="str">
        <f>VLOOKUP(K1203,Dept[],2,FALSE)</f>
        <v>Accounting</v>
      </c>
      <c r="G1203" s="11">
        <f t="shared" si="18"/>
        <v>45139</v>
      </c>
      <c r="H1203" t="str">
        <f>VLOOKUP(N1203,Status[],2,FALSE)</f>
        <v>Full-Time</v>
      </c>
      <c r="J1203" s="7">
        <v>1002</v>
      </c>
      <c r="K1203">
        <v>11</v>
      </c>
      <c r="L1203">
        <v>2023</v>
      </c>
      <c r="M1203">
        <v>8</v>
      </c>
      <c r="N1203">
        <v>1</v>
      </c>
    </row>
    <row r="1204" spans="1:14" x14ac:dyDescent="0.25">
      <c r="A1204" t="s">
        <v>3435</v>
      </c>
      <c r="B1204" t="s">
        <v>392</v>
      </c>
      <c r="C1204" t="s">
        <v>393</v>
      </c>
      <c r="D1204" t="str">
        <f>VLOOKUP(J1204,Location[],2,FALSE)</f>
        <v>Los Angeles</v>
      </c>
      <c r="E1204" t="str">
        <f>VLOOKUP(J1204,Location[],3,FALSE)</f>
        <v> California</v>
      </c>
      <c r="F1204" t="str">
        <f>VLOOKUP(K1204,Dept[],2,FALSE)</f>
        <v>Administration</v>
      </c>
      <c r="G1204" s="11">
        <f t="shared" si="18"/>
        <v>44287</v>
      </c>
      <c r="H1204" t="str">
        <f>VLOOKUP(N1204,Status[],2,FALSE)</f>
        <v>Full-Time</v>
      </c>
      <c r="J1204" s="7">
        <v>1002</v>
      </c>
      <c r="K1204">
        <v>12</v>
      </c>
      <c r="L1204">
        <v>2021</v>
      </c>
      <c r="M1204">
        <v>4</v>
      </c>
      <c r="N1204">
        <v>1</v>
      </c>
    </row>
    <row r="1205" spans="1:14" x14ac:dyDescent="0.25">
      <c r="A1205" t="s">
        <v>3436</v>
      </c>
      <c r="B1205" t="s">
        <v>1669</v>
      </c>
      <c r="C1205" t="s">
        <v>1670</v>
      </c>
      <c r="D1205" t="str">
        <f>VLOOKUP(J1205,Location[],2,FALSE)</f>
        <v>Denver</v>
      </c>
      <c r="E1205" t="str">
        <f>VLOOKUP(J1205,Location[],3,FALSE)</f>
        <v> Colorado</v>
      </c>
      <c r="F1205" t="str">
        <f>VLOOKUP(K1205,Dept[],2,FALSE)</f>
        <v>Administration</v>
      </c>
      <c r="G1205" s="11">
        <f t="shared" si="18"/>
        <v>42767</v>
      </c>
      <c r="H1205" t="str">
        <f>VLOOKUP(N1205,Status[],2,FALSE)</f>
        <v>Full-Time</v>
      </c>
      <c r="J1205" s="7">
        <v>1019</v>
      </c>
      <c r="K1205">
        <v>12</v>
      </c>
      <c r="L1205">
        <v>2017</v>
      </c>
      <c r="M1205">
        <v>2</v>
      </c>
      <c r="N1205">
        <v>1</v>
      </c>
    </row>
    <row r="1206" spans="1:14" x14ac:dyDescent="0.25">
      <c r="A1206" t="s">
        <v>3437</v>
      </c>
      <c r="B1206" t="s">
        <v>75</v>
      </c>
      <c r="C1206" t="s">
        <v>641</v>
      </c>
      <c r="D1206" t="str">
        <f>VLOOKUP(J1206,Location[],2,FALSE)</f>
        <v>Chicago</v>
      </c>
      <c r="E1206" t="str">
        <f>VLOOKUP(J1206,Location[],3,FALSE)</f>
        <v> Illinois</v>
      </c>
      <c r="F1206" t="str">
        <f>VLOOKUP(K1206,Dept[],2,FALSE)</f>
        <v>Media</v>
      </c>
      <c r="G1206" s="11">
        <f t="shared" si="18"/>
        <v>42767</v>
      </c>
      <c r="H1206" t="str">
        <f>VLOOKUP(N1206,Status[],2,FALSE)</f>
        <v>Full-Time</v>
      </c>
      <c r="J1206" s="7">
        <v>1003</v>
      </c>
      <c r="K1206">
        <v>20</v>
      </c>
      <c r="L1206">
        <v>2017</v>
      </c>
      <c r="M1206">
        <v>2</v>
      </c>
      <c r="N1206">
        <v>1</v>
      </c>
    </row>
    <row r="1207" spans="1:14" x14ac:dyDescent="0.25">
      <c r="A1207" t="s">
        <v>3438</v>
      </c>
      <c r="B1207" t="s">
        <v>144</v>
      </c>
      <c r="C1207" t="s">
        <v>213</v>
      </c>
      <c r="D1207" t="str">
        <f>VLOOKUP(J1207,Location[],2,FALSE)</f>
        <v>Los Angeles</v>
      </c>
      <c r="E1207" t="str">
        <f>VLOOKUP(J1207,Location[],3,FALSE)</f>
        <v> California</v>
      </c>
      <c r="F1207" t="str">
        <f>VLOOKUP(K1207,Dept[],2,FALSE)</f>
        <v>Human Resources</v>
      </c>
      <c r="G1207" s="11">
        <f t="shared" si="18"/>
        <v>44621</v>
      </c>
      <c r="H1207" t="str">
        <f>VLOOKUP(N1207,Status[],2,FALSE)</f>
        <v>Part-Time</v>
      </c>
      <c r="J1207" s="7">
        <v>1002</v>
      </c>
      <c r="K1207">
        <v>16</v>
      </c>
      <c r="L1207">
        <v>2022</v>
      </c>
      <c r="M1207">
        <v>3</v>
      </c>
      <c r="N1207">
        <v>0</v>
      </c>
    </row>
    <row r="1208" spans="1:14" x14ac:dyDescent="0.25">
      <c r="A1208" t="s">
        <v>3439</v>
      </c>
      <c r="B1208" t="s">
        <v>418</v>
      </c>
      <c r="C1208" t="s">
        <v>1734</v>
      </c>
      <c r="D1208" t="str">
        <f>VLOOKUP(J1208,Location[],2,FALSE)</f>
        <v>Dallas</v>
      </c>
      <c r="E1208" t="str">
        <f>VLOOKUP(J1208,Location[],3,FALSE)</f>
        <v> Texas</v>
      </c>
      <c r="F1208" t="str">
        <f>VLOOKUP(K1208,Dept[],2,FALSE)</f>
        <v>Marketing</v>
      </c>
      <c r="G1208" s="11">
        <f t="shared" si="18"/>
        <v>43831</v>
      </c>
      <c r="H1208" t="str">
        <f>VLOOKUP(N1208,Status[],2,FALSE)</f>
        <v>Full-Time</v>
      </c>
      <c r="J1208" s="7">
        <v>1009</v>
      </c>
      <c r="K1208">
        <v>19</v>
      </c>
      <c r="L1208">
        <v>2020</v>
      </c>
      <c r="M1208">
        <v>1</v>
      </c>
      <c r="N1208">
        <v>1</v>
      </c>
    </row>
    <row r="1209" spans="1:14" x14ac:dyDescent="0.25">
      <c r="A1209" t="s">
        <v>3440</v>
      </c>
      <c r="B1209" t="s">
        <v>211</v>
      </c>
      <c r="C1209" t="s">
        <v>1134</v>
      </c>
      <c r="D1209" t="str">
        <f>VLOOKUP(J1209,Location[],2,FALSE)</f>
        <v>Chicago</v>
      </c>
      <c r="E1209" t="str">
        <f>VLOOKUP(J1209,Location[],3,FALSE)</f>
        <v> Illinois</v>
      </c>
      <c r="F1209" t="str">
        <f>VLOOKUP(K1209,Dept[],2,FALSE)</f>
        <v>Human Resources</v>
      </c>
      <c r="G1209" s="11">
        <f t="shared" si="18"/>
        <v>45078</v>
      </c>
      <c r="H1209" t="str">
        <f>VLOOKUP(N1209,Status[],2,FALSE)</f>
        <v>Full-Time</v>
      </c>
      <c r="J1209" s="7">
        <v>1003</v>
      </c>
      <c r="K1209">
        <v>16</v>
      </c>
      <c r="L1209">
        <v>2023</v>
      </c>
      <c r="M1209">
        <v>6</v>
      </c>
      <c r="N1209">
        <v>1</v>
      </c>
    </row>
    <row r="1210" spans="1:14" x14ac:dyDescent="0.25">
      <c r="A1210" t="s">
        <v>3441</v>
      </c>
      <c r="B1210" t="s">
        <v>1875</v>
      </c>
      <c r="C1210" t="s">
        <v>1876</v>
      </c>
      <c r="D1210" t="str">
        <f>VLOOKUP(J1210,Location[],2,FALSE)</f>
        <v>Oklahoma City</v>
      </c>
      <c r="E1210" t="str">
        <f>VLOOKUP(J1210,Location[],3,FALSE)</f>
        <v> Oklahoma</v>
      </c>
      <c r="F1210" t="str">
        <f>VLOOKUP(K1210,Dept[],2,FALSE)</f>
        <v>Human Resources</v>
      </c>
      <c r="G1210" s="11">
        <f t="shared" si="18"/>
        <v>42095</v>
      </c>
      <c r="H1210" t="str">
        <f>VLOOKUP(N1210,Status[],2,FALSE)</f>
        <v>Full-Time</v>
      </c>
      <c r="J1210" s="7">
        <v>1027</v>
      </c>
      <c r="K1210">
        <v>16</v>
      </c>
      <c r="L1210">
        <v>2015</v>
      </c>
      <c r="M1210">
        <v>4</v>
      </c>
      <c r="N1210">
        <v>1</v>
      </c>
    </row>
    <row r="1211" spans="1:14" x14ac:dyDescent="0.25">
      <c r="A1211" t="s">
        <v>3442</v>
      </c>
      <c r="B1211" t="s">
        <v>307</v>
      </c>
      <c r="C1211" t="s">
        <v>2052</v>
      </c>
      <c r="D1211" t="str">
        <f>VLOOKUP(J1211,Location[],2,FALSE)</f>
        <v>Chicago</v>
      </c>
      <c r="E1211" t="str">
        <f>VLOOKUP(J1211,Location[],3,FALSE)</f>
        <v> Illinois</v>
      </c>
      <c r="F1211" t="str">
        <f>VLOOKUP(K1211,Dept[],2,FALSE)</f>
        <v>Customer Support</v>
      </c>
      <c r="G1211" s="11">
        <f t="shared" si="18"/>
        <v>43221</v>
      </c>
      <c r="H1211" t="str">
        <f>VLOOKUP(N1211,Status[],2,FALSE)</f>
        <v>Full-Time</v>
      </c>
      <c r="J1211" s="7">
        <v>1003</v>
      </c>
      <c r="K1211">
        <v>14</v>
      </c>
      <c r="L1211">
        <v>2018</v>
      </c>
      <c r="M1211">
        <v>5</v>
      </c>
      <c r="N1211">
        <v>1</v>
      </c>
    </row>
    <row r="1212" spans="1:14" x14ac:dyDescent="0.25">
      <c r="A1212" t="s">
        <v>3443</v>
      </c>
      <c r="B1212" t="s">
        <v>1014</v>
      </c>
      <c r="C1212" t="s">
        <v>1594</v>
      </c>
      <c r="D1212" t="str">
        <f>VLOOKUP(J1212,Location[],2,FALSE)</f>
        <v>Charlotte</v>
      </c>
      <c r="E1212" t="str">
        <f>VLOOKUP(J1212,Location[],3,FALSE)</f>
        <v> North Carolina</v>
      </c>
      <c r="F1212" t="str">
        <f>VLOOKUP(K1212,Dept[],2,FALSE)</f>
        <v>Administration</v>
      </c>
      <c r="G1212" s="11">
        <f t="shared" si="18"/>
        <v>41334</v>
      </c>
      <c r="H1212" t="str">
        <f>VLOOKUP(N1212,Status[],2,FALSE)</f>
        <v>Full-Time</v>
      </c>
      <c r="J1212" s="7">
        <v>1017</v>
      </c>
      <c r="K1212">
        <v>12</v>
      </c>
      <c r="L1212">
        <v>2013</v>
      </c>
      <c r="M1212">
        <v>3</v>
      </c>
      <c r="N1212">
        <v>1</v>
      </c>
    </row>
    <row r="1213" spans="1:14" x14ac:dyDescent="0.25">
      <c r="A1213" t="s">
        <v>3444</v>
      </c>
      <c r="B1213" t="s">
        <v>1082</v>
      </c>
      <c r="C1213" t="s">
        <v>476</v>
      </c>
      <c r="D1213" t="str">
        <f>VLOOKUP(J1213,Location[],2,FALSE)</f>
        <v>Los Angeles</v>
      </c>
      <c r="E1213" t="str">
        <f>VLOOKUP(J1213,Location[],3,FALSE)</f>
        <v> California</v>
      </c>
      <c r="F1213" t="str">
        <f>VLOOKUP(K1213,Dept[],2,FALSE)</f>
        <v>Sales</v>
      </c>
      <c r="G1213" s="11">
        <f t="shared" si="18"/>
        <v>43344</v>
      </c>
      <c r="H1213" t="str">
        <f>VLOOKUP(N1213,Status[],2,FALSE)</f>
        <v>Full-Time</v>
      </c>
      <c r="J1213" s="7">
        <v>1002</v>
      </c>
      <c r="K1213">
        <v>22</v>
      </c>
      <c r="L1213">
        <v>2018</v>
      </c>
      <c r="M1213">
        <v>9</v>
      </c>
      <c r="N1213">
        <v>1</v>
      </c>
    </row>
    <row r="1214" spans="1:14" x14ac:dyDescent="0.25">
      <c r="A1214" t="s">
        <v>3445</v>
      </c>
      <c r="B1214" t="s">
        <v>475</v>
      </c>
      <c r="C1214" t="s">
        <v>476</v>
      </c>
      <c r="D1214" t="str">
        <f>VLOOKUP(J1214,Location[],2,FALSE)</f>
        <v>Tulsa</v>
      </c>
      <c r="E1214" t="str">
        <f>VLOOKUP(J1214,Location[],3,FALSE)</f>
        <v> Oklahoma</v>
      </c>
      <c r="F1214" t="str">
        <f>VLOOKUP(K1214,Dept[],2,FALSE)</f>
        <v>Legal</v>
      </c>
      <c r="G1214" s="11">
        <f t="shared" si="18"/>
        <v>43132</v>
      </c>
      <c r="H1214" t="str">
        <f>VLOOKUP(N1214,Status[],2,FALSE)</f>
        <v>Full-Time</v>
      </c>
      <c r="J1214" s="7">
        <v>1047</v>
      </c>
      <c r="K1214">
        <v>18</v>
      </c>
      <c r="L1214">
        <v>2018</v>
      </c>
      <c r="M1214">
        <v>2</v>
      </c>
      <c r="N1214">
        <v>1</v>
      </c>
    </row>
    <row r="1215" spans="1:14" x14ac:dyDescent="0.25">
      <c r="A1215" t="s">
        <v>3446</v>
      </c>
      <c r="B1215" t="s">
        <v>159</v>
      </c>
      <c r="C1215" t="s">
        <v>2006</v>
      </c>
      <c r="D1215" t="str">
        <f>VLOOKUP(J1215,Location[],2,FALSE)</f>
        <v>Oklahoma City</v>
      </c>
      <c r="E1215" t="str">
        <f>VLOOKUP(J1215,Location[],3,FALSE)</f>
        <v> Oklahoma</v>
      </c>
      <c r="F1215" t="str">
        <f>VLOOKUP(K1215,Dept[],2,FALSE)</f>
        <v>Accounting</v>
      </c>
      <c r="G1215" s="11">
        <f t="shared" si="18"/>
        <v>40664</v>
      </c>
      <c r="H1215" t="str">
        <f>VLOOKUP(N1215,Status[],2,FALSE)</f>
        <v>Full-Time</v>
      </c>
      <c r="J1215" s="7">
        <v>1027</v>
      </c>
      <c r="K1215">
        <v>11</v>
      </c>
      <c r="L1215">
        <v>2011</v>
      </c>
      <c r="M1215">
        <v>5</v>
      </c>
      <c r="N1215">
        <v>1</v>
      </c>
    </row>
    <row r="1216" spans="1:14" x14ac:dyDescent="0.25">
      <c r="A1216" t="s">
        <v>3447</v>
      </c>
      <c r="B1216" t="s">
        <v>1014</v>
      </c>
      <c r="C1216" t="s">
        <v>155</v>
      </c>
      <c r="D1216" t="str">
        <f>VLOOKUP(J1216,Location[],2,FALSE)</f>
        <v>New York City</v>
      </c>
      <c r="E1216" t="str">
        <f>VLOOKUP(J1216,Location[],3,FALSE)</f>
        <v> New York</v>
      </c>
      <c r="F1216" t="str">
        <f>VLOOKUP(K1216,Dept[],2,FALSE)</f>
        <v>Finance</v>
      </c>
      <c r="G1216" s="11">
        <f t="shared" si="18"/>
        <v>43525</v>
      </c>
      <c r="H1216" t="str">
        <f>VLOOKUP(N1216,Status[],2,FALSE)</f>
        <v>Full-Time</v>
      </c>
      <c r="J1216" s="7">
        <v>1001</v>
      </c>
      <c r="K1216">
        <v>15</v>
      </c>
      <c r="L1216">
        <v>2019</v>
      </c>
      <c r="M1216">
        <v>3</v>
      </c>
      <c r="N1216">
        <v>1</v>
      </c>
    </row>
    <row r="1217" spans="1:14" x14ac:dyDescent="0.25">
      <c r="A1217" t="s">
        <v>3448</v>
      </c>
      <c r="B1217" t="s">
        <v>154</v>
      </c>
      <c r="C1217" t="s">
        <v>155</v>
      </c>
      <c r="D1217" t="str">
        <f>VLOOKUP(J1217,Location[],2,FALSE)</f>
        <v>Virginia Beach</v>
      </c>
      <c r="E1217" t="str">
        <f>VLOOKUP(J1217,Location[],3,FALSE)</f>
        <v> Virginia</v>
      </c>
      <c r="F1217" t="str">
        <f>VLOOKUP(K1217,Dept[],2,FALSE)</f>
        <v>Marketing</v>
      </c>
      <c r="G1217" s="11">
        <f t="shared" si="18"/>
        <v>41974</v>
      </c>
      <c r="H1217" t="str">
        <f>VLOOKUP(N1217,Status[],2,FALSE)</f>
        <v>Full-Time</v>
      </c>
      <c r="J1217" s="7">
        <v>1044</v>
      </c>
      <c r="K1217">
        <v>19</v>
      </c>
      <c r="L1217">
        <v>2014</v>
      </c>
      <c r="M1217">
        <v>12</v>
      </c>
      <c r="N1217">
        <v>1</v>
      </c>
    </row>
    <row r="1218" spans="1:14" x14ac:dyDescent="0.25">
      <c r="A1218" t="s">
        <v>3449</v>
      </c>
      <c r="B1218" t="s">
        <v>19</v>
      </c>
      <c r="C1218" t="s">
        <v>1502</v>
      </c>
      <c r="D1218" t="str">
        <f>VLOOKUP(J1218,Location[],2,FALSE)</f>
        <v>Anaheim</v>
      </c>
      <c r="E1218" t="str">
        <f>VLOOKUP(J1218,Location[],3,FALSE)</f>
        <v> California</v>
      </c>
      <c r="F1218" t="str">
        <f>VLOOKUP(K1218,Dept[],2,FALSE)</f>
        <v>Sales</v>
      </c>
      <c r="G1218" s="11">
        <f t="shared" si="18"/>
        <v>43497</v>
      </c>
      <c r="H1218" t="str">
        <f>VLOOKUP(N1218,Status[],2,FALSE)</f>
        <v>Full-Time</v>
      </c>
      <c r="J1218" s="7">
        <v>1055</v>
      </c>
      <c r="K1218">
        <v>22</v>
      </c>
      <c r="L1218">
        <v>2019</v>
      </c>
      <c r="M1218">
        <v>2</v>
      </c>
      <c r="N1218">
        <v>1</v>
      </c>
    </row>
    <row r="1219" spans="1:14" x14ac:dyDescent="0.25">
      <c r="A1219" t="s">
        <v>3450</v>
      </c>
      <c r="B1219" t="s">
        <v>184</v>
      </c>
      <c r="C1219" t="s">
        <v>185</v>
      </c>
      <c r="D1219" t="str">
        <f>VLOOKUP(J1219,Location[],2,FALSE)</f>
        <v>Seattle</v>
      </c>
      <c r="E1219" t="str">
        <f>VLOOKUP(J1219,Location[],3,FALSE)</f>
        <v> Washington</v>
      </c>
      <c r="F1219" t="str">
        <f>VLOOKUP(K1219,Dept[],2,FALSE)</f>
        <v>Sales</v>
      </c>
      <c r="G1219" s="11">
        <f t="shared" si="18"/>
        <v>42614</v>
      </c>
      <c r="H1219" t="str">
        <f>VLOOKUP(N1219,Status[],2,FALSE)</f>
        <v>Part-Time</v>
      </c>
      <c r="J1219" s="7">
        <v>1018</v>
      </c>
      <c r="K1219">
        <v>22</v>
      </c>
      <c r="L1219">
        <v>2016</v>
      </c>
      <c r="M1219">
        <v>9</v>
      </c>
      <c r="N1219">
        <v>0</v>
      </c>
    </row>
    <row r="1220" spans="1:14" x14ac:dyDescent="0.25">
      <c r="A1220" t="s">
        <v>3451</v>
      </c>
      <c r="B1220" t="s">
        <v>108</v>
      </c>
      <c r="C1220" t="s">
        <v>1317</v>
      </c>
      <c r="D1220" t="str">
        <f>VLOOKUP(J1220,Location[],2,FALSE)</f>
        <v>Chicago</v>
      </c>
      <c r="E1220" t="str">
        <f>VLOOKUP(J1220,Location[],3,FALSE)</f>
        <v> Illinois</v>
      </c>
      <c r="F1220" t="str">
        <f>VLOOKUP(K1220,Dept[],2,FALSE)</f>
        <v>Human Resources</v>
      </c>
      <c r="G1220" s="11">
        <f t="shared" si="18"/>
        <v>43435</v>
      </c>
      <c r="H1220" t="str">
        <f>VLOOKUP(N1220,Status[],2,FALSE)</f>
        <v>Part-Time</v>
      </c>
      <c r="J1220" s="7">
        <v>1003</v>
      </c>
      <c r="K1220">
        <v>16</v>
      </c>
      <c r="L1220">
        <v>2018</v>
      </c>
      <c r="M1220">
        <v>12</v>
      </c>
      <c r="N1220">
        <v>0</v>
      </c>
    </row>
    <row r="1221" spans="1:14" x14ac:dyDescent="0.25">
      <c r="A1221" t="s">
        <v>3452</v>
      </c>
      <c r="B1221" t="s">
        <v>222</v>
      </c>
      <c r="C1221" t="s">
        <v>547</v>
      </c>
      <c r="D1221" t="str">
        <f>VLOOKUP(J1221,Location[],2,FALSE)</f>
        <v>Chicago</v>
      </c>
      <c r="E1221" t="str">
        <f>VLOOKUP(J1221,Location[],3,FALSE)</f>
        <v> Illinois</v>
      </c>
      <c r="F1221" t="str">
        <f>VLOOKUP(K1221,Dept[],2,FALSE)</f>
        <v>Human Resources</v>
      </c>
      <c r="G1221" s="11">
        <f t="shared" ref="G1221:G1284" si="19">DATE(L1221,M1221,1)</f>
        <v>44896</v>
      </c>
      <c r="H1221" t="str">
        <f>VLOOKUP(N1221,Status[],2,FALSE)</f>
        <v>Full-Time</v>
      </c>
      <c r="J1221" s="7">
        <v>1003</v>
      </c>
      <c r="K1221">
        <v>16</v>
      </c>
      <c r="L1221">
        <v>2022</v>
      </c>
      <c r="M1221">
        <v>12</v>
      </c>
      <c r="N1221">
        <v>1</v>
      </c>
    </row>
    <row r="1222" spans="1:14" x14ac:dyDescent="0.25">
      <c r="A1222" t="s">
        <v>3453</v>
      </c>
      <c r="B1222" t="s">
        <v>115</v>
      </c>
      <c r="C1222" t="s">
        <v>1262</v>
      </c>
      <c r="D1222" t="str">
        <f>VLOOKUP(J1222,Location[],2,FALSE)</f>
        <v>Houston</v>
      </c>
      <c r="E1222" t="str">
        <f>VLOOKUP(J1222,Location[],3,FALSE)</f>
        <v> Texas</v>
      </c>
      <c r="F1222" t="str">
        <f>VLOOKUP(K1222,Dept[],2,FALSE)</f>
        <v>Customer Support</v>
      </c>
      <c r="G1222" s="11">
        <f t="shared" si="19"/>
        <v>42005</v>
      </c>
      <c r="H1222" t="str">
        <f>VLOOKUP(N1222,Status[],2,FALSE)</f>
        <v>Full-Time</v>
      </c>
      <c r="J1222" s="7">
        <v>1004</v>
      </c>
      <c r="K1222">
        <v>14</v>
      </c>
      <c r="L1222">
        <v>2015</v>
      </c>
      <c r="M1222">
        <v>1</v>
      </c>
      <c r="N1222">
        <v>1</v>
      </c>
    </row>
    <row r="1223" spans="1:14" x14ac:dyDescent="0.25">
      <c r="A1223" t="s">
        <v>3454</v>
      </c>
      <c r="B1223" t="s">
        <v>809</v>
      </c>
      <c r="C1223" t="s">
        <v>810</v>
      </c>
      <c r="D1223" t="str">
        <f>VLOOKUP(J1223,Location[],2,FALSE)</f>
        <v>Indianapolis</v>
      </c>
      <c r="E1223" t="str">
        <f>VLOOKUP(J1223,Location[],3,FALSE)</f>
        <v> Indiana</v>
      </c>
      <c r="F1223" t="str">
        <f>VLOOKUP(K1223,Dept[],2,FALSE)</f>
        <v>Finance</v>
      </c>
      <c r="G1223" s="11">
        <f t="shared" si="19"/>
        <v>43647</v>
      </c>
      <c r="H1223" t="str">
        <f>VLOOKUP(N1223,Status[],2,FALSE)</f>
        <v>Full-Time</v>
      </c>
      <c r="J1223" s="7">
        <v>1016</v>
      </c>
      <c r="K1223">
        <v>15</v>
      </c>
      <c r="L1223">
        <v>2019</v>
      </c>
      <c r="M1223">
        <v>7</v>
      </c>
      <c r="N1223">
        <v>1</v>
      </c>
    </row>
    <row r="1224" spans="1:14" x14ac:dyDescent="0.25">
      <c r="A1224" t="s">
        <v>3455</v>
      </c>
      <c r="B1224" t="s">
        <v>1489</v>
      </c>
      <c r="C1224" t="s">
        <v>383</v>
      </c>
      <c r="D1224" t="str">
        <f>VLOOKUP(J1224,Location[],2,FALSE)</f>
        <v>Santa Ana</v>
      </c>
      <c r="E1224" t="str">
        <f>VLOOKUP(J1224,Location[],3,FALSE)</f>
        <v> California</v>
      </c>
      <c r="F1224" t="str">
        <f>VLOOKUP(K1224,Dept[],2,FALSE)</f>
        <v>Administration</v>
      </c>
      <c r="G1224" s="11">
        <f t="shared" si="19"/>
        <v>44013</v>
      </c>
      <c r="H1224" t="str">
        <f>VLOOKUP(N1224,Status[],2,FALSE)</f>
        <v>Full-Time</v>
      </c>
      <c r="J1224" s="7">
        <v>1057</v>
      </c>
      <c r="K1224">
        <v>12</v>
      </c>
      <c r="L1224">
        <v>2020</v>
      </c>
      <c r="M1224">
        <v>7</v>
      </c>
      <c r="N1224">
        <v>1</v>
      </c>
    </row>
    <row r="1225" spans="1:14" x14ac:dyDescent="0.25">
      <c r="A1225" t="s">
        <v>3456</v>
      </c>
      <c r="B1225" t="s">
        <v>382</v>
      </c>
      <c r="C1225" t="s">
        <v>383</v>
      </c>
      <c r="D1225" t="str">
        <f>VLOOKUP(J1225,Location[],2,FALSE)</f>
        <v>Houston</v>
      </c>
      <c r="E1225" t="str">
        <f>VLOOKUP(J1225,Location[],3,FALSE)</f>
        <v> Texas</v>
      </c>
      <c r="F1225" t="str">
        <f>VLOOKUP(K1225,Dept[],2,FALSE)</f>
        <v>Finance</v>
      </c>
      <c r="G1225" s="11">
        <f t="shared" si="19"/>
        <v>42005</v>
      </c>
      <c r="H1225" t="str">
        <f>VLOOKUP(N1225,Status[],2,FALSE)</f>
        <v>Full-Time</v>
      </c>
      <c r="J1225" s="7">
        <v>1004</v>
      </c>
      <c r="K1225">
        <v>15</v>
      </c>
      <c r="L1225">
        <v>2015</v>
      </c>
      <c r="M1225">
        <v>1</v>
      </c>
      <c r="N1225">
        <v>1</v>
      </c>
    </row>
    <row r="1226" spans="1:14" x14ac:dyDescent="0.25">
      <c r="A1226" t="s">
        <v>3457</v>
      </c>
      <c r="B1226" t="s">
        <v>359</v>
      </c>
      <c r="C1226" t="s">
        <v>58</v>
      </c>
      <c r="D1226" t="str">
        <f>VLOOKUP(J1226,Location[],2,FALSE)</f>
        <v>Nashville</v>
      </c>
      <c r="E1226" t="str">
        <f>VLOOKUP(J1226,Location[],3,FALSE)</f>
        <v> Tennessee</v>
      </c>
      <c r="F1226" t="str">
        <f>VLOOKUP(K1226,Dept[],2,FALSE)</f>
        <v>Administration</v>
      </c>
      <c r="G1226" s="11">
        <f t="shared" si="19"/>
        <v>43070</v>
      </c>
      <c r="H1226" t="str">
        <f>VLOOKUP(N1226,Status[],2,FALSE)</f>
        <v>Full-Time</v>
      </c>
      <c r="J1226" s="7">
        <v>1024</v>
      </c>
      <c r="K1226">
        <v>12</v>
      </c>
      <c r="L1226">
        <v>2017</v>
      </c>
      <c r="M1226">
        <v>12</v>
      </c>
      <c r="N1226">
        <v>1</v>
      </c>
    </row>
    <row r="1227" spans="1:14" x14ac:dyDescent="0.25">
      <c r="A1227" t="s">
        <v>3458</v>
      </c>
      <c r="B1227" t="s">
        <v>507</v>
      </c>
      <c r="C1227" t="s">
        <v>58</v>
      </c>
      <c r="D1227" t="str">
        <f>VLOOKUP(J1227,Location[],2,FALSE)</f>
        <v>Omaha</v>
      </c>
      <c r="E1227" t="str">
        <f>VLOOKUP(J1227,Location[],3,FALSE)</f>
        <v> Nebraska</v>
      </c>
      <c r="F1227" t="str">
        <f>VLOOKUP(K1227,Dept[],2,FALSE)</f>
        <v>Assessment</v>
      </c>
      <c r="G1227" s="11">
        <f t="shared" si="19"/>
        <v>44166</v>
      </c>
      <c r="H1227" t="str">
        <f>VLOOKUP(N1227,Status[],2,FALSE)</f>
        <v>Full-Time</v>
      </c>
      <c r="J1227" s="7">
        <v>1040</v>
      </c>
      <c r="K1227">
        <v>13</v>
      </c>
      <c r="L1227">
        <v>2020</v>
      </c>
      <c r="M1227">
        <v>12</v>
      </c>
      <c r="N1227">
        <v>1</v>
      </c>
    </row>
    <row r="1228" spans="1:14" x14ac:dyDescent="0.25">
      <c r="A1228" t="s">
        <v>3459</v>
      </c>
      <c r="B1228" t="s">
        <v>71</v>
      </c>
      <c r="C1228" t="s">
        <v>58</v>
      </c>
      <c r="D1228" t="str">
        <f>VLOOKUP(J1228,Location[],2,FALSE)</f>
        <v>Chicago</v>
      </c>
      <c r="E1228" t="str">
        <f>VLOOKUP(J1228,Location[],3,FALSE)</f>
        <v> Illinois</v>
      </c>
      <c r="F1228" t="str">
        <f>VLOOKUP(K1228,Dept[],2,FALSE)</f>
        <v>Accounting</v>
      </c>
      <c r="G1228" s="11">
        <f t="shared" si="19"/>
        <v>41214</v>
      </c>
      <c r="H1228" t="str">
        <f>VLOOKUP(N1228,Status[],2,FALSE)</f>
        <v>Full-Time</v>
      </c>
      <c r="J1228" s="7">
        <v>1003</v>
      </c>
      <c r="K1228">
        <v>11</v>
      </c>
      <c r="L1228">
        <v>2012</v>
      </c>
      <c r="M1228">
        <v>11</v>
      </c>
      <c r="N1228">
        <v>1</v>
      </c>
    </row>
    <row r="1229" spans="1:14" x14ac:dyDescent="0.25">
      <c r="A1229" t="s">
        <v>3460</v>
      </c>
      <c r="B1229" t="s">
        <v>7</v>
      </c>
      <c r="C1229" t="s">
        <v>58</v>
      </c>
      <c r="D1229" t="str">
        <f>VLOOKUP(J1229,Location[],2,FALSE)</f>
        <v>Columbus</v>
      </c>
      <c r="E1229" t="str">
        <f>VLOOKUP(J1229,Location[],3,FALSE)</f>
        <v> Ohio</v>
      </c>
      <c r="F1229" t="str">
        <f>VLOOKUP(K1229,Dept[],2,FALSE)</f>
        <v>Legal</v>
      </c>
      <c r="G1229" s="11">
        <f t="shared" si="19"/>
        <v>41122</v>
      </c>
      <c r="H1229" t="str">
        <f>VLOOKUP(N1229,Status[],2,FALSE)</f>
        <v>Full-Time</v>
      </c>
      <c r="J1229" s="7">
        <v>1014</v>
      </c>
      <c r="K1229">
        <v>18</v>
      </c>
      <c r="L1229">
        <v>2012</v>
      </c>
      <c r="M1229">
        <v>8</v>
      </c>
      <c r="N1229">
        <v>1</v>
      </c>
    </row>
    <row r="1230" spans="1:14" x14ac:dyDescent="0.25">
      <c r="A1230" t="s">
        <v>3461</v>
      </c>
      <c r="B1230" t="s">
        <v>339</v>
      </c>
      <c r="C1230" t="s">
        <v>58</v>
      </c>
      <c r="D1230" t="str">
        <f>VLOOKUP(J1230,Location[],2,FALSE)</f>
        <v>Raleigh</v>
      </c>
      <c r="E1230" t="str">
        <f>VLOOKUP(J1230,Location[],3,FALSE)</f>
        <v> North Carolina</v>
      </c>
      <c r="F1230" t="str">
        <f>VLOOKUP(K1230,Dept[],2,FALSE)</f>
        <v>Marketing</v>
      </c>
      <c r="G1230" s="11">
        <f t="shared" si="19"/>
        <v>41306</v>
      </c>
      <c r="H1230" t="str">
        <f>VLOOKUP(N1230,Status[],2,FALSE)</f>
        <v>Full-Time</v>
      </c>
      <c r="J1230" s="7">
        <v>1041</v>
      </c>
      <c r="K1230">
        <v>19</v>
      </c>
      <c r="L1230">
        <v>2013</v>
      </c>
      <c r="M1230">
        <v>2</v>
      </c>
      <c r="N1230">
        <v>1</v>
      </c>
    </row>
    <row r="1231" spans="1:14" x14ac:dyDescent="0.25">
      <c r="A1231" t="s">
        <v>3462</v>
      </c>
      <c r="B1231" t="s">
        <v>1437</v>
      </c>
      <c r="C1231" t="s">
        <v>58</v>
      </c>
      <c r="D1231" t="str">
        <f>VLOOKUP(J1231,Location[],2,FALSE)</f>
        <v>Columbus</v>
      </c>
      <c r="E1231" t="str">
        <f>VLOOKUP(J1231,Location[],3,FALSE)</f>
        <v> Ohio</v>
      </c>
      <c r="F1231" t="str">
        <f>VLOOKUP(K1231,Dept[],2,FALSE)</f>
        <v>Sales</v>
      </c>
      <c r="G1231" s="11">
        <f t="shared" si="19"/>
        <v>41760</v>
      </c>
      <c r="H1231" t="str">
        <f>VLOOKUP(N1231,Status[],2,FALSE)</f>
        <v>Full-Time</v>
      </c>
      <c r="J1231" s="7">
        <v>1014</v>
      </c>
      <c r="K1231">
        <v>22</v>
      </c>
      <c r="L1231">
        <v>2014</v>
      </c>
      <c r="M1231">
        <v>5</v>
      </c>
      <c r="N1231">
        <v>1</v>
      </c>
    </row>
    <row r="1232" spans="1:14" x14ac:dyDescent="0.25">
      <c r="A1232" t="s">
        <v>3463</v>
      </c>
      <c r="B1232" t="s">
        <v>471</v>
      </c>
      <c r="C1232" t="s">
        <v>58</v>
      </c>
      <c r="D1232" t="str">
        <f>VLOOKUP(J1232,Location[],2,FALSE)</f>
        <v>Kansas City</v>
      </c>
      <c r="E1232" t="str">
        <f>VLOOKUP(J1232,Location[],3,FALSE)</f>
        <v> Missouri</v>
      </c>
      <c r="F1232" t="str">
        <f>VLOOKUP(K1232,Dept[],2,FALSE)</f>
        <v>Finance</v>
      </c>
      <c r="G1232" s="11">
        <f t="shared" si="19"/>
        <v>40695</v>
      </c>
      <c r="H1232" t="str">
        <f>VLOOKUP(N1232,Status[],2,FALSE)</f>
        <v>Full-Time</v>
      </c>
      <c r="J1232" s="7">
        <v>1037</v>
      </c>
      <c r="K1232">
        <v>15</v>
      </c>
      <c r="L1232">
        <v>2011</v>
      </c>
      <c r="M1232">
        <v>6</v>
      </c>
      <c r="N1232">
        <v>1</v>
      </c>
    </row>
    <row r="1233" spans="1:14" x14ac:dyDescent="0.25">
      <c r="A1233" t="s">
        <v>2489</v>
      </c>
      <c r="B1233" t="s">
        <v>57</v>
      </c>
      <c r="C1233" t="s">
        <v>58</v>
      </c>
      <c r="D1233" t="str">
        <f>VLOOKUP(J1233,Location[],2,FALSE)</f>
        <v>New York City</v>
      </c>
      <c r="E1233" t="str">
        <f>VLOOKUP(J1233,Location[],3,FALSE)</f>
        <v> New York</v>
      </c>
      <c r="F1233" t="str">
        <f>VLOOKUP(K1233,Dept[],2,FALSE)</f>
        <v>Accounting</v>
      </c>
      <c r="G1233" s="11">
        <f t="shared" si="19"/>
        <v>44348</v>
      </c>
      <c r="H1233" t="str">
        <f>VLOOKUP(N1233,Status[],2,FALSE)</f>
        <v>Full-Time</v>
      </c>
      <c r="J1233" s="7">
        <v>1001</v>
      </c>
      <c r="K1233">
        <v>11</v>
      </c>
      <c r="L1233">
        <v>2021</v>
      </c>
      <c r="M1233">
        <v>6</v>
      </c>
      <c r="N1233">
        <v>1</v>
      </c>
    </row>
    <row r="1234" spans="1:14" x14ac:dyDescent="0.25">
      <c r="A1234" t="s">
        <v>3464</v>
      </c>
      <c r="B1234" t="s">
        <v>165</v>
      </c>
      <c r="C1234" t="s">
        <v>58</v>
      </c>
      <c r="D1234" t="str">
        <f>VLOOKUP(J1234,Location[],2,FALSE)</f>
        <v>New York City</v>
      </c>
      <c r="E1234" t="str">
        <f>VLOOKUP(J1234,Location[],3,FALSE)</f>
        <v> New York</v>
      </c>
      <c r="F1234" t="str">
        <f>VLOOKUP(K1234,Dept[],2,FALSE)</f>
        <v>Sales</v>
      </c>
      <c r="G1234" s="11">
        <f t="shared" si="19"/>
        <v>44835</v>
      </c>
      <c r="H1234" t="str">
        <f>VLOOKUP(N1234,Status[],2,FALSE)</f>
        <v>Full-Time</v>
      </c>
      <c r="J1234" s="7">
        <v>1001</v>
      </c>
      <c r="K1234">
        <v>22</v>
      </c>
      <c r="L1234">
        <v>2022</v>
      </c>
      <c r="M1234">
        <v>10</v>
      </c>
      <c r="N1234">
        <v>1</v>
      </c>
    </row>
    <row r="1235" spans="1:14" x14ac:dyDescent="0.25">
      <c r="A1235" t="s">
        <v>3465</v>
      </c>
      <c r="B1235" t="s">
        <v>1055</v>
      </c>
      <c r="C1235" t="s">
        <v>58</v>
      </c>
      <c r="D1235" t="str">
        <f>VLOOKUP(J1235,Location[],2,FALSE)</f>
        <v>Houston</v>
      </c>
      <c r="E1235" t="str">
        <f>VLOOKUP(J1235,Location[],3,FALSE)</f>
        <v> Texas</v>
      </c>
      <c r="F1235" t="str">
        <f>VLOOKUP(K1235,Dept[],2,FALSE)</f>
        <v>Legal</v>
      </c>
      <c r="G1235" s="11">
        <f t="shared" si="19"/>
        <v>41214</v>
      </c>
      <c r="H1235" t="str">
        <f>VLOOKUP(N1235,Status[],2,FALSE)</f>
        <v>Full-Time</v>
      </c>
      <c r="J1235" s="7">
        <v>1004</v>
      </c>
      <c r="K1235">
        <v>18</v>
      </c>
      <c r="L1235">
        <v>2012</v>
      </c>
      <c r="M1235">
        <v>11</v>
      </c>
      <c r="N1235">
        <v>1</v>
      </c>
    </row>
    <row r="1236" spans="1:14" x14ac:dyDescent="0.25">
      <c r="A1236" t="s">
        <v>3466</v>
      </c>
      <c r="B1236" t="s">
        <v>253</v>
      </c>
      <c r="C1236" t="s">
        <v>58</v>
      </c>
      <c r="D1236" t="str">
        <f>VLOOKUP(J1236,Location[],2,FALSE)</f>
        <v>El Paso</v>
      </c>
      <c r="E1236" t="str">
        <f>VLOOKUP(J1236,Location[],3,FALSE)</f>
        <v> Texas</v>
      </c>
      <c r="F1236" t="str">
        <f>VLOOKUP(K1236,Dept[],2,FALSE)</f>
        <v>Assessment</v>
      </c>
      <c r="G1236" s="11">
        <f t="shared" si="19"/>
        <v>41183</v>
      </c>
      <c r="H1236" t="str">
        <f>VLOOKUP(N1236,Status[],2,FALSE)</f>
        <v>Part-Time</v>
      </c>
      <c r="J1236" s="7">
        <v>1022</v>
      </c>
      <c r="K1236">
        <v>13</v>
      </c>
      <c r="L1236">
        <v>2012</v>
      </c>
      <c r="M1236">
        <v>10</v>
      </c>
      <c r="N1236">
        <v>0</v>
      </c>
    </row>
    <row r="1237" spans="1:14" x14ac:dyDescent="0.25">
      <c r="A1237" t="s">
        <v>3467</v>
      </c>
      <c r="B1237" t="s">
        <v>253</v>
      </c>
      <c r="C1237" t="s">
        <v>58</v>
      </c>
      <c r="D1237" t="str">
        <f>VLOOKUP(J1237,Location[],2,FALSE)</f>
        <v>San Jose</v>
      </c>
      <c r="E1237" t="str">
        <f>VLOOKUP(J1237,Location[],3,FALSE)</f>
        <v> California</v>
      </c>
      <c r="F1237" t="str">
        <f>VLOOKUP(K1237,Dept[],2,FALSE)</f>
        <v>Assessment</v>
      </c>
      <c r="G1237" s="11">
        <f t="shared" si="19"/>
        <v>45139</v>
      </c>
      <c r="H1237" t="str">
        <f>VLOOKUP(N1237,Status[],2,FALSE)</f>
        <v>Full-Time</v>
      </c>
      <c r="J1237" s="7">
        <v>1010</v>
      </c>
      <c r="K1237">
        <v>13</v>
      </c>
      <c r="L1237">
        <v>2023</v>
      </c>
      <c r="M1237">
        <v>8</v>
      </c>
      <c r="N1237">
        <v>1</v>
      </c>
    </row>
    <row r="1238" spans="1:14" x14ac:dyDescent="0.25">
      <c r="A1238" t="s">
        <v>3468</v>
      </c>
      <c r="B1238" t="s">
        <v>119</v>
      </c>
      <c r="C1238" t="s">
        <v>58</v>
      </c>
      <c r="D1238" t="str">
        <f>VLOOKUP(J1238,Location[],2,FALSE)</f>
        <v>Minneapolis</v>
      </c>
      <c r="E1238" t="str">
        <f>VLOOKUP(J1238,Location[],3,FALSE)</f>
        <v> Minnesota</v>
      </c>
      <c r="F1238" t="str">
        <f>VLOOKUP(K1238,Dept[],2,FALSE)</f>
        <v>Marketing</v>
      </c>
      <c r="G1238" s="11">
        <f t="shared" si="19"/>
        <v>40664</v>
      </c>
      <c r="H1238" t="str">
        <f>VLOOKUP(N1238,Status[],2,FALSE)</f>
        <v>Full-Time</v>
      </c>
      <c r="J1238" s="7">
        <v>1046</v>
      </c>
      <c r="K1238">
        <v>19</v>
      </c>
      <c r="L1238">
        <v>2011</v>
      </c>
      <c r="M1238">
        <v>5</v>
      </c>
      <c r="N1238">
        <v>1</v>
      </c>
    </row>
    <row r="1239" spans="1:14" x14ac:dyDescent="0.25">
      <c r="A1239" t="s">
        <v>3469</v>
      </c>
      <c r="B1239" t="s">
        <v>905</v>
      </c>
      <c r="C1239" t="s">
        <v>58</v>
      </c>
      <c r="D1239" t="str">
        <f>VLOOKUP(J1239,Location[],2,FALSE)</f>
        <v>Laredo</v>
      </c>
      <c r="E1239" t="str">
        <f>VLOOKUP(J1239,Location[],3,FALSE)</f>
        <v> Texas</v>
      </c>
      <c r="F1239" t="str">
        <f>VLOOKUP(K1239,Dept[],2,FALSE)</f>
        <v>Accounting</v>
      </c>
      <c r="G1239" s="11">
        <f t="shared" si="19"/>
        <v>41030</v>
      </c>
      <c r="H1239" t="str">
        <f>VLOOKUP(N1239,Status[],2,FALSE)</f>
        <v>Full-Time</v>
      </c>
      <c r="J1239" s="7">
        <v>1080</v>
      </c>
      <c r="K1239">
        <v>11</v>
      </c>
      <c r="L1239">
        <v>2012</v>
      </c>
      <c r="M1239">
        <v>5</v>
      </c>
      <c r="N1239">
        <v>1</v>
      </c>
    </row>
    <row r="1240" spans="1:14" x14ac:dyDescent="0.25">
      <c r="A1240" t="s">
        <v>3470</v>
      </c>
      <c r="B1240" t="s">
        <v>321</v>
      </c>
      <c r="C1240" t="s">
        <v>58</v>
      </c>
      <c r="D1240" t="str">
        <f>VLOOKUP(J1240,Location[],2,FALSE)</f>
        <v>New York City</v>
      </c>
      <c r="E1240" t="str">
        <f>VLOOKUP(J1240,Location[],3,FALSE)</f>
        <v> New York</v>
      </c>
      <c r="F1240" t="str">
        <f>VLOOKUP(K1240,Dept[],2,FALSE)</f>
        <v>Customer Support</v>
      </c>
      <c r="G1240" s="11">
        <f t="shared" si="19"/>
        <v>41183</v>
      </c>
      <c r="H1240" t="str">
        <f>VLOOKUP(N1240,Status[],2,FALSE)</f>
        <v>Part-Time</v>
      </c>
      <c r="J1240" s="7">
        <v>1001</v>
      </c>
      <c r="K1240">
        <v>14</v>
      </c>
      <c r="L1240">
        <v>2012</v>
      </c>
      <c r="M1240">
        <v>10</v>
      </c>
      <c r="N1240">
        <v>0</v>
      </c>
    </row>
    <row r="1241" spans="1:14" x14ac:dyDescent="0.25">
      <c r="A1241" t="s">
        <v>3471</v>
      </c>
      <c r="B1241" t="s">
        <v>589</v>
      </c>
      <c r="C1241" t="s">
        <v>590</v>
      </c>
      <c r="D1241" t="str">
        <f>VLOOKUP(J1241,Location[],2,FALSE)</f>
        <v>Raleigh</v>
      </c>
      <c r="E1241" t="str">
        <f>VLOOKUP(J1241,Location[],3,FALSE)</f>
        <v> North Carolina</v>
      </c>
      <c r="F1241" t="str">
        <f>VLOOKUP(K1241,Dept[],2,FALSE)</f>
        <v>Sales</v>
      </c>
      <c r="G1241" s="11">
        <f t="shared" si="19"/>
        <v>41214</v>
      </c>
      <c r="H1241" t="str">
        <f>VLOOKUP(N1241,Status[],2,FALSE)</f>
        <v>Full-Time</v>
      </c>
      <c r="J1241" s="7">
        <v>1041</v>
      </c>
      <c r="K1241">
        <v>22</v>
      </c>
      <c r="L1241">
        <v>2012</v>
      </c>
      <c r="M1241">
        <v>11</v>
      </c>
      <c r="N1241">
        <v>1</v>
      </c>
    </row>
    <row r="1242" spans="1:14" x14ac:dyDescent="0.25">
      <c r="A1242" t="s">
        <v>3472</v>
      </c>
      <c r="B1242" t="s">
        <v>668</v>
      </c>
      <c r="C1242" t="s">
        <v>669</v>
      </c>
      <c r="D1242" t="str">
        <f>VLOOKUP(J1242,Location[],2,FALSE)</f>
        <v>New York City</v>
      </c>
      <c r="E1242" t="str">
        <f>VLOOKUP(J1242,Location[],3,FALSE)</f>
        <v> New York</v>
      </c>
      <c r="F1242" t="str">
        <f>VLOOKUP(K1242,Dept[],2,FALSE)</f>
        <v>Customer Support</v>
      </c>
      <c r="G1242" s="11">
        <f t="shared" si="19"/>
        <v>41365</v>
      </c>
      <c r="H1242" t="str">
        <f>VLOOKUP(N1242,Status[],2,FALSE)</f>
        <v>Full-Time</v>
      </c>
      <c r="J1242" s="7">
        <v>1001</v>
      </c>
      <c r="K1242">
        <v>14</v>
      </c>
      <c r="L1242">
        <v>2013</v>
      </c>
      <c r="M1242">
        <v>4</v>
      </c>
      <c r="N1242">
        <v>1</v>
      </c>
    </row>
    <row r="1243" spans="1:14" x14ac:dyDescent="0.25">
      <c r="A1243" t="s">
        <v>3473</v>
      </c>
      <c r="B1243" t="s">
        <v>1366</v>
      </c>
      <c r="C1243" t="s">
        <v>1367</v>
      </c>
      <c r="D1243" t="str">
        <f>VLOOKUP(J1243,Location[],2,FALSE)</f>
        <v>Jacksonville</v>
      </c>
      <c r="E1243" t="str">
        <f>VLOOKUP(J1243,Location[],3,FALSE)</f>
        <v> Florida</v>
      </c>
      <c r="F1243" t="str">
        <f>VLOOKUP(K1243,Dept[],2,FALSE)</f>
        <v>Accounting</v>
      </c>
      <c r="G1243" s="11">
        <f t="shared" si="19"/>
        <v>41122</v>
      </c>
      <c r="H1243" t="str">
        <f>VLOOKUP(N1243,Status[],2,FALSE)</f>
        <v>Full-Time</v>
      </c>
      <c r="J1243" s="7">
        <v>1012</v>
      </c>
      <c r="K1243">
        <v>11</v>
      </c>
      <c r="L1243">
        <v>2012</v>
      </c>
      <c r="M1243">
        <v>8</v>
      </c>
      <c r="N1243">
        <v>1</v>
      </c>
    </row>
    <row r="1244" spans="1:14" x14ac:dyDescent="0.25">
      <c r="A1244" t="s">
        <v>3474</v>
      </c>
      <c r="B1244" t="s">
        <v>790</v>
      </c>
      <c r="C1244" t="s">
        <v>1036</v>
      </c>
      <c r="D1244" t="str">
        <f>VLOOKUP(J1244,Location[],2,FALSE)</f>
        <v>Arlington</v>
      </c>
      <c r="E1244" t="str">
        <f>VLOOKUP(J1244,Location[],3,FALSE)</f>
        <v> Texas</v>
      </c>
      <c r="F1244" t="str">
        <f>VLOOKUP(K1244,Dept[],2,FALSE)</f>
        <v>Administration</v>
      </c>
      <c r="G1244" s="11">
        <f t="shared" si="19"/>
        <v>43070</v>
      </c>
      <c r="H1244" t="str">
        <f>VLOOKUP(N1244,Status[],2,FALSE)</f>
        <v>Full-Time</v>
      </c>
      <c r="J1244" s="7">
        <v>1048</v>
      </c>
      <c r="K1244">
        <v>12</v>
      </c>
      <c r="L1244">
        <v>2017</v>
      </c>
      <c r="M1244">
        <v>12</v>
      </c>
      <c r="N1244">
        <v>1</v>
      </c>
    </row>
    <row r="1245" spans="1:14" x14ac:dyDescent="0.25">
      <c r="A1245" t="s">
        <v>3475</v>
      </c>
      <c r="B1245" t="s">
        <v>524</v>
      </c>
      <c r="C1245" t="s">
        <v>525</v>
      </c>
      <c r="D1245" t="str">
        <f>VLOOKUP(J1245,Location[],2,FALSE)</f>
        <v>Plano</v>
      </c>
      <c r="E1245" t="str">
        <f>VLOOKUP(J1245,Location[],3,FALSE)</f>
        <v> Texas</v>
      </c>
      <c r="F1245" t="str">
        <f>VLOOKUP(K1245,Dept[],2,FALSE)</f>
        <v>Assessment</v>
      </c>
      <c r="G1245" s="11">
        <f t="shared" si="19"/>
        <v>43466</v>
      </c>
      <c r="H1245" t="str">
        <f>VLOOKUP(N1245,Status[],2,FALSE)</f>
        <v>Full-Time</v>
      </c>
      <c r="J1245" s="7">
        <v>1069</v>
      </c>
      <c r="K1245">
        <v>13</v>
      </c>
      <c r="L1245">
        <v>2019</v>
      </c>
      <c r="M1245">
        <v>1</v>
      </c>
      <c r="N1245">
        <v>1</v>
      </c>
    </row>
    <row r="1246" spans="1:14" x14ac:dyDescent="0.25">
      <c r="A1246" t="s">
        <v>3476</v>
      </c>
      <c r="B1246" t="s">
        <v>290</v>
      </c>
      <c r="C1246" t="s">
        <v>987</v>
      </c>
      <c r="D1246" t="str">
        <f>VLOOKUP(J1246,Location[],2,FALSE)</f>
        <v>Tulsa</v>
      </c>
      <c r="E1246" t="str">
        <f>VLOOKUP(J1246,Location[],3,FALSE)</f>
        <v> Oklahoma</v>
      </c>
      <c r="F1246" t="str">
        <f>VLOOKUP(K1246,Dept[],2,FALSE)</f>
        <v>Customer Support</v>
      </c>
      <c r="G1246" s="11">
        <f t="shared" si="19"/>
        <v>43831</v>
      </c>
      <c r="H1246" t="str">
        <f>VLOOKUP(N1246,Status[],2,FALSE)</f>
        <v>Full-Time</v>
      </c>
      <c r="J1246" s="7">
        <v>1047</v>
      </c>
      <c r="K1246">
        <v>14</v>
      </c>
      <c r="L1246">
        <v>2020</v>
      </c>
      <c r="M1246">
        <v>1</v>
      </c>
      <c r="N1246">
        <v>1</v>
      </c>
    </row>
    <row r="1247" spans="1:14" x14ac:dyDescent="0.25">
      <c r="A1247" t="s">
        <v>3477</v>
      </c>
      <c r="B1247" t="s">
        <v>907</v>
      </c>
      <c r="C1247" t="s">
        <v>648</v>
      </c>
      <c r="D1247" t="str">
        <f>VLOOKUP(J1247,Location[],2,FALSE)</f>
        <v>Philadelphia</v>
      </c>
      <c r="E1247" t="str">
        <f>VLOOKUP(J1247,Location[],3,FALSE)</f>
        <v> Pennsylvania</v>
      </c>
      <c r="F1247" t="str">
        <f>VLOOKUP(K1247,Dept[],2,FALSE)</f>
        <v>Legal</v>
      </c>
      <c r="G1247" s="11">
        <f t="shared" si="19"/>
        <v>44470</v>
      </c>
      <c r="H1247" t="str">
        <f>VLOOKUP(N1247,Status[],2,FALSE)</f>
        <v>Full-Time</v>
      </c>
      <c r="J1247" s="7">
        <v>1006</v>
      </c>
      <c r="K1247">
        <v>18</v>
      </c>
      <c r="L1247">
        <v>2021</v>
      </c>
      <c r="M1247">
        <v>10</v>
      </c>
      <c r="N1247">
        <v>1</v>
      </c>
    </row>
    <row r="1248" spans="1:14" x14ac:dyDescent="0.25">
      <c r="A1248" t="s">
        <v>3478</v>
      </c>
      <c r="B1248" t="s">
        <v>135</v>
      </c>
      <c r="C1248" t="s">
        <v>648</v>
      </c>
      <c r="D1248" t="str">
        <f>VLOOKUP(J1248,Location[],2,FALSE)</f>
        <v>Long Beach</v>
      </c>
      <c r="E1248" t="str">
        <f>VLOOKUP(J1248,Location[],3,FALSE)</f>
        <v> California</v>
      </c>
      <c r="F1248" t="str">
        <f>VLOOKUP(K1248,Dept[],2,FALSE)</f>
        <v>Administration</v>
      </c>
      <c r="G1248" s="11">
        <f t="shared" si="19"/>
        <v>43525</v>
      </c>
      <c r="H1248" t="str">
        <f>VLOOKUP(N1248,Status[],2,FALSE)</f>
        <v>Full-Time</v>
      </c>
      <c r="J1248" s="7">
        <v>1039</v>
      </c>
      <c r="K1248">
        <v>12</v>
      </c>
      <c r="L1248">
        <v>2019</v>
      </c>
      <c r="M1248">
        <v>3</v>
      </c>
      <c r="N1248">
        <v>1</v>
      </c>
    </row>
    <row r="1249" spans="1:14" x14ac:dyDescent="0.25">
      <c r="A1249" t="s">
        <v>3479</v>
      </c>
      <c r="B1249" t="s">
        <v>947</v>
      </c>
      <c r="C1249" t="s">
        <v>648</v>
      </c>
      <c r="D1249" t="str">
        <f>VLOOKUP(J1249,Location[],2,FALSE)</f>
        <v>Fort Worth</v>
      </c>
      <c r="E1249" t="str">
        <f>VLOOKUP(J1249,Location[],3,FALSE)</f>
        <v> Texas</v>
      </c>
      <c r="F1249" t="str">
        <f>VLOOKUP(K1249,Dept[],2,FALSE)</f>
        <v>Marketing</v>
      </c>
      <c r="G1249" s="11">
        <f t="shared" si="19"/>
        <v>41334</v>
      </c>
      <c r="H1249" t="str">
        <f>VLOOKUP(N1249,Status[],2,FALSE)</f>
        <v>Part-Time</v>
      </c>
      <c r="J1249" s="7">
        <v>1015</v>
      </c>
      <c r="K1249">
        <v>19</v>
      </c>
      <c r="L1249">
        <v>2013</v>
      </c>
      <c r="M1249">
        <v>3</v>
      </c>
      <c r="N1249">
        <v>0</v>
      </c>
    </row>
    <row r="1250" spans="1:14" x14ac:dyDescent="0.25">
      <c r="A1250" t="s">
        <v>3480</v>
      </c>
      <c r="B1250" t="s">
        <v>83</v>
      </c>
      <c r="C1250" t="s">
        <v>825</v>
      </c>
      <c r="D1250" t="str">
        <f>VLOOKUP(J1250,Location[],2,FALSE)</f>
        <v>Las Vegas</v>
      </c>
      <c r="E1250" t="str">
        <f>VLOOKUP(J1250,Location[],3,FALSE)</f>
        <v> Nevada</v>
      </c>
      <c r="F1250" t="str">
        <f>VLOOKUP(K1250,Dept[],2,FALSE)</f>
        <v>Administration</v>
      </c>
      <c r="G1250" s="11">
        <f t="shared" si="19"/>
        <v>43040</v>
      </c>
      <c r="H1250" t="str">
        <f>VLOOKUP(N1250,Status[],2,FALSE)</f>
        <v>Full-Time</v>
      </c>
      <c r="J1250" s="7">
        <v>1028</v>
      </c>
      <c r="K1250">
        <v>12</v>
      </c>
      <c r="L1250">
        <v>2017</v>
      </c>
      <c r="M1250">
        <v>11</v>
      </c>
      <c r="N1250">
        <v>1</v>
      </c>
    </row>
    <row r="1251" spans="1:14" x14ac:dyDescent="0.25">
      <c r="A1251" t="s">
        <v>3481</v>
      </c>
      <c r="B1251" t="s">
        <v>31</v>
      </c>
      <c r="C1251" t="s">
        <v>1224</v>
      </c>
      <c r="D1251" t="str">
        <f>VLOOKUP(J1251,Location[],2,FALSE)</f>
        <v>Albuquerque</v>
      </c>
      <c r="E1251" t="str">
        <f>VLOOKUP(J1251,Location[],3,FALSE)</f>
        <v> New Mexico</v>
      </c>
      <c r="F1251" t="str">
        <f>VLOOKUP(K1251,Dept[],2,FALSE)</f>
        <v>Administration</v>
      </c>
      <c r="G1251" s="11">
        <f t="shared" si="19"/>
        <v>42583</v>
      </c>
      <c r="H1251" t="str">
        <f>VLOOKUP(N1251,Status[],2,FALSE)</f>
        <v>Full-Time</v>
      </c>
      <c r="J1251" s="7">
        <v>1032</v>
      </c>
      <c r="K1251">
        <v>12</v>
      </c>
      <c r="L1251">
        <v>2016</v>
      </c>
      <c r="M1251">
        <v>8</v>
      </c>
      <c r="N1251">
        <v>1</v>
      </c>
    </row>
    <row r="1252" spans="1:14" x14ac:dyDescent="0.25">
      <c r="A1252" t="s">
        <v>3482</v>
      </c>
      <c r="B1252" t="s">
        <v>1195</v>
      </c>
      <c r="C1252" t="s">
        <v>1196</v>
      </c>
      <c r="D1252" t="str">
        <f>VLOOKUP(J1252,Location[],2,FALSE)</f>
        <v>Riverside</v>
      </c>
      <c r="E1252" t="str">
        <f>VLOOKUP(J1252,Location[],3,FALSE)</f>
        <v> California</v>
      </c>
      <c r="F1252" t="str">
        <f>VLOOKUP(K1252,Dept[],2,FALSE)</f>
        <v>Administration</v>
      </c>
      <c r="G1252" s="11">
        <f t="shared" si="19"/>
        <v>42491</v>
      </c>
      <c r="H1252" t="str">
        <f>VLOOKUP(N1252,Status[],2,FALSE)</f>
        <v>Part-Time</v>
      </c>
      <c r="J1252" s="7">
        <v>1058</v>
      </c>
      <c r="K1252">
        <v>12</v>
      </c>
      <c r="L1252">
        <v>2016</v>
      </c>
      <c r="M1252">
        <v>5</v>
      </c>
      <c r="N1252">
        <v>0</v>
      </c>
    </row>
    <row r="1253" spans="1:14" x14ac:dyDescent="0.25">
      <c r="A1253" t="s">
        <v>3483</v>
      </c>
      <c r="B1253" t="s">
        <v>43</v>
      </c>
      <c r="C1253" t="s">
        <v>2064</v>
      </c>
      <c r="D1253" t="str">
        <f>VLOOKUP(J1253,Location[],2,FALSE)</f>
        <v>Los Angeles</v>
      </c>
      <c r="E1253" t="str">
        <f>VLOOKUP(J1253,Location[],3,FALSE)</f>
        <v> California</v>
      </c>
      <c r="F1253" t="str">
        <f>VLOOKUP(K1253,Dept[],2,FALSE)</f>
        <v>Customer Support</v>
      </c>
      <c r="G1253" s="11">
        <f t="shared" si="19"/>
        <v>42948</v>
      </c>
      <c r="H1253" t="str">
        <f>VLOOKUP(N1253,Status[],2,FALSE)</f>
        <v>Full-Time</v>
      </c>
      <c r="J1253" s="7">
        <v>1002</v>
      </c>
      <c r="K1253">
        <v>14</v>
      </c>
      <c r="L1253">
        <v>2017</v>
      </c>
      <c r="M1253">
        <v>8</v>
      </c>
      <c r="N1253">
        <v>1</v>
      </c>
    </row>
    <row r="1254" spans="1:14" x14ac:dyDescent="0.25">
      <c r="A1254" t="s">
        <v>3484</v>
      </c>
      <c r="B1254" t="s">
        <v>1369</v>
      </c>
      <c r="C1254" t="s">
        <v>1994</v>
      </c>
      <c r="D1254" t="str">
        <f>VLOOKUP(J1254,Location[],2,FALSE)</f>
        <v>Fort Worth</v>
      </c>
      <c r="E1254" t="str">
        <f>VLOOKUP(J1254,Location[],3,FALSE)</f>
        <v> Texas</v>
      </c>
      <c r="F1254" t="str">
        <f>VLOOKUP(K1254,Dept[],2,FALSE)</f>
        <v>Finance</v>
      </c>
      <c r="G1254" s="11">
        <f t="shared" si="19"/>
        <v>42583</v>
      </c>
      <c r="H1254" t="str">
        <f>VLOOKUP(N1254,Status[],2,FALSE)</f>
        <v>Full-Time</v>
      </c>
      <c r="J1254" s="7">
        <v>1015</v>
      </c>
      <c r="K1254">
        <v>15</v>
      </c>
      <c r="L1254">
        <v>2016</v>
      </c>
      <c r="M1254">
        <v>8</v>
      </c>
      <c r="N1254">
        <v>1</v>
      </c>
    </row>
    <row r="1255" spans="1:14" x14ac:dyDescent="0.25">
      <c r="A1255" t="s">
        <v>3485</v>
      </c>
      <c r="B1255" t="s">
        <v>144</v>
      </c>
      <c r="C1255" t="s">
        <v>1651</v>
      </c>
      <c r="D1255" t="str">
        <f>VLOOKUP(J1255,Location[],2,FALSE)</f>
        <v>Tucson</v>
      </c>
      <c r="E1255" t="str">
        <f>VLOOKUP(J1255,Location[],3,FALSE)</f>
        <v> Arizona</v>
      </c>
      <c r="F1255" t="str">
        <f>VLOOKUP(K1255,Dept[],2,FALSE)</f>
        <v>Administration</v>
      </c>
      <c r="G1255" s="11">
        <f t="shared" si="19"/>
        <v>43525</v>
      </c>
      <c r="H1255" t="str">
        <f>VLOOKUP(N1255,Status[],2,FALSE)</f>
        <v>Full-Time</v>
      </c>
      <c r="J1255" s="7">
        <v>1033</v>
      </c>
      <c r="K1255">
        <v>12</v>
      </c>
      <c r="L1255">
        <v>2019</v>
      </c>
      <c r="M1255">
        <v>3</v>
      </c>
      <c r="N1255">
        <v>1</v>
      </c>
    </row>
    <row r="1256" spans="1:14" x14ac:dyDescent="0.25">
      <c r="A1256" t="s">
        <v>3486</v>
      </c>
      <c r="B1256" t="s">
        <v>253</v>
      </c>
      <c r="C1256" t="s">
        <v>1661</v>
      </c>
      <c r="D1256" t="str">
        <f>VLOOKUP(J1256,Location[],2,FALSE)</f>
        <v>Los Angeles</v>
      </c>
      <c r="E1256" t="str">
        <f>VLOOKUP(J1256,Location[],3,FALSE)</f>
        <v> California</v>
      </c>
      <c r="F1256" t="str">
        <f>VLOOKUP(K1256,Dept[],2,FALSE)</f>
        <v>Customer Support</v>
      </c>
      <c r="G1256" s="11">
        <f t="shared" si="19"/>
        <v>41395</v>
      </c>
      <c r="H1256" t="str">
        <f>VLOOKUP(N1256,Status[],2,FALSE)</f>
        <v>Full-Time</v>
      </c>
      <c r="J1256" s="7">
        <v>1002</v>
      </c>
      <c r="K1256">
        <v>14</v>
      </c>
      <c r="L1256">
        <v>2013</v>
      </c>
      <c r="M1256">
        <v>5</v>
      </c>
      <c r="N1256">
        <v>1</v>
      </c>
    </row>
    <row r="1257" spans="1:14" x14ac:dyDescent="0.25">
      <c r="A1257" t="s">
        <v>3487</v>
      </c>
      <c r="B1257" t="s">
        <v>222</v>
      </c>
      <c r="C1257" t="s">
        <v>1549</v>
      </c>
      <c r="D1257" t="str">
        <f>VLOOKUP(J1257,Location[],2,FALSE)</f>
        <v>Laredo</v>
      </c>
      <c r="E1257" t="str">
        <f>VLOOKUP(J1257,Location[],3,FALSE)</f>
        <v> Texas</v>
      </c>
      <c r="F1257" t="str">
        <f>VLOOKUP(K1257,Dept[],2,FALSE)</f>
        <v>Finance</v>
      </c>
      <c r="G1257" s="11">
        <f t="shared" si="19"/>
        <v>44378</v>
      </c>
      <c r="H1257" t="str">
        <f>VLOOKUP(N1257,Status[],2,FALSE)</f>
        <v>Full-Time</v>
      </c>
      <c r="J1257" s="7">
        <v>1080</v>
      </c>
      <c r="K1257">
        <v>15</v>
      </c>
      <c r="L1257">
        <v>2021</v>
      </c>
      <c r="M1257">
        <v>7</v>
      </c>
      <c r="N1257">
        <v>1</v>
      </c>
    </row>
    <row r="1258" spans="1:14" x14ac:dyDescent="0.25">
      <c r="A1258" t="s">
        <v>3488</v>
      </c>
      <c r="B1258" t="s">
        <v>1101</v>
      </c>
      <c r="C1258" t="s">
        <v>1879</v>
      </c>
      <c r="D1258" t="str">
        <f>VLOOKUP(J1258,Location[],2,FALSE)</f>
        <v>El Paso</v>
      </c>
      <c r="E1258" t="str">
        <f>VLOOKUP(J1258,Location[],3,FALSE)</f>
        <v> Texas</v>
      </c>
      <c r="F1258" t="str">
        <f>VLOOKUP(K1258,Dept[],2,FALSE)</f>
        <v>Customer Support</v>
      </c>
      <c r="G1258" s="11">
        <f t="shared" si="19"/>
        <v>41944</v>
      </c>
      <c r="H1258" t="str">
        <f>VLOOKUP(N1258,Status[],2,FALSE)</f>
        <v>Full-Time</v>
      </c>
      <c r="J1258" s="7">
        <v>1022</v>
      </c>
      <c r="K1258">
        <v>14</v>
      </c>
      <c r="L1258">
        <v>2014</v>
      </c>
      <c r="M1258">
        <v>11</v>
      </c>
      <c r="N1258">
        <v>1</v>
      </c>
    </row>
    <row r="1259" spans="1:14" x14ac:dyDescent="0.25">
      <c r="A1259" t="s">
        <v>3489</v>
      </c>
      <c r="B1259" t="s">
        <v>347</v>
      </c>
      <c r="C1259" t="s">
        <v>1724</v>
      </c>
      <c r="D1259" t="str">
        <f>VLOOKUP(J1259,Location[],2,FALSE)</f>
        <v>Corpus Christi</v>
      </c>
      <c r="E1259" t="str">
        <f>VLOOKUP(J1259,Location[],3,FALSE)</f>
        <v> Texas</v>
      </c>
      <c r="F1259" t="str">
        <f>VLOOKUP(K1259,Dept[],2,FALSE)</f>
        <v>Customer Support</v>
      </c>
      <c r="G1259" s="11">
        <f t="shared" si="19"/>
        <v>44593</v>
      </c>
      <c r="H1259" t="str">
        <f>VLOOKUP(N1259,Status[],2,FALSE)</f>
        <v>Full-Time</v>
      </c>
      <c r="J1259" s="7">
        <v>1059</v>
      </c>
      <c r="K1259">
        <v>14</v>
      </c>
      <c r="L1259">
        <v>2022</v>
      </c>
      <c r="M1259">
        <v>2</v>
      </c>
      <c r="N1259">
        <v>1</v>
      </c>
    </row>
    <row r="1260" spans="1:14" x14ac:dyDescent="0.25">
      <c r="A1260" t="s">
        <v>3490</v>
      </c>
      <c r="B1260" t="s">
        <v>41</v>
      </c>
      <c r="C1260" t="s">
        <v>419</v>
      </c>
      <c r="D1260" t="str">
        <f>VLOOKUP(J1260,Location[],2,FALSE)</f>
        <v>Oklahoma City</v>
      </c>
      <c r="E1260" t="str">
        <f>VLOOKUP(J1260,Location[],3,FALSE)</f>
        <v> Oklahoma</v>
      </c>
      <c r="F1260" t="str">
        <f>VLOOKUP(K1260,Dept[],2,FALSE)</f>
        <v>Media</v>
      </c>
      <c r="G1260" s="11">
        <f t="shared" si="19"/>
        <v>45108</v>
      </c>
      <c r="H1260" t="str">
        <f>VLOOKUP(N1260,Status[],2,FALSE)</f>
        <v>Full-Time</v>
      </c>
      <c r="J1260" s="7">
        <v>1027</v>
      </c>
      <c r="K1260">
        <v>20</v>
      </c>
      <c r="L1260">
        <v>2023</v>
      </c>
      <c r="M1260">
        <v>7</v>
      </c>
      <c r="N1260">
        <v>1</v>
      </c>
    </row>
    <row r="1261" spans="1:14" x14ac:dyDescent="0.25">
      <c r="A1261" t="s">
        <v>3491</v>
      </c>
      <c r="B1261" t="s">
        <v>339</v>
      </c>
      <c r="C1261" t="s">
        <v>419</v>
      </c>
      <c r="D1261" t="str">
        <f>VLOOKUP(J1261,Location[],2,FALSE)</f>
        <v>Washington, D.C.</v>
      </c>
      <c r="E1261" t="str">
        <f>VLOOKUP(J1261,Location[],3,FALSE)</f>
        <v> District of Columbia</v>
      </c>
      <c r="F1261" t="str">
        <f>VLOOKUP(K1261,Dept[],2,FALSE)</f>
        <v>Sales</v>
      </c>
      <c r="G1261" s="11">
        <f t="shared" si="19"/>
        <v>43009</v>
      </c>
      <c r="H1261" t="str">
        <f>VLOOKUP(N1261,Status[],2,FALSE)</f>
        <v>Full-Time</v>
      </c>
      <c r="J1261" s="7">
        <v>1020</v>
      </c>
      <c r="K1261">
        <v>22</v>
      </c>
      <c r="L1261">
        <v>2017</v>
      </c>
      <c r="M1261">
        <v>10</v>
      </c>
      <c r="N1261">
        <v>1</v>
      </c>
    </row>
    <row r="1262" spans="1:14" x14ac:dyDescent="0.25">
      <c r="A1262" t="s">
        <v>3492</v>
      </c>
      <c r="B1262" t="s">
        <v>418</v>
      </c>
      <c r="C1262" t="s">
        <v>419</v>
      </c>
      <c r="D1262" t="str">
        <f>VLOOKUP(J1262,Location[],2,FALSE)</f>
        <v>San Jose</v>
      </c>
      <c r="E1262" t="str">
        <f>VLOOKUP(J1262,Location[],3,FALSE)</f>
        <v> California</v>
      </c>
      <c r="F1262" t="str">
        <f>VLOOKUP(K1262,Dept[],2,FALSE)</f>
        <v>Legal</v>
      </c>
      <c r="G1262" s="11">
        <f t="shared" si="19"/>
        <v>41091</v>
      </c>
      <c r="H1262" t="str">
        <f>VLOOKUP(N1262,Status[],2,FALSE)</f>
        <v>Full-Time</v>
      </c>
      <c r="J1262" s="7">
        <v>1010</v>
      </c>
      <c r="K1262">
        <v>18</v>
      </c>
      <c r="L1262">
        <v>2012</v>
      </c>
      <c r="M1262">
        <v>7</v>
      </c>
      <c r="N1262">
        <v>1</v>
      </c>
    </row>
    <row r="1263" spans="1:14" x14ac:dyDescent="0.25">
      <c r="A1263" t="s">
        <v>3493</v>
      </c>
      <c r="B1263" t="s">
        <v>108</v>
      </c>
      <c r="C1263" t="s">
        <v>419</v>
      </c>
      <c r="D1263" t="str">
        <f>VLOOKUP(J1263,Location[],2,FALSE)</f>
        <v>Cleveland</v>
      </c>
      <c r="E1263" t="str">
        <f>VLOOKUP(J1263,Location[],3,FALSE)</f>
        <v> Ohio</v>
      </c>
      <c r="F1263" t="str">
        <f>VLOOKUP(K1263,Dept[],2,FALSE)</f>
        <v>Shipping</v>
      </c>
      <c r="G1263" s="11">
        <f t="shared" si="19"/>
        <v>41640</v>
      </c>
      <c r="H1263" t="str">
        <f>VLOOKUP(N1263,Status[],2,FALSE)</f>
        <v>Full-Time</v>
      </c>
      <c r="J1263" s="7">
        <v>1051</v>
      </c>
      <c r="K1263">
        <v>23</v>
      </c>
      <c r="L1263">
        <v>2014</v>
      </c>
      <c r="M1263">
        <v>1</v>
      </c>
      <c r="N1263">
        <v>1</v>
      </c>
    </row>
    <row r="1264" spans="1:14" x14ac:dyDescent="0.25">
      <c r="A1264" t="s">
        <v>3494</v>
      </c>
      <c r="B1264" t="s">
        <v>866</v>
      </c>
      <c r="C1264" t="s">
        <v>419</v>
      </c>
      <c r="D1264" t="str">
        <f>VLOOKUP(J1264,Location[],2,FALSE)</f>
        <v>Nashville</v>
      </c>
      <c r="E1264" t="str">
        <f>VLOOKUP(J1264,Location[],3,FALSE)</f>
        <v> Tennessee</v>
      </c>
      <c r="F1264" t="str">
        <f>VLOOKUP(K1264,Dept[],2,FALSE)</f>
        <v>Administration</v>
      </c>
      <c r="G1264" s="11">
        <f t="shared" si="19"/>
        <v>40969</v>
      </c>
      <c r="H1264" t="str">
        <f>VLOOKUP(N1264,Status[],2,FALSE)</f>
        <v>Full-Time</v>
      </c>
      <c r="J1264" s="7">
        <v>1024</v>
      </c>
      <c r="K1264">
        <v>12</v>
      </c>
      <c r="L1264">
        <v>2012</v>
      </c>
      <c r="M1264">
        <v>3</v>
      </c>
      <c r="N1264">
        <v>1</v>
      </c>
    </row>
    <row r="1265" spans="1:14" x14ac:dyDescent="0.25">
      <c r="A1265" t="s">
        <v>3495</v>
      </c>
      <c r="B1265" t="s">
        <v>47</v>
      </c>
      <c r="C1265" t="s">
        <v>419</v>
      </c>
      <c r="D1265" t="str">
        <f>VLOOKUP(J1265,Location[],2,FALSE)</f>
        <v>Austin</v>
      </c>
      <c r="E1265" t="str">
        <f>VLOOKUP(J1265,Location[],3,FALSE)</f>
        <v> Texas</v>
      </c>
      <c r="F1265" t="str">
        <f>VLOOKUP(K1265,Dept[],2,FALSE)</f>
        <v>Customer Support</v>
      </c>
      <c r="G1265" s="11">
        <f t="shared" si="19"/>
        <v>43313</v>
      </c>
      <c r="H1265" t="str">
        <f>VLOOKUP(N1265,Status[],2,FALSE)</f>
        <v>Full-Time</v>
      </c>
      <c r="J1265" s="7">
        <v>1011</v>
      </c>
      <c r="K1265">
        <v>14</v>
      </c>
      <c r="L1265">
        <v>2018</v>
      </c>
      <c r="M1265">
        <v>8</v>
      </c>
      <c r="N1265">
        <v>1</v>
      </c>
    </row>
    <row r="1266" spans="1:14" x14ac:dyDescent="0.25">
      <c r="A1266" t="s">
        <v>3496</v>
      </c>
      <c r="B1266" t="s">
        <v>556</v>
      </c>
      <c r="C1266" t="s">
        <v>419</v>
      </c>
      <c r="D1266" t="str">
        <f>VLOOKUP(J1266,Location[],2,FALSE)</f>
        <v>San Jose</v>
      </c>
      <c r="E1266" t="str">
        <f>VLOOKUP(J1266,Location[],3,FALSE)</f>
        <v> California</v>
      </c>
      <c r="F1266" t="str">
        <f>VLOOKUP(K1266,Dept[],2,FALSE)</f>
        <v>Sales</v>
      </c>
      <c r="G1266" s="11">
        <f t="shared" si="19"/>
        <v>40878</v>
      </c>
      <c r="H1266" t="str">
        <f>VLOOKUP(N1266,Status[],2,FALSE)</f>
        <v>Full-Time</v>
      </c>
      <c r="J1266" s="7">
        <v>1010</v>
      </c>
      <c r="K1266">
        <v>22</v>
      </c>
      <c r="L1266">
        <v>2011</v>
      </c>
      <c r="M1266">
        <v>12</v>
      </c>
      <c r="N1266">
        <v>1</v>
      </c>
    </row>
    <row r="1267" spans="1:14" x14ac:dyDescent="0.25">
      <c r="A1267" t="s">
        <v>3497</v>
      </c>
      <c r="B1267" t="s">
        <v>75</v>
      </c>
      <c r="C1267" t="s">
        <v>419</v>
      </c>
      <c r="D1267" t="str">
        <f>VLOOKUP(J1267,Location[],2,FALSE)</f>
        <v>Lubbock</v>
      </c>
      <c r="E1267" t="str">
        <f>VLOOKUP(J1267,Location[],3,FALSE)</f>
        <v> Texas</v>
      </c>
      <c r="F1267" t="str">
        <f>VLOOKUP(K1267,Dept[],2,FALSE)</f>
        <v>Assessment</v>
      </c>
      <c r="G1267" s="11">
        <f t="shared" si="19"/>
        <v>43282</v>
      </c>
      <c r="H1267" t="str">
        <f>VLOOKUP(N1267,Status[],2,FALSE)</f>
        <v>Full-Time</v>
      </c>
      <c r="J1267" s="7">
        <v>1083</v>
      </c>
      <c r="K1267">
        <v>13</v>
      </c>
      <c r="L1267">
        <v>2018</v>
      </c>
      <c r="M1267">
        <v>7</v>
      </c>
      <c r="N1267">
        <v>1</v>
      </c>
    </row>
    <row r="1268" spans="1:14" x14ac:dyDescent="0.25">
      <c r="A1268" t="s">
        <v>3498</v>
      </c>
      <c r="B1268" t="s">
        <v>1285</v>
      </c>
      <c r="C1268" t="s">
        <v>1286</v>
      </c>
      <c r="D1268" t="str">
        <f>VLOOKUP(J1268,Location[],2,FALSE)</f>
        <v>Mesa</v>
      </c>
      <c r="E1268" t="str">
        <f>VLOOKUP(J1268,Location[],3,FALSE)</f>
        <v> Arizona</v>
      </c>
      <c r="F1268" t="str">
        <f>VLOOKUP(K1268,Dept[],2,FALSE)</f>
        <v>R&amp;D</v>
      </c>
      <c r="G1268" s="11">
        <f t="shared" si="19"/>
        <v>42644</v>
      </c>
      <c r="H1268" t="str">
        <f>VLOOKUP(N1268,Status[],2,FALSE)</f>
        <v>Full-Time</v>
      </c>
      <c r="J1268" s="7">
        <v>1036</v>
      </c>
      <c r="K1268">
        <v>21</v>
      </c>
      <c r="L1268">
        <v>2016</v>
      </c>
      <c r="M1268">
        <v>10</v>
      </c>
      <c r="N1268">
        <v>1</v>
      </c>
    </row>
    <row r="1269" spans="1:14" x14ac:dyDescent="0.25">
      <c r="A1269" t="s">
        <v>3499</v>
      </c>
      <c r="B1269" t="s">
        <v>1768</v>
      </c>
      <c r="C1269" t="s">
        <v>1769</v>
      </c>
      <c r="D1269" t="str">
        <f>VLOOKUP(J1269,Location[],2,FALSE)</f>
        <v>Oakland</v>
      </c>
      <c r="E1269" t="str">
        <f>VLOOKUP(J1269,Location[],3,FALSE)</f>
        <v> California</v>
      </c>
      <c r="F1269" t="str">
        <f>VLOOKUP(K1269,Dept[],2,FALSE)</f>
        <v>Assessment</v>
      </c>
      <c r="G1269" s="11">
        <f t="shared" si="19"/>
        <v>43709</v>
      </c>
      <c r="H1269" t="str">
        <f>VLOOKUP(N1269,Status[],2,FALSE)</f>
        <v>Part-Time</v>
      </c>
      <c r="J1269" s="7">
        <v>1045</v>
      </c>
      <c r="K1269">
        <v>13</v>
      </c>
      <c r="L1269">
        <v>2019</v>
      </c>
      <c r="M1269">
        <v>9</v>
      </c>
      <c r="N1269">
        <v>0</v>
      </c>
    </row>
    <row r="1270" spans="1:14" x14ac:dyDescent="0.25">
      <c r="A1270" t="s">
        <v>3500</v>
      </c>
      <c r="B1270" t="s">
        <v>21</v>
      </c>
      <c r="C1270" t="s">
        <v>1496</v>
      </c>
      <c r="D1270" t="str">
        <f>VLOOKUP(J1270,Location[],2,FALSE)</f>
        <v>Chicago</v>
      </c>
      <c r="E1270" t="str">
        <f>VLOOKUP(J1270,Location[],3,FALSE)</f>
        <v> Illinois</v>
      </c>
      <c r="F1270" t="str">
        <f>VLOOKUP(K1270,Dept[],2,FALSE)</f>
        <v>Legal</v>
      </c>
      <c r="G1270" s="11">
        <f t="shared" si="19"/>
        <v>40817</v>
      </c>
      <c r="H1270" t="str">
        <f>VLOOKUP(N1270,Status[],2,FALSE)</f>
        <v>Full-Time</v>
      </c>
      <c r="J1270" s="7">
        <v>1003</v>
      </c>
      <c r="K1270">
        <v>18</v>
      </c>
      <c r="L1270">
        <v>2011</v>
      </c>
      <c r="M1270">
        <v>10</v>
      </c>
      <c r="N1270">
        <v>1</v>
      </c>
    </row>
    <row r="1271" spans="1:14" x14ac:dyDescent="0.25">
      <c r="A1271" t="s">
        <v>3501</v>
      </c>
      <c r="B1271" t="s">
        <v>552</v>
      </c>
      <c r="C1271" t="s">
        <v>1903</v>
      </c>
      <c r="D1271" t="str">
        <f>VLOOKUP(J1271,Location[],2,FALSE)</f>
        <v>Chicago</v>
      </c>
      <c r="E1271" t="str">
        <f>VLOOKUP(J1271,Location[],3,FALSE)</f>
        <v> Illinois</v>
      </c>
      <c r="F1271" t="str">
        <f>VLOOKUP(K1271,Dept[],2,FALSE)</f>
        <v>Accounting</v>
      </c>
      <c r="G1271" s="11">
        <f t="shared" si="19"/>
        <v>43191</v>
      </c>
      <c r="H1271" t="str">
        <f>VLOOKUP(N1271,Status[],2,FALSE)</f>
        <v>Full-Time</v>
      </c>
      <c r="J1271" s="7">
        <v>1003</v>
      </c>
      <c r="K1271">
        <v>11</v>
      </c>
      <c r="L1271">
        <v>2018</v>
      </c>
      <c r="M1271">
        <v>4</v>
      </c>
      <c r="N1271">
        <v>1</v>
      </c>
    </row>
    <row r="1272" spans="1:14" x14ac:dyDescent="0.25">
      <c r="A1272" t="s">
        <v>3502</v>
      </c>
      <c r="B1272" t="s">
        <v>405</v>
      </c>
      <c r="C1272" t="s">
        <v>551</v>
      </c>
      <c r="D1272" t="str">
        <f>VLOOKUP(J1272,Location[],2,FALSE)</f>
        <v>Chicago</v>
      </c>
      <c r="E1272" t="str">
        <f>VLOOKUP(J1272,Location[],3,FALSE)</f>
        <v> Illinois</v>
      </c>
      <c r="F1272" t="str">
        <f>VLOOKUP(K1272,Dept[],2,FALSE)</f>
        <v>Media</v>
      </c>
      <c r="G1272" s="11">
        <f t="shared" si="19"/>
        <v>41306</v>
      </c>
      <c r="H1272" t="str">
        <f>VLOOKUP(N1272,Status[],2,FALSE)</f>
        <v>Full-Time</v>
      </c>
      <c r="J1272" s="7">
        <v>1003</v>
      </c>
      <c r="K1272">
        <v>20</v>
      </c>
      <c r="L1272">
        <v>2013</v>
      </c>
      <c r="M1272">
        <v>2</v>
      </c>
      <c r="N1272">
        <v>1</v>
      </c>
    </row>
    <row r="1273" spans="1:14" x14ac:dyDescent="0.25">
      <c r="A1273" t="s">
        <v>3503</v>
      </c>
      <c r="B1273" t="s">
        <v>550</v>
      </c>
      <c r="C1273" t="s">
        <v>551</v>
      </c>
      <c r="D1273" t="str">
        <f>VLOOKUP(J1273,Location[],2,FALSE)</f>
        <v>Phoenix</v>
      </c>
      <c r="E1273" t="str">
        <f>VLOOKUP(J1273,Location[],3,FALSE)</f>
        <v> Arizona</v>
      </c>
      <c r="F1273" t="str">
        <f>VLOOKUP(K1273,Dept[],2,FALSE)</f>
        <v>Administration</v>
      </c>
      <c r="G1273" s="11">
        <f t="shared" si="19"/>
        <v>41821</v>
      </c>
      <c r="H1273" t="str">
        <f>VLOOKUP(N1273,Status[],2,FALSE)</f>
        <v>Full-Time</v>
      </c>
      <c r="J1273" s="7">
        <v>1005</v>
      </c>
      <c r="K1273">
        <v>12</v>
      </c>
      <c r="L1273">
        <v>2014</v>
      </c>
      <c r="M1273">
        <v>7</v>
      </c>
      <c r="N1273">
        <v>1</v>
      </c>
    </row>
    <row r="1274" spans="1:14" x14ac:dyDescent="0.25">
      <c r="A1274" t="s">
        <v>3504</v>
      </c>
      <c r="B1274" t="s">
        <v>1849</v>
      </c>
      <c r="C1274" t="s">
        <v>551</v>
      </c>
      <c r="D1274" t="str">
        <f>VLOOKUP(J1274,Location[],2,FALSE)</f>
        <v>Denver</v>
      </c>
      <c r="E1274" t="str">
        <f>VLOOKUP(J1274,Location[],3,FALSE)</f>
        <v> Colorado</v>
      </c>
      <c r="F1274" t="str">
        <f>VLOOKUP(K1274,Dept[],2,FALSE)</f>
        <v>Media</v>
      </c>
      <c r="G1274" s="11">
        <f t="shared" si="19"/>
        <v>42583</v>
      </c>
      <c r="H1274" t="str">
        <f>VLOOKUP(N1274,Status[],2,FALSE)</f>
        <v>Full-Time</v>
      </c>
      <c r="J1274" s="7">
        <v>1019</v>
      </c>
      <c r="K1274">
        <v>20</v>
      </c>
      <c r="L1274">
        <v>2016</v>
      </c>
      <c r="M1274">
        <v>8</v>
      </c>
      <c r="N1274">
        <v>1</v>
      </c>
    </row>
    <row r="1275" spans="1:14" x14ac:dyDescent="0.25">
      <c r="A1275" t="s">
        <v>3505</v>
      </c>
      <c r="B1275" t="s">
        <v>674</v>
      </c>
      <c r="C1275" t="s">
        <v>551</v>
      </c>
      <c r="D1275" t="str">
        <f>VLOOKUP(J1275,Location[],2,FALSE)</f>
        <v>Memphis</v>
      </c>
      <c r="E1275" t="str">
        <f>VLOOKUP(J1275,Location[],3,FALSE)</f>
        <v> Tennessee</v>
      </c>
      <c r="F1275" t="str">
        <f>VLOOKUP(K1275,Dept[],2,FALSE)</f>
        <v>Accounting</v>
      </c>
      <c r="G1275" s="11">
        <f t="shared" si="19"/>
        <v>42430</v>
      </c>
      <c r="H1275" t="str">
        <f>VLOOKUP(N1275,Status[],2,FALSE)</f>
        <v>Full-Time</v>
      </c>
      <c r="J1275" s="7">
        <v>1025</v>
      </c>
      <c r="K1275">
        <v>11</v>
      </c>
      <c r="L1275">
        <v>2016</v>
      </c>
      <c r="M1275">
        <v>3</v>
      </c>
      <c r="N1275">
        <v>1</v>
      </c>
    </row>
    <row r="1276" spans="1:14" x14ac:dyDescent="0.25">
      <c r="A1276" t="s">
        <v>3506</v>
      </c>
      <c r="B1276" t="s">
        <v>828</v>
      </c>
      <c r="C1276" t="s">
        <v>1646</v>
      </c>
      <c r="D1276" t="str">
        <f>VLOOKUP(J1276,Location[],2,FALSE)</f>
        <v>Albuquerque</v>
      </c>
      <c r="E1276" t="str">
        <f>VLOOKUP(J1276,Location[],3,FALSE)</f>
        <v> New Mexico</v>
      </c>
      <c r="F1276" t="str">
        <f>VLOOKUP(K1276,Dept[],2,FALSE)</f>
        <v>Customer Support</v>
      </c>
      <c r="G1276" s="11">
        <f t="shared" si="19"/>
        <v>41153</v>
      </c>
      <c r="H1276" t="str">
        <f>VLOOKUP(N1276,Status[],2,FALSE)</f>
        <v>Full-Time</v>
      </c>
      <c r="J1276" s="7">
        <v>1032</v>
      </c>
      <c r="K1276">
        <v>14</v>
      </c>
      <c r="L1276">
        <v>2012</v>
      </c>
      <c r="M1276">
        <v>9</v>
      </c>
      <c r="N1276">
        <v>1</v>
      </c>
    </row>
    <row r="1277" spans="1:14" x14ac:dyDescent="0.25">
      <c r="A1277" t="s">
        <v>3507</v>
      </c>
      <c r="B1277" t="s">
        <v>108</v>
      </c>
      <c r="C1277" t="s">
        <v>472</v>
      </c>
      <c r="D1277" t="str">
        <f>VLOOKUP(J1277,Location[],2,FALSE)</f>
        <v>San Francisco</v>
      </c>
      <c r="E1277" t="str">
        <f>VLOOKUP(J1277,Location[],3,FALSE)</f>
        <v> California</v>
      </c>
      <c r="F1277" t="str">
        <f>VLOOKUP(K1277,Dept[],2,FALSE)</f>
        <v>Customer Support</v>
      </c>
      <c r="G1277" s="11">
        <f t="shared" si="19"/>
        <v>42644</v>
      </c>
      <c r="H1277" t="str">
        <f>VLOOKUP(N1277,Status[],2,FALSE)</f>
        <v>Full-Time</v>
      </c>
      <c r="J1277" s="7">
        <v>1013</v>
      </c>
      <c r="K1277">
        <v>14</v>
      </c>
      <c r="L1277">
        <v>2016</v>
      </c>
      <c r="M1277">
        <v>10</v>
      </c>
      <c r="N1277">
        <v>1</v>
      </c>
    </row>
    <row r="1278" spans="1:14" x14ac:dyDescent="0.25">
      <c r="A1278" t="s">
        <v>3508</v>
      </c>
      <c r="B1278" t="s">
        <v>246</v>
      </c>
      <c r="C1278" t="s">
        <v>483</v>
      </c>
      <c r="D1278" t="str">
        <f>VLOOKUP(J1278,Location[],2,FALSE)</f>
        <v>New York City</v>
      </c>
      <c r="E1278" t="str">
        <f>VLOOKUP(J1278,Location[],3,FALSE)</f>
        <v> New York</v>
      </c>
      <c r="F1278" t="str">
        <f>VLOOKUP(K1278,Dept[],2,FALSE)</f>
        <v>IT</v>
      </c>
      <c r="G1278" s="11">
        <f t="shared" si="19"/>
        <v>45108</v>
      </c>
      <c r="H1278" t="str">
        <f>VLOOKUP(N1278,Status[],2,FALSE)</f>
        <v>Full-Time</v>
      </c>
      <c r="J1278" s="7">
        <v>1001</v>
      </c>
      <c r="K1278">
        <v>17</v>
      </c>
      <c r="L1278">
        <v>2023</v>
      </c>
      <c r="M1278">
        <v>7</v>
      </c>
      <c r="N1278">
        <v>1</v>
      </c>
    </row>
    <row r="1279" spans="1:14" x14ac:dyDescent="0.25">
      <c r="A1279" t="s">
        <v>3509</v>
      </c>
      <c r="B1279" t="s">
        <v>1808</v>
      </c>
      <c r="C1279" t="s">
        <v>483</v>
      </c>
      <c r="D1279" t="str">
        <f>VLOOKUP(J1279,Location[],2,FALSE)</f>
        <v>Mesa</v>
      </c>
      <c r="E1279" t="str">
        <f>VLOOKUP(J1279,Location[],3,FALSE)</f>
        <v> Arizona</v>
      </c>
      <c r="F1279" t="str">
        <f>VLOOKUP(K1279,Dept[],2,FALSE)</f>
        <v>Customer Support</v>
      </c>
      <c r="G1279" s="11">
        <f t="shared" si="19"/>
        <v>41518</v>
      </c>
      <c r="H1279" t="str">
        <f>VLOOKUP(N1279,Status[],2,FALSE)</f>
        <v>Full-Time</v>
      </c>
      <c r="J1279" s="7">
        <v>1036</v>
      </c>
      <c r="K1279">
        <v>14</v>
      </c>
      <c r="L1279">
        <v>2013</v>
      </c>
      <c r="M1279">
        <v>9</v>
      </c>
      <c r="N1279">
        <v>1</v>
      </c>
    </row>
    <row r="1280" spans="1:14" x14ac:dyDescent="0.25">
      <c r="A1280" t="s">
        <v>3510</v>
      </c>
      <c r="B1280" t="s">
        <v>408</v>
      </c>
      <c r="C1280" t="s">
        <v>483</v>
      </c>
      <c r="D1280" t="str">
        <f>VLOOKUP(J1280,Location[],2,FALSE)</f>
        <v>Phoenix</v>
      </c>
      <c r="E1280" t="str">
        <f>VLOOKUP(J1280,Location[],3,FALSE)</f>
        <v> Arizona</v>
      </c>
      <c r="F1280" t="str">
        <f>VLOOKUP(K1280,Dept[],2,FALSE)</f>
        <v>Accounting</v>
      </c>
      <c r="G1280" s="11">
        <f t="shared" si="19"/>
        <v>42644</v>
      </c>
      <c r="H1280" t="str">
        <f>VLOOKUP(N1280,Status[],2,FALSE)</f>
        <v>Full-Time</v>
      </c>
      <c r="J1280" s="7">
        <v>1005</v>
      </c>
      <c r="K1280">
        <v>11</v>
      </c>
      <c r="L1280">
        <v>2016</v>
      </c>
      <c r="M1280">
        <v>10</v>
      </c>
      <c r="N1280">
        <v>1</v>
      </c>
    </row>
    <row r="1281" spans="1:14" x14ac:dyDescent="0.25">
      <c r="A1281" t="s">
        <v>3511</v>
      </c>
      <c r="B1281" t="s">
        <v>492</v>
      </c>
      <c r="C1281" t="s">
        <v>483</v>
      </c>
      <c r="D1281" t="str">
        <f>VLOOKUP(J1281,Location[],2,FALSE)</f>
        <v>Fort Worth</v>
      </c>
      <c r="E1281" t="str">
        <f>VLOOKUP(J1281,Location[],3,FALSE)</f>
        <v> Texas</v>
      </c>
      <c r="F1281" t="str">
        <f>VLOOKUP(K1281,Dept[],2,FALSE)</f>
        <v>Legal</v>
      </c>
      <c r="G1281" s="11">
        <f t="shared" si="19"/>
        <v>43647</v>
      </c>
      <c r="H1281" t="str">
        <f>VLOOKUP(N1281,Status[],2,FALSE)</f>
        <v>Part-Time</v>
      </c>
      <c r="J1281" s="7">
        <v>1015</v>
      </c>
      <c r="K1281">
        <v>18</v>
      </c>
      <c r="L1281">
        <v>2019</v>
      </c>
      <c r="M1281">
        <v>7</v>
      </c>
      <c r="N1281">
        <v>0</v>
      </c>
    </row>
    <row r="1282" spans="1:14" x14ac:dyDescent="0.25">
      <c r="A1282" t="s">
        <v>3512</v>
      </c>
      <c r="B1282" t="s">
        <v>253</v>
      </c>
      <c r="C1282" t="s">
        <v>483</v>
      </c>
      <c r="D1282" t="str">
        <f>VLOOKUP(J1282,Location[],2,FALSE)</f>
        <v>Los Angeles</v>
      </c>
      <c r="E1282" t="str">
        <f>VLOOKUP(J1282,Location[],3,FALSE)</f>
        <v> California</v>
      </c>
      <c r="F1282" t="str">
        <f>VLOOKUP(K1282,Dept[],2,FALSE)</f>
        <v>Shipping</v>
      </c>
      <c r="G1282" s="11">
        <f t="shared" si="19"/>
        <v>42005</v>
      </c>
      <c r="H1282" t="str">
        <f>VLOOKUP(N1282,Status[],2,FALSE)</f>
        <v>Part-Time</v>
      </c>
      <c r="J1282" s="7">
        <v>1002</v>
      </c>
      <c r="K1282">
        <v>23</v>
      </c>
      <c r="L1282">
        <v>2015</v>
      </c>
      <c r="M1282">
        <v>1</v>
      </c>
      <c r="N1282">
        <v>0</v>
      </c>
    </row>
    <row r="1283" spans="1:14" x14ac:dyDescent="0.25">
      <c r="A1283" t="s">
        <v>2517</v>
      </c>
      <c r="B1283" t="s">
        <v>489</v>
      </c>
      <c r="C1283" t="s">
        <v>483</v>
      </c>
      <c r="D1283" t="str">
        <f>VLOOKUP(J1283,Location[],2,FALSE)</f>
        <v>New York City</v>
      </c>
      <c r="E1283" t="str">
        <f>VLOOKUP(J1283,Location[],3,FALSE)</f>
        <v> New York</v>
      </c>
      <c r="F1283" t="str">
        <f>VLOOKUP(K1283,Dept[],2,FALSE)</f>
        <v>Legal</v>
      </c>
      <c r="G1283" s="11">
        <f t="shared" si="19"/>
        <v>42614</v>
      </c>
      <c r="H1283" t="str">
        <f>VLOOKUP(N1283,Status[],2,FALSE)</f>
        <v>Full-Time</v>
      </c>
      <c r="J1283" s="7">
        <v>1001</v>
      </c>
      <c r="K1283">
        <v>18</v>
      </c>
      <c r="L1283">
        <v>2016</v>
      </c>
      <c r="M1283">
        <v>9</v>
      </c>
      <c r="N1283">
        <v>1</v>
      </c>
    </row>
    <row r="1284" spans="1:14" x14ac:dyDescent="0.25">
      <c r="A1284" t="s">
        <v>3513</v>
      </c>
      <c r="B1284" t="s">
        <v>337</v>
      </c>
      <c r="C1284" t="s">
        <v>483</v>
      </c>
      <c r="D1284" t="str">
        <f>VLOOKUP(J1284,Location[],2,FALSE)</f>
        <v>Seattle</v>
      </c>
      <c r="E1284" t="str">
        <f>VLOOKUP(J1284,Location[],3,FALSE)</f>
        <v> Washington</v>
      </c>
      <c r="F1284" t="str">
        <f>VLOOKUP(K1284,Dept[],2,FALSE)</f>
        <v>Assessment</v>
      </c>
      <c r="G1284" s="11">
        <f t="shared" si="19"/>
        <v>44531</v>
      </c>
      <c r="H1284" t="str">
        <f>VLOOKUP(N1284,Status[],2,FALSE)</f>
        <v>Full-Time</v>
      </c>
      <c r="J1284" s="7">
        <v>1018</v>
      </c>
      <c r="K1284">
        <v>13</v>
      </c>
      <c r="L1284">
        <v>2021</v>
      </c>
      <c r="M1284">
        <v>12</v>
      </c>
      <c r="N1284">
        <v>1</v>
      </c>
    </row>
    <row r="1285" spans="1:14" x14ac:dyDescent="0.25">
      <c r="A1285" t="s">
        <v>3514</v>
      </c>
      <c r="B1285" t="s">
        <v>487</v>
      </c>
      <c r="C1285" t="s">
        <v>483</v>
      </c>
      <c r="D1285" t="str">
        <f>VLOOKUP(J1285,Location[],2,FALSE)</f>
        <v>Henderson</v>
      </c>
      <c r="E1285" t="str">
        <f>VLOOKUP(J1285,Location[],3,FALSE)</f>
        <v> Nevada</v>
      </c>
      <c r="F1285" t="str">
        <f>VLOOKUP(K1285,Dept[],2,FALSE)</f>
        <v>Human Resources</v>
      </c>
      <c r="G1285" s="11">
        <f t="shared" ref="G1285:G1348" si="20">DATE(L1285,M1285,1)</f>
        <v>41183</v>
      </c>
      <c r="H1285" t="str">
        <f>VLOOKUP(N1285,Status[],2,FALSE)</f>
        <v>Full-Time</v>
      </c>
      <c r="J1285" s="7">
        <v>1064</v>
      </c>
      <c r="K1285">
        <v>16</v>
      </c>
      <c r="L1285">
        <v>2012</v>
      </c>
      <c r="M1285">
        <v>10</v>
      </c>
      <c r="N1285">
        <v>1</v>
      </c>
    </row>
    <row r="1286" spans="1:14" x14ac:dyDescent="0.25">
      <c r="A1286" t="s">
        <v>3515</v>
      </c>
      <c r="B1286" t="s">
        <v>1160</v>
      </c>
      <c r="C1286" t="s">
        <v>1382</v>
      </c>
      <c r="D1286" t="str">
        <f>VLOOKUP(J1286,Location[],2,FALSE)</f>
        <v>Washington, D.C.</v>
      </c>
      <c r="E1286" t="str">
        <f>VLOOKUP(J1286,Location[],3,FALSE)</f>
        <v> District of Columbia</v>
      </c>
      <c r="F1286" t="str">
        <f>VLOOKUP(K1286,Dept[],2,FALSE)</f>
        <v>Human Resources</v>
      </c>
      <c r="G1286" s="11">
        <f t="shared" si="20"/>
        <v>43891</v>
      </c>
      <c r="H1286" t="str">
        <f>VLOOKUP(N1286,Status[],2,FALSE)</f>
        <v>Full-Time</v>
      </c>
      <c r="J1286" s="7">
        <v>1020</v>
      </c>
      <c r="K1286">
        <v>16</v>
      </c>
      <c r="L1286">
        <v>2020</v>
      </c>
      <c r="M1286">
        <v>3</v>
      </c>
      <c r="N1286">
        <v>1</v>
      </c>
    </row>
    <row r="1287" spans="1:14" x14ac:dyDescent="0.25">
      <c r="A1287" t="s">
        <v>3516</v>
      </c>
      <c r="B1287" t="s">
        <v>694</v>
      </c>
      <c r="C1287" t="s">
        <v>1382</v>
      </c>
      <c r="D1287" t="str">
        <f>VLOOKUP(J1287,Location[],2,FALSE)</f>
        <v>Washington, D.C.</v>
      </c>
      <c r="E1287" t="str">
        <f>VLOOKUP(J1287,Location[],3,FALSE)</f>
        <v> District of Columbia</v>
      </c>
      <c r="F1287" t="str">
        <f>VLOOKUP(K1287,Dept[],2,FALSE)</f>
        <v>Finance</v>
      </c>
      <c r="G1287" s="11">
        <f t="shared" si="20"/>
        <v>41061</v>
      </c>
      <c r="H1287" t="str">
        <f>VLOOKUP(N1287,Status[],2,FALSE)</f>
        <v>Full-Time</v>
      </c>
      <c r="J1287" s="7">
        <v>1020</v>
      </c>
      <c r="K1287">
        <v>15</v>
      </c>
      <c r="L1287">
        <v>2012</v>
      </c>
      <c r="M1287">
        <v>6</v>
      </c>
      <c r="N1287">
        <v>1</v>
      </c>
    </row>
    <row r="1288" spans="1:14" x14ac:dyDescent="0.25">
      <c r="A1288" t="s">
        <v>3517</v>
      </c>
      <c r="B1288" t="s">
        <v>163</v>
      </c>
      <c r="C1288" t="s">
        <v>876</v>
      </c>
      <c r="D1288" t="str">
        <f>VLOOKUP(J1288,Location[],2,FALSE)</f>
        <v>San Francisco</v>
      </c>
      <c r="E1288" t="str">
        <f>VLOOKUP(J1288,Location[],3,FALSE)</f>
        <v> California</v>
      </c>
      <c r="F1288" t="str">
        <f>VLOOKUP(K1288,Dept[],2,FALSE)</f>
        <v>Administration</v>
      </c>
      <c r="G1288" s="11">
        <f t="shared" si="20"/>
        <v>45200</v>
      </c>
      <c r="H1288" t="str">
        <f>VLOOKUP(N1288,Status[],2,FALSE)</f>
        <v>Part-Time</v>
      </c>
      <c r="J1288" s="7">
        <v>1013</v>
      </c>
      <c r="K1288">
        <v>12</v>
      </c>
      <c r="L1288">
        <v>2023</v>
      </c>
      <c r="M1288">
        <v>10</v>
      </c>
      <c r="N1288">
        <v>0</v>
      </c>
    </row>
    <row r="1289" spans="1:14" x14ac:dyDescent="0.25">
      <c r="A1289" t="s">
        <v>3518</v>
      </c>
      <c r="B1289" t="s">
        <v>148</v>
      </c>
      <c r="C1289" t="s">
        <v>944</v>
      </c>
      <c r="D1289" t="str">
        <f>VLOOKUP(J1289,Location[],2,FALSE)</f>
        <v>San Antonio</v>
      </c>
      <c r="E1289" t="str">
        <f>VLOOKUP(J1289,Location[],3,FALSE)</f>
        <v> Texas</v>
      </c>
      <c r="F1289" t="str">
        <f>VLOOKUP(K1289,Dept[],2,FALSE)</f>
        <v>Media</v>
      </c>
      <c r="G1289" s="11">
        <f t="shared" si="20"/>
        <v>43344</v>
      </c>
      <c r="H1289" t="str">
        <f>VLOOKUP(N1289,Status[],2,FALSE)</f>
        <v>Full-Time</v>
      </c>
      <c r="J1289" s="7">
        <v>1007</v>
      </c>
      <c r="K1289">
        <v>20</v>
      </c>
      <c r="L1289">
        <v>2018</v>
      </c>
      <c r="M1289">
        <v>9</v>
      </c>
      <c r="N1289">
        <v>1</v>
      </c>
    </row>
    <row r="1290" spans="1:14" x14ac:dyDescent="0.25">
      <c r="A1290" t="s">
        <v>3519</v>
      </c>
      <c r="B1290" t="s">
        <v>5</v>
      </c>
      <c r="C1290" t="s">
        <v>1137</v>
      </c>
      <c r="D1290" t="str">
        <f>VLOOKUP(J1290,Location[],2,FALSE)</f>
        <v>Los Angeles</v>
      </c>
      <c r="E1290" t="str">
        <f>VLOOKUP(J1290,Location[],3,FALSE)</f>
        <v> California</v>
      </c>
      <c r="F1290" t="str">
        <f>VLOOKUP(K1290,Dept[],2,FALSE)</f>
        <v>Administration</v>
      </c>
      <c r="G1290" s="11">
        <f t="shared" si="20"/>
        <v>40634</v>
      </c>
      <c r="H1290" t="str">
        <f>VLOOKUP(N1290,Status[],2,FALSE)</f>
        <v>Part-Time</v>
      </c>
      <c r="J1290" s="7">
        <v>1002</v>
      </c>
      <c r="K1290">
        <v>12</v>
      </c>
      <c r="L1290">
        <v>2011</v>
      </c>
      <c r="M1290">
        <v>4</v>
      </c>
      <c r="N1290">
        <v>0</v>
      </c>
    </row>
    <row r="1291" spans="1:14" x14ac:dyDescent="0.25">
      <c r="A1291" t="s">
        <v>3520</v>
      </c>
      <c r="B1291" t="s">
        <v>19</v>
      </c>
      <c r="C1291" t="s">
        <v>412</v>
      </c>
      <c r="D1291" t="str">
        <f>VLOOKUP(J1291,Location[],2,FALSE)</f>
        <v>Dallas</v>
      </c>
      <c r="E1291" t="str">
        <f>VLOOKUP(J1291,Location[],3,FALSE)</f>
        <v> Texas</v>
      </c>
      <c r="F1291" t="str">
        <f>VLOOKUP(K1291,Dept[],2,FALSE)</f>
        <v>Sales</v>
      </c>
      <c r="G1291" s="11">
        <f t="shared" si="20"/>
        <v>43070</v>
      </c>
      <c r="H1291" t="str">
        <f>VLOOKUP(N1291,Status[],2,FALSE)</f>
        <v>Part-Time</v>
      </c>
      <c r="J1291" s="7">
        <v>1009</v>
      </c>
      <c r="K1291">
        <v>22</v>
      </c>
      <c r="L1291">
        <v>2017</v>
      </c>
      <c r="M1291">
        <v>12</v>
      </c>
      <c r="N1291">
        <v>0</v>
      </c>
    </row>
    <row r="1292" spans="1:14" x14ac:dyDescent="0.25">
      <c r="A1292" t="s">
        <v>3521</v>
      </c>
      <c r="B1292" t="s">
        <v>411</v>
      </c>
      <c r="C1292" t="s">
        <v>412</v>
      </c>
      <c r="D1292" t="str">
        <f>VLOOKUP(J1292,Location[],2,FALSE)</f>
        <v>Miami</v>
      </c>
      <c r="E1292" t="str">
        <f>VLOOKUP(J1292,Location[],3,FALSE)</f>
        <v> Florida</v>
      </c>
      <c r="F1292" t="str">
        <f>VLOOKUP(K1292,Dept[],2,FALSE)</f>
        <v>Administration</v>
      </c>
      <c r="G1292" s="11">
        <f t="shared" si="20"/>
        <v>42156</v>
      </c>
      <c r="H1292" t="str">
        <f>VLOOKUP(N1292,Status[],2,FALSE)</f>
        <v>Full-Time</v>
      </c>
      <c r="J1292" s="7">
        <v>1043</v>
      </c>
      <c r="K1292">
        <v>12</v>
      </c>
      <c r="L1292">
        <v>2015</v>
      </c>
      <c r="M1292">
        <v>6</v>
      </c>
      <c r="N1292">
        <v>1</v>
      </c>
    </row>
    <row r="1293" spans="1:14" x14ac:dyDescent="0.25">
      <c r="A1293" t="s">
        <v>3522</v>
      </c>
      <c r="B1293" t="s">
        <v>1309</v>
      </c>
      <c r="C1293" t="s">
        <v>1676</v>
      </c>
      <c r="D1293" t="str">
        <f>VLOOKUP(J1293,Location[],2,FALSE)</f>
        <v>Los Angeles</v>
      </c>
      <c r="E1293" t="str">
        <f>VLOOKUP(J1293,Location[],3,FALSE)</f>
        <v> California</v>
      </c>
      <c r="F1293" t="str">
        <f>VLOOKUP(K1293,Dept[],2,FALSE)</f>
        <v>IT</v>
      </c>
      <c r="G1293" s="11">
        <f t="shared" si="20"/>
        <v>42826</v>
      </c>
      <c r="H1293" t="str">
        <f>VLOOKUP(N1293,Status[],2,FALSE)</f>
        <v>Full-Time</v>
      </c>
      <c r="J1293" s="7">
        <v>1002</v>
      </c>
      <c r="K1293">
        <v>17</v>
      </c>
      <c r="L1293">
        <v>2017</v>
      </c>
      <c r="M1293">
        <v>4</v>
      </c>
      <c r="N1293">
        <v>1</v>
      </c>
    </row>
    <row r="1294" spans="1:14" x14ac:dyDescent="0.25">
      <c r="A1294" t="s">
        <v>3523</v>
      </c>
      <c r="B1294" t="s">
        <v>261</v>
      </c>
      <c r="C1294" t="s">
        <v>1569</v>
      </c>
      <c r="D1294" t="str">
        <f>VLOOKUP(J1294,Location[],2,FALSE)</f>
        <v>San Antonio</v>
      </c>
      <c r="E1294" t="str">
        <f>VLOOKUP(J1294,Location[],3,FALSE)</f>
        <v> Texas</v>
      </c>
      <c r="F1294" t="str">
        <f>VLOOKUP(K1294,Dept[],2,FALSE)</f>
        <v>Media</v>
      </c>
      <c r="G1294" s="11">
        <f t="shared" si="20"/>
        <v>41760</v>
      </c>
      <c r="H1294" t="str">
        <f>VLOOKUP(N1294,Status[],2,FALSE)</f>
        <v>Full-Time</v>
      </c>
      <c r="J1294" s="7">
        <v>1007</v>
      </c>
      <c r="K1294">
        <v>20</v>
      </c>
      <c r="L1294">
        <v>2014</v>
      </c>
      <c r="M1294">
        <v>5</v>
      </c>
      <c r="N1294">
        <v>1</v>
      </c>
    </row>
    <row r="1295" spans="1:14" x14ac:dyDescent="0.25">
      <c r="A1295" t="s">
        <v>3524</v>
      </c>
      <c r="B1295" t="s">
        <v>1191</v>
      </c>
      <c r="C1295" t="s">
        <v>1379</v>
      </c>
      <c r="D1295" t="str">
        <f>VLOOKUP(J1295,Location[],2,FALSE)</f>
        <v>Santa Ana</v>
      </c>
      <c r="E1295" t="str">
        <f>VLOOKUP(J1295,Location[],3,FALSE)</f>
        <v> California</v>
      </c>
      <c r="F1295" t="str">
        <f>VLOOKUP(K1295,Dept[],2,FALSE)</f>
        <v>Administration</v>
      </c>
      <c r="G1295" s="11">
        <f t="shared" si="20"/>
        <v>43647</v>
      </c>
      <c r="H1295" t="str">
        <f>VLOOKUP(N1295,Status[],2,FALSE)</f>
        <v>Full-Time</v>
      </c>
      <c r="J1295" s="7">
        <v>1057</v>
      </c>
      <c r="K1295">
        <v>12</v>
      </c>
      <c r="L1295">
        <v>2019</v>
      </c>
      <c r="M1295">
        <v>7</v>
      </c>
      <c r="N1295">
        <v>1</v>
      </c>
    </row>
    <row r="1296" spans="1:14" x14ac:dyDescent="0.25">
      <c r="A1296" t="s">
        <v>3525</v>
      </c>
      <c r="B1296" t="s">
        <v>498</v>
      </c>
      <c r="C1296" t="s">
        <v>287</v>
      </c>
      <c r="D1296" t="str">
        <f>VLOOKUP(J1296,Location[],2,FALSE)</f>
        <v>Indianapolis</v>
      </c>
      <c r="E1296" t="str">
        <f>VLOOKUP(J1296,Location[],3,FALSE)</f>
        <v> Indiana</v>
      </c>
      <c r="F1296" t="str">
        <f>VLOOKUP(K1296,Dept[],2,FALSE)</f>
        <v>Human Resources</v>
      </c>
      <c r="G1296" s="11">
        <f t="shared" si="20"/>
        <v>43952</v>
      </c>
      <c r="H1296" t="str">
        <f>VLOOKUP(N1296,Status[],2,FALSE)</f>
        <v>Full-Time</v>
      </c>
      <c r="J1296" s="7">
        <v>1016</v>
      </c>
      <c r="K1296">
        <v>16</v>
      </c>
      <c r="L1296">
        <v>2020</v>
      </c>
      <c r="M1296">
        <v>5</v>
      </c>
      <c r="N1296">
        <v>1</v>
      </c>
    </row>
    <row r="1297" spans="1:14" x14ac:dyDescent="0.25">
      <c r="A1297" t="s">
        <v>3526</v>
      </c>
      <c r="B1297" t="s">
        <v>1338</v>
      </c>
      <c r="C1297" t="s">
        <v>287</v>
      </c>
      <c r="D1297" t="str">
        <f>VLOOKUP(J1297,Location[],2,FALSE)</f>
        <v>Columbus</v>
      </c>
      <c r="E1297" t="str">
        <f>VLOOKUP(J1297,Location[],3,FALSE)</f>
        <v> Ohio</v>
      </c>
      <c r="F1297" t="str">
        <f>VLOOKUP(K1297,Dept[],2,FALSE)</f>
        <v>Human Resources</v>
      </c>
      <c r="G1297" s="11">
        <f t="shared" si="20"/>
        <v>40756</v>
      </c>
      <c r="H1297" t="str">
        <f>VLOOKUP(N1297,Status[],2,FALSE)</f>
        <v>Full-Time</v>
      </c>
      <c r="J1297" s="7">
        <v>1014</v>
      </c>
      <c r="K1297">
        <v>16</v>
      </c>
      <c r="L1297">
        <v>2011</v>
      </c>
      <c r="M1297">
        <v>8</v>
      </c>
      <c r="N1297">
        <v>1</v>
      </c>
    </row>
    <row r="1298" spans="1:14" x14ac:dyDescent="0.25">
      <c r="A1298" t="s">
        <v>3527</v>
      </c>
      <c r="B1298" t="s">
        <v>286</v>
      </c>
      <c r="C1298" t="s">
        <v>287</v>
      </c>
      <c r="D1298" t="str">
        <f>VLOOKUP(J1298,Location[],2,FALSE)</f>
        <v>Charlotte</v>
      </c>
      <c r="E1298" t="str">
        <f>VLOOKUP(J1298,Location[],3,FALSE)</f>
        <v> North Carolina</v>
      </c>
      <c r="F1298" t="str">
        <f>VLOOKUP(K1298,Dept[],2,FALSE)</f>
        <v>Accounting</v>
      </c>
      <c r="G1298" s="11">
        <f t="shared" si="20"/>
        <v>42401</v>
      </c>
      <c r="H1298" t="str">
        <f>VLOOKUP(N1298,Status[],2,FALSE)</f>
        <v>Full-Time</v>
      </c>
      <c r="J1298" s="7">
        <v>1017</v>
      </c>
      <c r="K1298">
        <v>11</v>
      </c>
      <c r="L1298">
        <v>2016</v>
      </c>
      <c r="M1298">
        <v>2</v>
      </c>
      <c r="N1298">
        <v>1</v>
      </c>
    </row>
    <row r="1299" spans="1:14" x14ac:dyDescent="0.25">
      <c r="A1299" t="s">
        <v>3528</v>
      </c>
      <c r="B1299" t="s">
        <v>438</v>
      </c>
      <c r="C1299" t="s">
        <v>439</v>
      </c>
      <c r="D1299" t="str">
        <f>VLOOKUP(J1299,Location[],2,FALSE)</f>
        <v>Honolulu</v>
      </c>
      <c r="E1299" t="str">
        <f>VLOOKUP(J1299,Location[],3,FALSE)</f>
        <v> Hawaii</v>
      </c>
      <c r="F1299" t="str">
        <f>VLOOKUP(K1299,Dept[],2,FALSE)</f>
        <v>Marketing</v>
      </c>
      <c r="G1299" s="11">
        <f t="shared" si="20"/>
        <v>41699</v>
      </c>
      <c r="H1299" t="str">
        <f>VLOOKUP(N1299,Status[],2,FALSE)</f>
        <v>Full-Time</v>
      </c>
      <c r="J1299" s="7">
        <v>1056</v>
      </c>
      <c r="K1299">
        <v>19</v>
      </c>
      <c r="L1299">
        <v>2014</v>
      </c>
      <c r="M1299">
        <v>3</v>
      </c>
      <c r="N1299">
        <v>1</v>
      </c>
    </row>
    <row r="1300" spans="1:14" x14ac:dyDescent="0.25">
      <c r="A1300" t="s">
        <v>3529</v>
      </c>
      <c r="B1300" t="s">
        <v>642</v>
      </c>
      <c r="C1300" t="s">
        <v>1543</v>
      </c>
      <c r="D1300" t="str">
        <f>VLOOKUP(J1300,Location[],2,FALSE)</f>
        <v>San Antonio</v>
      </c>
      <c r="E1300" t="str">
        <f>VLOOKUP(J1300,Location[],3,FALSE)</f>
        <v> Texas</v>
      </c>
      <c r="F1300" t="str">
        <f>VLOOKUP(K1300,Dept[],2,FALSE)</f>
        <v>Human Resources</v>
      </c>
      <c r="G1300" s="11">
        <f t="shared" si="20"/>
        <v>42248</v>
      </c>
      <c r="H1300" t="str">
        <f>VLOOKUP(N1300,Status[],2,FALSE)</f>
        <v>Full-Time</v>
      </c>
      <c r="J1300" s="7">
        <v>1007</v>
      </c>
      <c r="K1300">
        <v>16</v>
      </c>
      <c r="L1300">
        <v>2015</v>
      </c>
      <c r="M1300">
        <v>9</v>
      </c>
      <c r="N1300">
        <v>1</v>
      </c>
    </row>
    <row r="1301" spans="1:14" x14ac:dyDescent="0.25">
      <c r="A1301" t="s">
        <v>3530</v>
      </c>
      <c r="B1301" t="s">
        <v>47</v>
      </c>
      <c r="C1301" t="s">
        <v>1632</v>
      </c>
      <c r="D1301" t="str">
        <f>VLOOKUP(J1301,Location[],2,FALSE)</f>
        <v>Milwaukee</v>
      </c>
      <c r="E1301" t="str">
        <f>VLOOKUP(J1301,Location[],3,FALSE)</f>
        <v> Wisconsin</v>
      </c>
      <c r="F1301" t="str">
        <f>VLOOKUP(K1301,Dept[],2,FALSE)</f>
        <v>Administration</v>
      </c>
      <c r="G1301" s="11">
        <f t="shared" si="20"/>
        <v>44136</v>
      </c>
      <c r="H1301" t="str">
        <f>VLOOKUP(N1301,Status[],2,FALSE)</f>
        <v>Full-Time</v>
      </c>
      <c r="J1301" s="7">
        <v>1031</v>
      </c>
      <c r="K1301">
        <v>12</v>
      </c>
      <c r="L1301">
        <v>2020</v>
      </c>
      <c r="M1301">
        <v>11</v>
      </c>
      <c r="N1301">
        <v>1</v>
      </c>
    </row>
    <row r="1302" spans="1:14" x14ac:dyDescent="0.25">
      <c r="A1302" t="s">
        <v>3531</v>
      </c>
      <c r="B1302" t="s">
        <v>119</v>
      </c>
      <c r="C1302" t="s">
        <v>1632</v>
      </c>
      <c r="D1302" t="str">
        <f>VLOOKUP(J1302,Location[],2,FALSE)</f>
        <v>Tampa</v>
      </c>
      <c r="E1302" t="str">
        <f>VLOOKUP(J1302,Location[],3,FALSE)</f>
        <v> Florida</v>
      </c>
      <c r="F1302" t="str">
        <f>VLOOKUP(K1302,Dept[],2,FALSE)</f>
        <v>Shipping</v>
      </c>
      <c r="G1302" s="11">
        <f t="shared" si="20"/>
        <v>40634</v>
      </c>
      <c r="H1302" t="str">
        <f>VLOOKUP(N1302,Status[],2,FALSE)</f>
        <v>Part-Time</v>
      </c>
      <c r="J1302" s="7">
        <v>1052</v>
      </c>
      <c r="K1302">
        <v>23</v>
      </c>
      <c r="L1302">
        <v>2011</v>
      </c>
      <c r="M1302">
        <v>4</v>
      </c>
      <c r="N1302">
        <v>0</v>
      </c>
    </row>
    <row r="1303" spans="1:14" x14ac:dyDescent="0.25">
      <c r="A1303" t="s">
        <v>3532</v>
      </c>
      <c r="B1303" t="s">
        <v>71</v>
      </c>
      <c r="C1303" t="s">
        <v>927</v>
      </c>
      <c r="D1303" t="str">
        <f>VLOOKUP(J1303,Location[],2,FALSE)</f>
        <v>Dallas</v>
      </c>
      <c r="E1303" t="str">
        <f>VLOOKUP(J1303,Location[],3,FALSE)</f>
        <v> Texas</v>
      </c>
      <c r="F1303" t="str">
        <f>VLOOKUP(K1303,Dept[],2,FALSE)</f>
        <v>Sales</v>
      </c>
      <c r="G1303" s="11">
        <f t="shared" si="20"/>
        <v>42644</v>
      </c>
      <c r="H1303" t="str">
        <f>VLOOKUP(N1303,Status[],2,FALSE)</f>
        <v>Full-Time</v>
      </c>
      <c r="J1303" s="7">
        <v>1009</v>
      </c>
      <c r="K1303">
        <v>22</v>
      </c>
      <c r="L1303">
        <v>2016</v>
      </c>
      <c r="M1303">
        <v>10</v>
      </c>
      <c r="N1303">
        <v>1</v>
      </c>
    </row>
    <row r="1304" spans="1:14" x14ac:dyDescent="0.25">
      <c r="A1304" t="s">
        <v>3533</v>
      </c>
      <c r="B1304" t="s">
        <v>1352</v>
      </c>
      <c r="C1304" t="s">
        <v>927</v>
      </c>
      <c r="D1304" t="str">
        <f>VLOOKUP(J1304,Location[],2,FALSE)</f>
        <v>Nashville</v>
      </c>
      <c r="E1304" t="str">
        <f>VLOOKUP(J1304,Location[],3,FALSE)</f>
        <v> Tennessee</v>
      </c>
      <c r="F1304" t="str">
        <f>VLOOKUP(K1304,Dept[],2,FALSE)</f>
        <v>Accounting</v>
      </c>
      <c r="G1304" s="11">
        <f t="shared" si="20"/>
        <v>40544</v>
      </c>
      <c r="H1304" t="str">
        <f>VLOOKUP(N1304,Status[],2,FALSE)</f>
        <v>Full-Time</v>
      </c>
      <c r="J1304" s="7">
        <v>1024</v>
      </c>
      <c r="K1304">
        <v>11</v>
      </c>
      <c r="L1304">
        <v>2011</v>
      </c>
      <c r="M1304">
        <v>1</v>
      </c>
      <c r="N1304">
        <v>1</v>
      </c>
    </row>
    <row r="1305" spans="1:14" x14ac:dyDescent="0.25">
      <c r="A1305" t="s">
        <v>3534</v>
      </c>
      <c r="B1305" t="s">
        <v>926</v>
      </c>
      <c r="C1305" t="s">
        <v>927</v>
      </c>
      <c r="D1305" t="str">
        <f>VLOOKUP(J1305,Location[],2,FALSE)</f>
        <v>Chicago</v>
      </c>
      <c r="E1305" t="str">
        <f>VLOOKUP(J1305,Location[],3,FALSE)</f>
        <v> Illinois</v>
      </c>
      <c r="F1305" t="str">
        <f>VLOOKUP(K1305,Dept[],2,FALSE)</f>
        <v>Assessment</v>
      </c>
      <c r="G1305" s="11">
        <f t="shared" si="20"/>
        <v>43617</v>
      </c>
      <c r="H1305" t="str">
        <f>VLOOKUP(N1305,Status[],2,FALSE)</f>
        <v>Part-Time</v>
      </c>
      <c r="J1305" s="7">
        <v>1003</v>
      </c>
      <c r="K1305">
        <v>13</v>
      </c>
      <c r="L1305">
        <v>2019</v>
      </c>
      <c r="M1305">
        <v>6</v>
      </c>
      <c r="N1305">
        <v>0</v>
      </c>
    </row>
    <row r="1306" spans="1:14" x14ac:dyDescent="0.25">
      <c r="A1306" t="s">
        <v>3535</v>
      </c>
      <c r="B1306" t="s">
        <v>904</v>
      </c>
      <c r="C1306" t="s">
        <v>1789</v>
      </c>
      <c r="D1306" t="str">
        <f>VLOOKUP(J1306,Location[],2,FALSE)</f>
        <v>New York City</v>
      </c>
      <c r="E1306" t="str">
        <f>VLOOKUP(J1306,Location[],3,FALSE)</f>
        <v> New York</v>
      </c>
      <c r="F1306" t="str">
        <f>VLOOKUP(K1306,Dept[],2,FALSE)</f>
        <v>Customer Support</v>
      </c>
      <c r="G1306" s="11">
        <f t="shared" si="20"/>
        <v>43160</v>
      </c>
      <c r="H1306" t="str">
        <f>VLOOKUP(N1306,Status[],2,FALSE)</f>
        <v>Full-Time</v>
      </c>
      <c r="J1306" s="7">
        <v>1001</v>
      </c>
      <c r="K1306">
        <v>14</v>
      </c>
      <c r="L1306">
        <v>2018</v>
      </c>
      <c r="M1306">
        <v>3</v>
      </c>
      <c r="N1306">
        <v>1</v>
      </c>
    </row>
    <row r="1307" spans="1:14" x14ac:dyDescent="0.25">
      <c r="A1307" t="s">
        <v>3536</v>
      </c>
      <c r="B1307" t="s">
        <v>949</v>
      </c>
      <c r="C1307" t="s">
        <v>441</v>
      </c>
      <c r="D1307" t="str">
        <f>VLOOKUP(J1307,Location[],2,FALSE)</f>
        <v>Phoenix</v>
      </c>
      <c r="E1307" t="str">
        <f>VLOOKUP(J1307,Location[],3,FALSE)</f>
        <v> Arizona</v>
      </c>
      <c r="F1307" t="str">
        <f>VLOOKUP(K1307,Dept[],2,FALSE)</f>
        <v>Assessment</v>
      </c>
      <c r="G1307" s="11">
        <f t="shared" si="20"/>
        <v>42217</v>
      </c>
      <c r="H1307" t="str">
        <f>VLOOKUP(N1307,Status[],2,FALSE)</f>
        <v>Full-Time</v>
      </c>
      <c r="J1307" s="7">
        <v>1005</v>
      </c>
      <c r="K1307">
        <v>13</v>
      </c>
      <c r="L1307">
        <v>2015</v>
      </c>
      <c r="M1307">
        <v>8</v>
      </c>
      <c r="N1307">
        <v>1</v>
      </c>
    </row>
    <row r="1308" spans="1:14" x14ac:dyDescent="0.25">
      <c r="A1308" t="s">
        <v>3537</v>
      </c>
      <c r="B1308" t="s">
        <v>440</v>
      </c>
      <c r="C1308" t="s">
        <v>441</v>
      </c>
      <c r="D1308" t="str">
        <f>VLOOKUP(J1308,Location[],2,FALSE)</f>
        <v>Indianapolis</v>
      </c>
      <c r="E1308" t="str">
        <f>VLOOKUP(J1308,Location[],3,FALSE)</f>
        <v> Indiana</v>
      </c>
      <c r="F1308" t="str">
        <f>VLOOKUP(K1308,Dept[],2,FALSE)</f>
        <v>Assessment</v>
      </c>
      <c r="G1308" s="11">
        <f t="shared" si="20"/>
        <v>41426</v>
      </c>
      <c r="H1308" t="str">
        <f>VLOOKUP(N1308,Status[],2,FALSE)</f>
        <v>Full-Time</v>
      </c>
      <c r="J1308" s="7">
        <v>1016</v>
      </c>
      <c r="K1308">
        <v>13</v>
      </c>
      <c r="L1308">
        <v>2013</v>
      </c>
      <c r="M1308">
        <v>6</v>
      </c>
      <c r="N1308">
        <v>1</v>
      </c>
    </row>
    <row r="1309" spans="1:14" x14ac:dyDescent="0.25">
      <c r="A1309" t="s">
        <v>2918</v>
      </c>
      <c r="B1309" t="s">
        <v>1640</v>
      </c>
      <c r="C1309" t="s">
        <v>756</v>
      </c>
      <c r="D1309" t="str">
        <f>VLOOKUP(J1309,Location[],2,FALSE)</f>
        <v>New York City</v>
      </c>
      <c r="E1309" t="str">
        <f>VLOOKUP(J1309,Location[],3,FALSE)</f>
        <v> New York</v>
      </c>
      <c r="F1309" t="str">
        <f>VLOOKUP(K1309,Dept[],2,FALSE)</f>
        <v>Finance</v>
      </c>
      <c r="G1309" s="11">
        <f t="shared" si="20"/>
        <v>43617</v>
      </c>
      <c r="H1309" t="str">
        <f>VLOOKUP(N1309,Status[],2,FALSE)</f>
        <v>Full-Time</v>
      </c>
      <c r="J1309" s="7">
        <v>1001</v>
      </c>
      <c r="K1309">
        <v>15</v>
      </c>
      <c r="L1309">
        <v>2019</v>
      </c>
      <c r="M1309">
        <v>6</v>
      </c>
      <c r="N1309">
        <v>1</v>
      </c>
    </row>
    <row r="1310" spans="1:14" x14ac:dyDescent="0.25">
      <c r="A1310" t="s">
        <v>3538</v>
      </c>
      <c r="B1310" t="s">
        <v>248</v>
      </c>
      <c r="C1310" t="s">
        <v>756</v>
      </c>
      <c r="D1310" t="str">
        <f>VLOOKUP(J1310,Location[],2,FALSE)</f>
        <v>Chicago</v>
      </c>
      <c r="E1310" t="str">
        <f>VLOOKUP(J1310,Location[],3,FALSE)</f>
        <v> Illinois</v>
      </c>
      <c r="F1310" t="str">
        <f>VLOOKUP(K1310,Dept[],2,FALSE)</f>
        <v>Administration</v>
      </c>
      <c r="G1310" s="11">
        <f t="shared" si="20"/>
        <v>41000</v>
      </c>
      <c r="H1310" t="str">
        <f>VLOOKUP(N1310,Status[],2,FALSE)</f>
        <v>Full-Time</v>
      </c>
      <c r="J1310" s="7">
        <v>1003</v>
      </c>
      <c r="K1310">
        <v>12</v>
      </c>
      <c r="L1310">
        <v>2012</v>
      </c>
      <c r="M1310">
        <v>4</v>
      </c>
      <c r="N1310">
        <v>1</v>
      </c>
    </row>
    <row r="1311" spans="1:14" x14ac:dyDescent="0.25">
      <c r="A1311" t="s">
        <v>3539</v>
      </c>
      <c r="B1311" t="s">
        <v>930</v>
      </c>
      <c r="C1311" t="s">
        <v>931</v>
      </c>
      <c r="D1311" t="str">
        <f>VLOOKUP(J1311,Location[],2,FALSE)</f>
        <v>Cleveland</v>
      </c>
      <c r="E1311" t="str">
        <f>VLOOKUP(J1311,Location[],3,FALSE)</f>
        <v> Ohio</v>
      </c>
      <c r="F1311" t="str">
        <f>VLOOKUP(K1311,Dept[],2,FALSE)</f>
        <v>Accounting</v>
      </c>
      <c r="G1311" s="11">
        <f t="shared" si="20"/>
        <v>44378</v>
      </c>
      <c r="H1311" t="str">
        <f>VLOOKUP(N1311,Status[],2,FALSE)</f>
        <v>Full-Time</v>
      </c>
      <c r="J1311" s="7">
        <v>1051</v>
      </c>
      <c r="K1311">
        <v>11</v>
      </c>
      <c r="L1311">
        <v>2021</v>
      </c>
      <c r="M1311">
        <v>7</v>
      </c>
      <c r="N1311">
        <v>1</v>
      </c>
    </row>
    <row r="1312" spans="1:14" x14ac:dyDescent="0.25">
      <c r="A1312" t="s">
        <v>3540</v>
      </c>
      <c r="B1312" t="s">
        <v>1983</v>
      </c>
      <c r="C1312" t="s">
        <v>1984</v>
      </c>
      <c r="D1312" t="str">
        <f>VLOOKUP(J1312,Location[],2,FALSE)</f>
        <v>Wichita</v>
      </c>
      <c r="E1312" t="str">
        <f>VLOOKUP(J1312,Location[],3,FALSE)</f>
        <v> Kansas</v>
      </c>
      <c r="F1312" t="str">
        <f>VLOOKUP(K1312,Dept[],2,FALSE)</f>
        <v>Finance</v>
      </c>
      <c r="G1312" s="11">
        <f t="shared" si="20"/>
        <v>43313</v>
      </c>
      <c r="H1312" t="str">
        <f>VLOOKUP(N1312,Status[],2,FALSE)</f>
        <v>Part-Time</v>
      </c>
      <c r="J1312" s="7">
        <v>1050</v>
      </c>
      <c r="K1312">
        <v>15</v>
      </c>
      <c r="L1312">
        <v>2018</v>
      </c>
      <c r="M1312">
        <v>8</v>
      </c>
      <c r="N1312">
        <v>0</v>
      </c>
    </row>
    <row r="1313" spans="1:14" x14ac:dyDescent="0.25">
      <c r="A1313" t="s">
        <v>3541</v>
      </c>
      <c r="B1313" t="s">
        <v>1877</v>
      </c>
      <c r="C1313" t="s">
        <v>1878</v>
      </c>
      <c r="D1313" t="str">
        <f>VLOOKUP(J1313,Location[],2,FALSE)</f>
        <v>Philadelphia</v>
      </c>
      <c r="E1313" t="str">
        <f>VLOOKUP(J1313,Location[],3,FALSE)</f>
        <v> Pennsylvania</v>
      </c>
      <c r="F1313" t="str">
        <f>VLOOKUP(K1313,Dept[],2,FALSE)</f>
        <v>Accounting</v>
      </c>
      <c r="G1313" s="11">
        <f t="shared" si="20"/>
        <v>45047</v>
      </c>
      <c r="H1313" t="str">
        <f>VLOOKUP(N1313,Status[],2,FALSE)</f>
        <v>Full-Time</v>
      </c>
      <c r="J1313" s="7">
        <v>1006</v>
      </c>
      <c r="K1313">
        <v>11</v>
      </c>
      <c r="L1313">
        <v>2023</v>
      </c>
      <c r="M1313">
        <v>5</v>
      </c>
      <c r="N1313">
        <v>1</v>
      </c>
    </row>
    <row r="1314" spans="1:14" x14ac:dyDescent="0.25">
      <c r="A1314" t="s">
        <v>3542</v>
      </c>
      <c r="B1314" t="s">
        <v>695</v>
      </c>
      <c r="C1314" t="s">
        <v>696</v>
      </c>
      <c r="D1314" t="str">
        <f>VLOOKUP(J1314,Location[],2,FALSE)</f>
        <v>San Diego</v>
      </c>
      <c r="E1314" t="str">
        <f>VLOOKUP(J1314,Location[],3,FALSE)</f>
        <v> California</v>
      </c>
      <c r="F1314" t="str">
        <f>VLOOKUP(K1314,Dept[],2,FALSE)</f>
        <v>Legal</v>
      </c>
      <c r="G1314" s="11">
        <f t="shared" si="20"/>
        <v>42767</v>
      </c>
      <c r="H1314" t="str">
        <f>VLOOKUP(N1314,Status[],2,FALSE)</f>
        <v>Full-Time</v>
      </c>
      <c r="J1314" s="7">
        <v>1008</v>
      </c>
      <c r="K1314">
        <v>18</v>
      </c>
      <c r="L1314">
        <v>2017</v>
      </c>
      <c r="M1314">
        <v>2</v>
      </c>
      <c r="N1314">
        <v>1</v>
      </c>
    </row>
    <row r="1315" spans="1:14" x14ac:dyDescent="0.25">
      <c r="A1315" t="s">
        <v>3543</v>
      </c>
      <c r="B1315" t="s">
        <v>186</v>
      </c>
      <c r="C1315" t="s">
        <v>696</v>
      </c>
      <c r="D1315" t="str">
        <f>VLOOKUP(J1315,Location[],2,FALSE)</f>
        <v>Cincinnati</v>
      </c>
      <c r="E1315" t="str">
        <f>VLOOKUP(J1315,Location[],3,FALSE)</f>
        <v> Ohio</v>
      </c>
      <c r="F1315" t="str">
        <f>VLOOKUP(K1315,Dept[],2,FALSE)</f>
        <v>Accounting</v>
      </c>
      <c r="G1315" s="11">
        <f t="shared" si="20"/>
        <v>42522</v>
      </c>
      <c r="H1315" t="str">
        <f>VLOOKUP(N1315,Status[],2,FALSE)</f>
        <v>Full-Time</v>
      </c>
      <c r="J1315" s="7">
        <v>1066</v>
      </c>
      <c r="K1315">
        <v>11</v>
      </c>
      <c r="L1315">
        <v>2016</v>
      </c>
      <c r="M1315">
        <v>6</v>
      </c>
      <c r="N1315">
        <v>1</v>
      </c>
    </row>
    <row r="1316" spans="1:14" x14ac:dyDescent="0.25">
      <c r="A1316" t="s">
        <v>3544</v>
      </c>
      <c r="B1316" t="s">
        <v>149</v>
      </c>
      <c r="C1316" t="s">
        <v>696</v>
      </c>
      <c r="D1316" t="str">
        <f>VLOOKUP(J1316,Location[],2,FALSE)</f>
        <v>Nashville</v>
      </c>
      <c r="E1316" t="str">
        <f>VLOOKUP(J1316,Location[],3,FALSE)</f>
        <v> Tennessee</v>
      </c>
      <c r="F1316" t="str">
        <f>VLOOKUP(K1316,Dept[],2,FALSE)</f>
        <v>Assessment</v>
      </c>
      <c r="G1316" s="11">
        <f t="shared" si="20"/>
        <v>43070</v>
      </c>
      <c r="H1316" t="str">
        <f>VLOOKUP(N1316,Status[],2,FALSE)</f>
        <v>Full-Time</v>
      </c>
      <c r="J1316" s="7">
        <v>1024</v>
      </c>
      <c r="K1316">
        <v>13</v>
      </c>
      <c r="L1316">
        <v>2017</v>
      </c>
      <c r="M1316">
        <v>12</v>
      </c>
      <c r="N1316">
        <v>1</v>
      </c>
    </row>
    <row r="1317" spans="1:14" x14ac:dyDescent="0.25">
      <c r="A1317" t="s">
        <v>3545</v>
      </c>
      <c r="B1317" t="s">
        <v>253</v>
      </c>
      <c r="C1317" t="s">
        <v>1744</v>
      </c>
      <c r="D1317" t="str">
        <f>VLOOKUP(J1317,Location[],2,FALSE)</f>
        <v>Nashville</v>
      </c>
      <c r="E1317" t="str">
        <f>VLOOKUP(J1317,Location[],3,FALSE)</f>
        <v> Tennessee</v>
      </c>
      <c r="F1317" t="str">
        <f>VLOOKUP(K1317,Dept[],2,FALSE)</f>
        <v>Media</v>
      </c>
      <c r="G1317" s="11">
        <f t="shared" si="20"/>
        <v>41974</v>
      </c>
      <c r="H1317" t="str">
        <f>VLOOKUP(N1317,Status[],2,FALSE)</f>
        <v>Full-Time</v>
      </c>
      <c r="J1317" s="7">
        <v>1024</v>
      </c>
      <c r="K1317">
        <v>20</v>
      </c>
      <c r="L1317">
        <v>2014</v>
      </c>
      <c r="M1317">
        <v>12</v>
      </c>
      <c r="N1317">
        <v>1</v>
      </c>
    </row>
    <row r="1318" spans="1:14" x14ac:dyDescent="0.25">
      <c r="A1318" t="s">
        <v>3546</v>
      </c>
      <c r="B1318" t="s">
        <v>575</v>
      </c>
      <c r="C1318" t="s">
        <v>1396</v>
      </c>
      <c r="D1318" t="str">
        <f>VLOOKUP(J1318,Location[],2,FALSE)</f>
        <v>Cleveland</v>
      </c>
      <c r="E1318" t="str">
        <f>VLOOKUP(J1318,Location[],3,FALSE)</f>
        <v> Ohio</v>
      </c>
      <c r="F1318" t="str">
        <f>VLOOKUP(K1318,Dept[],2,FALSE)</f>
        <v>Administration</v>
      </c>
      <c r="G1318" s="11">
        <f t="shared" si="20"/>
        <v>41000</v>
      </c>
      <c r="H1318" t="str">
        <f>VLOOKUP(N1318,Status[],2,FALSE)</f>
        <v>Full-Time</v>
      </c>
      <c r="J1318" s="7">
        <v>1051</v>
      </c>
      <c r="K1318">
        <v>12</v>
      </c>
      <c r="L1318">
        <v>2012</v>
      </c>
      <c r="M1318">
        <v>4</v>
      </c>
      <c r="N1318">
        <v>1</v>
      </c>
    </row>
    <row r="1319" spans="1:14" x14ac:dyDescent="0.25">
      <c r="A1319" t="s">
        <v>3547</v>
      </c>
      <c r="B1319" t="s">
        <v>339</v>
      </c>
      <c r="C1319" t="s">
        <v>1506</v>
      </c>
      <c r="D1319" t="str">
        <f>VLOOKUP(J1319,Location[],2,FALSE)</f>
        <v>Mesa</v>
      </c>
      <c r="E1319" t="str">
        <f>VLOOKUP(J1319,Location[],3,FALSE)</f>
        <v> Arizona</v>
      </c>
      <c r="F1319" t="str">
        <f>VLOOKUP(K1319,Dept[],2,FALSE)</f>
        <v>Human Resources</v>
      </c>
      <c r="G1319" s="11">
        <f t="shared" si="20"/>
        <v>44593</v>
      </c>
      <c r="H1319" t="str">
        <f>VLOOKUP(N1319,Status[],2,FALSE)</f>
        <v>Full-Time</v>
      </c>
      <c r="J1319" s="7">
        <v>1036</v>
      </c>
      <c r="K1319">
        <v>16</v>
      </c>
      <c r="L1319">
        <v>2022</v>
      </c>
      <c r="M1319">
        <v>2</v>
      </c>
      <c r="N1319">
        <v>1</v>
      </c>
    </row>
    <row r="1320" spans="1:14" x14ac:dyDescent="0.25">
      <c r="A1320" t="s">
        <v>3548</v>
      </c>
      <c r="B1320" t="s">
        <v>606</v>
      </c>
      <c r="C1320" t="s">
        <v>752</v>
      </c>
      <c r="D1320" t="str">
        <f>VLOOKUP(J1320,Location[],2,FALSE)</f>
        <v>Raleigh</v>
      </c>
      <c r="E1320" t="str">
        <f>VLOOKUP(J1320,Location[],3,FALSE)</f>
        <v> North Carolina</v>
      </c>
      <c r="F1320" t="str">
        <f>VLOOKUP(K1320,Dept[],2,FALSE)</f>
        <v>Marketing</v>
      </c>
      <c r="G1320" s="11">
        <f t="shared" si="20"/>
        <v>43617</v>
      </c>
      <c r="H1320" t="str">
        <f>VLOOKUP(N1320,Status[],2,FALSE)</f>
        <v>Full-Time</v>
      </c>
      <c r="J1320" s="7">
        <v>1041</v>
      </c>
      <c r="K1320">
        <v>19</v>
      </c>
      <c r="L1320">
        <v>2019</v>
      </c>
      <c r="M1320">
        <v>6</v>
      </c>
      <c r="N1320">
        <v>1</v>
      </c>
    </row>
    <row r="1321" spans="1:14" x14ac:dyDescent="0.25">
      <c r="A1321" t="s">
        <v>3549</v>
      </c>
      <c r="B1321" t="s">
        <v>620</v>
      </c>
      <c r="C1321" t="s">
        <v>721</v>
      </c>
      <c r="D1321" t="str">
        <f>VLOOKUP(J1321,Location[],2,FALSE)</f>
        <v>Houston</v>
      </c>
      <c r="E1321" t="str">
        <f>VLOOKUP(J1321,Location[],3,FALSE)</f>
        <v> Texas</v>
      </c>
      <c r="F1321" t="str">
        <f>VLOOKUP(K1321,Dept[],2,FALSE)</f>
        <v>Administration</v>
      </c>
      <c r="G1321" s="11">
        <f t="shared" si="20"/>
        <v>44713</v>
      </c>
      <c r="H1321" t="str">
        <f>VLOOKUP(N1321,Status[],2,FALSE)</f>
        <v>Full-Time</v>
      </c>
      <c r="J1321" s="7">
        <v>1004</v>
      </c>
      <c r="K1321">
        <v>12</v>
      </c>
      <c r="L1321">
        <v>2022</v>
      </c>
      <c r="M1321">
        <v>6</v>
      </c>
      <c r="N1321">
        <v>1</v>
      </c>
    </row>
    <row r="1322" spans="1:14" x14ac:dyDescent="0.25">
      <c r="A1322" t="s">
        <v>3550</v>
      </c>
      <c r="B1322" t="s">
        <v>253</v>
      </c>
      <c r="C1322" t="s">
        <v>721</v>
      </c>
      <c r="D1322" t="str">
        <f>VLOOKUP(J1322,Location[],2,FALSE)</f>
        <v>Houston</v>
      </c>
      <c r="E1322" t="str">
        <f>VLOOKUP(J1322,Location[],3,FALSE)</f>
        <v> Texas</v>
      </c>
      <c r="F1322" t="str">
        <f>VLOOKUP(K1322,Dept[],2,FALSE)</f>
        <v>IT</v>
      </c>
      <c r="G1322" s="11">
        <f t="shared" si="20"/>
        <v>42614</v>
      </c>
      <c r="H1322" t="str">
        <f>VLOOKUP(N1322,Status[],2,FALSE)</f>
        <v>Full-Time</v>
      </c>
      <c r="J1322" s="7">
        <v>1004</v>
      </c>
      <c r="K1322">
        <v>17</v>
      </c>
      <c r="L1322">
        <v>2016</v>
      </c>
      <c r="M1322">
        <v>9</v>
      </c>
      <c r="N1322">
        <v>1</v>
      </c>
    </row>
    <row r="1323" spans="1:14" x14ac:dyDescent="0.25">
      <c r="A1323" t="s">
        <v>3551</v>
      </c>
      <c r="B1323" t="s">
        <v>47</v>
      </c>
      <c r="C1323" t="s">
        <v>721</v>
      </c>
      <c r="D1323" t="str">
        <f>VLOOKUP(J1323,Location[],2,FALSE)</f>
        <v>Austin</v>
      </c>
      <c r="E1323" t="str">
        <f>VLOOKUP(J1323,Location[],3,FALSE)</f>
        <v> Texas</v>
      </c>
      <c r="F1323" t="str">
        <f>VLOOKUP(K1323,Dept[],2,FALSE)</f>
        <v>Finance</v>
      </c>
      <c r="G1323" s="11">
        <f t="shared" si="20"/>
        <v>44378</v>
      </c>
      <c r="H1323" t="str">
        <f>VLOOKUP(N1323,Status[],2,FALSE)</f>
        <v>Part-Time</v>
      </c>
      <c r="J1323" s="7">
        <v>1011</v>
      </c>
      <c r="K1323">
        <v>15</v>
      </c>
      <c r="L1323">
        <v>2021</v>
      </c>
      <c r="M1323">
        <v>7</v>
      </c>
      <c r="N1323">
        <v>0</v>
      </c>
    </row>
    <row r="1324" spans="1:14" x14ac:dyDescent="0.25">
      <c r="A1324" t="s">
        <v>3552</v>
      </c>
      <c r="B1324" t="s">
        <v>720</v>
      </c>
      <c r="C1324" t="s">
        <v>721</v>
      </c>
      <c r="D1324" t="str">
        <f>VLOOKUP(J1324,Location[],2,FALSE)</f>
        <v>Virginia Beach</v>
      </c>
      <c r="E1324" t="str">
        <f>VLOOKUP(J1324,Location[],3,FALSE)</f>
        <v> Virginia</v>
      </c>
      <c r="F1324" t="str">
        <f>VLOOKUP(K1324,Dept[],2,FALSE)</f>
        <v>Customer Support</v>
      </c>
      <c r="G1324" s="11">
        <f t="shared" si="20"/>
        <v>43922</v>
      </c>
      <c r="H1324" t="str">
        <f>VLOOKUP(N1324,Status[],2,FALSE)</f>
        <v>Full-Time</v>
      </c>
      <c r="J1324" s="7">
        <v>1044</v>
      </c>
      <c r="K1324">
        <v>14</v>
      </c>
      <c r="L1324">
        <v>2020</v>
      </c>
      <c r="M1324">
        <v>4</v>
      </c>
      <c r="N1324">
        <v>1</v>
      </c>
    </row>
    <row r="1325" spans="1:14" x14ac:dyDescent="0.25">
      <c r="A1325" t="s">
        <v>3553</v>
      </c>
      <c r="B1325" t="s">
        <v>924</v>
      </c>
      <c r="C1325" t="s">
        <v>721</v>
      </c>
      <c r="D1325" t="str">
        <f>VLOOKUP(J1325,Location[],2,FALSE)</f>
        <v>Phoenix</v>
      </c>
      <c r="E1325" t="str">
        <f>VLOOKUP(J1325,Location[],3,FALSE)</f>
        <v> Arizona</v>
      </c>
      <c r="F1325" t="str">
        <f>VLOOKUP(K1325,Dept[],2,FALSE)</f>
        <v>Accounting</v>
      </c>
      <c r="G1325" s="11">
        <f t="shared" si="20"/>
        <v>40695</v>
      </c>
      <c r="H1325" t="str">
        <f>VLOOKUP(N1325,Status[],2,FALSE)</f>
        <v>Full-Time</v>
      </c>
      <c r="J1325" s="7">
        <v>1005</v>
      </c>
      <c r="K1325">
        <v>11</v>
      </c>
      <c r="L1325">
        <v>2011</v>
      </c>
      <c r="M1325">
        <v>6</v>
      </c>
      <c r="N1325">
        <v>1</v>
      </c>
    </row>
    <row r="1326" spans="1:14" x14ac:dyDescent="0.25">
      <c r="A1326" t="s">
        <v>3554</v>
      </c>
      <c r="B1326" t="s">
        <v>856</v>
      </c>
      <c r="C1326" t="s">
        <v>1571</v>
      </c>
      <c r="D1326" t="str">
        <f>VLOOKUP(J1326,Location[],2,FALSE)</f>
        <v>Washington, D.C.</v>
      </c>
      <c r="E1326" t="str">
        <f>VLOOKUP(J1326,Location[],3,FALSE)</f>
        <v> District of Columbia</v>
      </c>
      <c r="F1326" t="str">
        <f>VLOOKUP(K1326,Dept[],2,FALSE)</f>
        <v>Sales</v>
      </c>
      <c r="G1326" s="11">
        <f t="shared" si="20"/>
        <v>43831</v>
      </c>
      <c r="H1326" t="str">
        <f>VLOOKUP(N1326,Status[],2,FALSE)</f>
        <v>Full-Time</v>
      </c>
      <c r="J1326" s="7">
        <v>1020</v>
      </c>
      <c r="K1326">
        <v>22</v>
      </c>
      <c r="L1326">
        <v>2020</v>
      </c>
      <c r="M1326">
        <v>1</v>
      </c>
      <c r="N1326">
        <v>1</v>
      </c>
    </row>
    <row r="1327" spans="1:14" x14ac:dyDescent="0.25">
      <c r="A1327" t="s">
        <v>3555</v>
      </c>
      <c r="B1327" t="s">
        <v>930</v>
      </c>
      <c r="C1327" t="s">
        <v>1064</v>
      </c>
      <c r="D1327" t="str">
        <f>VLOOKUP(J1327,Location[],2,FALSE)</f>
        <v>Las Vegas</v>
      </c>
      <c r="E1327" t="str">
        <f>VLOOKUP(J1327,Location[],3,FALSE)</f>
        <v> Nevada</v>
      </c>
      <c r="F1327" t="str">
        <f>VLOOKUP(K1327,Dept[],2,FALSE)</f>
        <v>Marketing</v>
      </c>
      <c r="G1327" s="11">
        <f t="shared" si="20"/>
        <v>40969</v>
      </c>
      <c r="H1327" t="str">
        <f>VLOOKUP(N1327,Status[],2,FALSE)</f>
        <v>Full-Time</v>
      </c>
      <c r="J1327" s="7">
        <v>1028</v>
      </c>
      <c r="K1327">
        <v>19</v>
      </c>
      <c r="L1327">
        <v>2012</v>
      </c>
      <c r="M1327">
        <v>3</v>
      </c>
      <c r="N1327">
        <v>1</v>
      </c>
    </row>
    <row r="1328" spans="1:14" x14ac:dyDescent="0.25">
      <c r="A1328" t="s">
        <v>3556</v>
      </c>
      <c r="B1328" t="s">
        <v>1900</v>
      </c>
      <c r="C1328" t="s">
        <v>2034</v>
      </c>
      <c r="D1328" t="str">
        <f>VLOOKUP(J1328,Location[],2,FALSE)</f>
        <v>San Diego</v>
      </c>
      <c r="E1328" t="str">
        <f>VLOOKUP(J1328,Location[],3,FALSE)</f>
        <v> California</v>
      </c>
      <c r="F1328" t="str">
        <f>VLOOKUP(K1328,Dept[],2,FALSE)</f>
        <v>Shipping</v>
      </c>
      <c r="G1328" s="11">
        <f t="shared" si="20"/>
        <v>41306</v>
      </c>
      <c r="H1328" t="str">
        <f>VLOOKUP(N1328,Status[],2,FALSE)</f>
        <v>Full-Time</v>
      </c>
      <c r="J1328" s="7">
        <v>1008</v>
      </c>
      <c r="K1328">
        <v>23</v>
      </c>
      <c r="L1328">
        <v>2013</v>
      </c>
      <c r="M1328">
        <v>2</v>
      </c>
      <c r="N1328">
        <v>1</v>
      </c>
    </row>
    <row r="1329" spans="1:14" x14ac:dyDescent="0.25">
      <c r="A1329" t="s">
        <v>3557</v>
      </c>
      <c r="B1329" t="s">
        <v>1253</v>
      </c>
      <c r="C1329" t="s">
        <v>955</v>
      </c>
      <c r="D1329" t="str">
        <f>VLOOKUP(J1329,Location[],2,FALSE)</f>
        <v>Philadelphia</v>
      </c>
      <c r="E1329" t="str">
        <f>VLOOKUP(J1329,Location[],3,FALSE)</f>
        <v> Pennsylvania</v>
      </c>
      <c r="F1329" t="str">
        <f>VLOOKUP(K1329,Dept[],2,FALSE)</f>
        <v>Assessment</v>
      </c>
      <c r="G1329" s="11">
        <f t="shared" si="20"/>
        <v>42583</v>
      </c>
      <c r="H1329" t="str">
        <f>VLOOKUP(N1329,Status[],2,FALSE)</f>
        <v>Part-Time</v>
      </c>
      <c r="J1329" s="7">
        <v>1006</v>
      </c>
      <c r="K1329">
        <v>13</v>
      </c>
      <c r="L1329">
        <v>2016</v>
      </c>
      <c r="M1329">
        <v>8</v>
      </c>
      <c r="N1329">
        <v>0</v>
      </c>
    </row>
    <row r="1330" spans="1:14" x14ac:dyDescent="0.25">
      <c r="A1330" t="s">
        <v>3558</v>
      </c>
      <c r="B1330" t="s">
        <v>108</v>
      </c>
      <c r="C1330" t="s">
        <v>955</v>
      </c>
      <c r="D1330" t="str">
        <f>VLOOKUP(J1330,Location[],2,FALSE)</f>
        <v>San Antonio</v>
      </c>
      <c r="E1330" t="str">
        <f>VLOOKUP(J1330,Location[],3,FALSE)</f>
        <v> Texas</v>
      </c>
      <c r="F1330" t="str">
        <f>VLOOKUP(K1330,Dept[],2,FALSE)</f>
        <v>Media</v>
      </c>
      <c r="G1330" s="11">
        <f t="shared" si="20"/>
        <v>43678</v>
      </c>
      <c r="H1330" t="str">
        <f>VLOOKUP(N1330,Status[],2,FALSE)</f>
        <v>Full-Time</v>
      </c>
      <c r="J1330" s="7">
        <v>1007</v>
      </c>
      <c r="K1330">
        <v>20</v>
      </c>
      <c r="L1330">
        <v>2019</v>
      </c>
      <c r="M1330">
        <v>8</v>
      </c>
      <c r="N1330">
        <v>1</v>
      </c>
    </row>
    <row r="1331" spans="1:14" x14ac:dyDescent="0.25">
      <c r="A1331" t="s">
        <v>3559</v>
      </c>
      <c r="B1331" t="s">
        <v>47</v>
      </c>
      <c r="C1331" t="s">
        <v>955</v>
      </c>
      <c r="D1331" t="str">
        <f>VLOOKUP(J1331,Location[],2,FALSE)</f>
        <v>Lubbock</v>
      </c>
      <c r="E1331" t="str">
        <f>VLOOKUP(J1331,Location[],3,FALSE)</f>
        <v> Texas</v>
      </c>
      <c r="F1331" t="str">
        <f>VLOOKUP(K1331,Dept[],2,FALSE)</f>
        <v>Marketing</v>
      </c>
      <c r="G1331" s="11">
        <f t="shared" si="20"/>
        <v>40909</v>
      </c>
      <c r="H1331" t="str">
        <f>VLOOKUP(N1331,Status[],2,FALSE)</f>
        <v>Part-Time</v>
      </c>
      <c r="J1331" s="7">
        <v>1083</v>
      </c>
      <c r="K1331">
        <v>19</v>
      </c>
      <c r="L1331">
        <v>2012</v>
      </c>
      <c r="M1331">
        <v>1</v>
      </c>
      <c r="N1331">
        <v>0</v>
      </c>
    </row>
    <row r="1332" spans="1:14" x14ac:dyDescent="0.25">
      <c r="A1332" t="s">
        <v>3560</v>
      </c>
      <c r="B1332" t="s">
        <v>666</v>
      </c>
      <c r="C1332" t="s">
        <v>804</v>
      </c>
      <c r="D1332" t="str">
        <f>VLOOKUP(J1332,Location[],2,FALSE)</f>
        <v>Houston</v>
      </c>
      <c r="E1332" t="str">
        <f>VLOOKUP(J1332,Location[],3,FALSE)</f>
        <v> Texas</v>
      </c>
      <c r="F1332" t="str">
        <f>VLOOKUP(K1332,Dept[],2,FALSE)</f>
        <v>Finance</v>
      </c>
      <c r="G1332" s="11">
        <f t="shared" si="20"/>
        <v>45078</v>
      </c>
      <c r="H1332" t="str">
        <f>VLOOKUP(N1332,Status[],2,FALSE)</f>
        <v>Part-Time</v>
      </c>
      <c r="J1332" s="7">
        <v>1004</v>
      </c>
      <c r="K1332">
        <v>15</v>
      </c>
      <c r="L1332">
        <v>2023</v>
      </c>
      <c r="M1332">
        <v>6</v>
      </c>
      <c r="N1332">
        <v>0</v>
      </c>
    </row>
    <row r="1333" spans="1:14" x14ac:dyDescent="0.25">
      <c r="A1333" t="s">
        <v>3561</v>
      </c>
      <c r="B1333" t="s">
        <v>253</v>
      </c>
      <c r="C1333" t="s">
        <v>1442</v>
      </c>
      <c r="D1333" t="str">
        <f>VLOOKUP(J1333,Location[],2,FALSE)</f>
        <v>Houston</v>
      </c>
      <c r="E1333" t="str">
        <f>VLOOKUP(J1333,Location[],3,FALSE)</f>
        <v> Texas</v>
      </c>
      <c r="F1333" t="str">
        <f>VLOOKUP(K1333,Dept[],2,FALSE)</f>
        <v>Accounting</v>
      </c>
      <c r="G1333" s="11">
        <f t="shared" si="20"/>
        <v>41883</v>
      </c>
      <c r="H1333" t="str">
        <f>VLOOKUP(N1333,Status[],2,FALSE)</f>
        <v>Full-Time</v>
      </c>
      <c r="J1333" s="7">
        <v>1004</v>
      </c>
      <c r="K1333">
        <v>11</v>
      </c>
      <c r="L1333">
        <v>2014</v>
      </c>
      <c r="M1333">
        <v>9</v>
      </c>
      <c r="N1333">
        <v>1</v>
      </c>
    </row>
    <row r="1334" spans="1:14" x14ac:dyDescent="0.25">
      <c r="A1334" t="s">
        <v>3562</v>
      </c>
      <c r="B1334" t="s">
        <v>899</v>
      </c>
      <c r="C1334" t="s">
        <v>1614</v>
      </c>
      <c r="D1334" t="str">
        <f>VLOOKUP(J1334,Location[],2,FALSE)</f>
        <v>Charlotte</v>
      </c>
      <c r="E1334" t="str">
        <f>VLOOKUP(J1334,Location[],3,FALSE)</f>
        <v> North Carolina</v>
      </c>
      <c r="F1334" t="str">
        <f>VLOOKUP(K1334,Dept[],2,FALSE)</f>
        <v>Assessment</v>
      </c>
      <c r="G1334" s="11">
        <f t="shared" si="20"/>
        <v>41974</v>
      </c>
      <c r="H1334" t="str">
        <f>VLOOKUP(N1334,Status[],2,FALSE)</f>
        <v>Part-Time</v>
      </c>
      <c r="J1334" s="7">
        <v>1017</v>
      </c>
      <c r="K1334">
        <v>13</v>
      </c>
      <c r="L1334">
        <v>2014</v>
      </c>
      <c r="M1334">
        <v>12</v>
      </c>
      <c r="N1334">
        <v>0</v>
      </c>
    </row>
    <row r="1335" spans="1:14" x14ac:dyDescent="0.25">
      <c r="A1335" t="s">
        <v>3563</v>
      </c>
      <c r="B1335" t="s">
        <v>888</v>
      </c>
      <c r="C1335" t="s">
        <v>1950</v>
      </c>
      <c r="D1335" t="str">
        <f>VLOOKUP(J1335,Location[],2,FALSE)</f>
        <v>San Diego</v>
      </c>
      <c r="E1335" t="str">
        <f>VLOOKUP(J1335,Location[],3,FALSE)</f>
        <v> California</v>
      </c>
      <c r="F1335" t="str">
        <f>VLOOKUP(K1335,Dept[],2,FALSE)</f>
        <v>Administration</v>
      </c>
      <c r="G1335" s="11">
        <f t="shared" si="20"/>
        <v>40787</v>
      </c>
      <c r="H1335" t="str">
        <f>VLOOKUP(N1335,Status[],2,FALSE)</f>
        <v>Full-Time</v>
      </c>
      <c r="J1335" s="7">
        <v>1008</v>
      </c>
      <c r="K1335">
        <v>12</v>
      </c>
      <c r="L1335">
        <v>2011</v>
      </c>
      <c r="M1335">
        <v>9</v>
      </c>
      <c r="N1335">
        <v>1</v>
      </c>
    </row>
    <row r="1336" spans="1:14" x14ac:dyDescent="0.25">
      <c r="A1336" t="s">
        <v>3564</v>
      </c>
      <c r="B1336" t="s">
        <v>103</v>
      </c>
      <c r="C1336" t="s">
        <v>1188</v>
      </c>
      <c r="D1336" t="str">
        <f>VLOOKUP(J1336,Location[],2,FALSE)</f>
        <v>Chicago</v>
      </c>
      <c r="E1336" t="str">
        <f>VLOOKUP(J1336,Location[],3,FALSE)</f>
        <v> Illinois</v>
      </c>
      <c r="F1336" t="str">
        <f>VLOOKUP(K1336,Dept[],2,FALSE)</f>
        <v>Assessment</v>
      </c>
      <c r="G1336" s="11">
        <f t="shared" si="20"/>
        <v>44409</v>
      </c>
      <c r="H1336" t="str">
        <f>VLOOKUP(N1336,Status[],2,FALSE)</f>
        <v>Full-Time</v>
      </c>
      <c r="J1336" s="7">
        <v>1003</v>
      </c>
      <c r="K1336">
        <v>13</v>
      </c>
      <c r="L1336">
        <v>2021</v>
      </c>
      <c r="M1336">
        <v>8</v>
      </c>
      <c r="N1336">
        <v>1</v>
      </c>
    </row>
    <row r="1337" spans="1:14" x14ac:dyDescent="0.25">
      <c r="A1337" t="s">
        <v>3565</v>
      </c>
      <c r="B1337" t="s">
        <v>1160</v>
      </c>
      <c r="C1337" t="s">
        <v>1260</v>
      </c>
      <c r="D1337" t="str">
        <f>VLOOKUP(J1337,Location[],2,FALSE)</f>
        <v>Washington, D.C.</v>
      </c>
      <c r="E1337" t="str">
        <f>VLOOKUP(J1337,Location[],3,FALSE)</f>
        <v> District of Columbia</v>
      </c>
      <c r="F1337" t="str">
        <f>VLOOKUP(K1337,Dept[],2,FALSE)</f>
        <v>Legal</v>
      </c>
      <c r="G1337" s="11">
        <f t="shared" si="20"/>
        <v>42522</v>
      </c>
      <c r="H1337" t="str">
        <f>VLOOKUP(N1337,Status[],2,FALSE)</f>
        <v>Full-Time</v>
      </c>
      <c r="J1337" s="7">
        <v>1020</v>
      </c>
      <c r="K1337">
        <v>18</v>
      </c>
      <c r="L1337">
        <v>2016</v>
      </c>
      <c r="M1337">
        <v>6</v>
      </c>
      <c r="N1337">
        <v>1</v>
      </c>
    </row>
    <row r="1338" spans="1:14" x14ac:dyDescent="0.25">
      <c r="A1338" t="s">
        <v>3566</v>
      </c>
      <c r="B1338" t="s">
        <v>851</v>
      </c>
      <c r="C1338" t="s">
        <v>1260</v>
      </c>
      <c r="D1338" t="str">
        <f>VLOOKUP(J1338,Location[],2,FALSE)</f>
        <v>Phoenix</v>
      </c>
      <c r="E1338" t="str">
        <f>VLOOKUP(J1338,Location[],3,FALSE)</f>
        <v> Arizona</v>
      </c>
      <c r="F1338" t="str">
        <f>VLOOKUP(K1338,Dept[],2,FALSE)</f>
        <v>Human Resources</v>
      </c>
      <c r="G1338" s="11">
        <f t="shared" si="20"/>
        <v>40634</v>
      </c>
      <c r="H1338" t="str">
        <f>VLOOKUP(N1338,Status[],2,FALSE)</f>
        <v>Full-Time</v>
      </c>
      <c r="J1338" s="7">
        <v>1005</v>
      </c>
      <c r="K1338">
        <v>16</v>
      </c>
      <c r="L1338">
        <v>2011</v>
      </c>
      <c r="M1338">
        <v>4</v>
      </c>
      <c r="N1338">
        <v>1</v>
      </c>
    </row>
    <row r="1339" spans="1:14" x14ac:dyDescent="0.25">
      <c r="A1339" t="s">
        <v>3567</v>
      </c>
      <c r="B1339" t="s">
        <v>308</v>
      </c>
      <c r="C1339" t="s">
        <v>1910</v>
      </c>
      <c r="D1339" t="str">
        <f>VLOOKUP(J1339,Location[],2,FALSE)</f>
        <v>Portland</v>
      </c>
      <c r="E1339" t="str">
        <f>VLOOKUP(J1339,Location[],3,FALSE)</f>
        <v> Oregon</v>
      </c>
      <c r="F1339" t="str">
        <f>VLOOKUP(K1339,Dept[],2,FALSE)</f>
        <v>Customer Support</v>
      </c>
      <c r="G1339" s="11">
        <f t="shared" si="20"/>
        <v>44075</v>
      </c>
      <c r="H1339" t="str">
        <f>VLOOKUP(N1339,Status[],2,FALSE)</f>
        <v>Part-Time</v>
      </c>
      <c r="J1339" s="7">
        <v>1026</v>
      </c>
      <c r="K1339">
        <v>14</v>
      </c>
      <c r="L1339">
        <v>2020</v>
      </c>
      <c r="M1339">
        <v>9</v>
      </c>
      <c r="N1339">
        <v>0</v>
      </c>
    </row>
    <row r="1340" spans="1:14" x14ac:dyDescent="0.25">
      <c r="A1340" t="s">
        <v>3568</v>
      </c>
      <c r="B1340" t="s">
        <v>561</v>
      </c>
      <c r="C1340" t="s">
        <v>1138</v>
      </c>
      <c r="D1340" t="str">
        <f>VLOOKUP(J1340,Location[],2,FALSE)</f>
        <v>Sacramento</v>
      </c>
      <c r="E1340" t="str">
        <f>VLOOKUP(J1340,Location[],3,FALSE)</f>
        <v> California</v>
      </c>
      <c r="F1340" t="str">
        <f>VLOOKUP(K1340,Dept[],2,FALSE)</f>
        <v>Administration</v>
      </c>
      <c r="G1340" s="11">
        <f t="shared" si="20"/>
        <v>42339</v>
      </c>
      <c r="H1340" t="str">
        <f>VLOOKUP(N1340,Status[],2,FALSE)</f>
        <v>Full-Time</v>
      </c>
      <c r="J1340" s="7">
        <v>1035</v>
      </c>
      <c r="K1340">
        <v>12</v>
      </c>
      <c r="L1340">
        <v>2015</v>
      </c>
      <c r="M1340">
        <v>12</v>
      </c>
      <c r="N1340">
        <v>1</v>
      </c>
    </row>
    <row r="1341" spans="1:14" x14ac:dyDescent="0.25">
      <c r="A1341" t="s">
        <v>3569</v>
      </c>
      <c r="B1341" t="s">
        <v>988</v>
      </c>
      <c r="C1341" t="s">
        <v>2082</v>
      </c>
      <c r="D1341" t="str">
        <f>VLOOKUP(J1341,Location[],2,FALSE)</f>
        <v>Fort Worth</v>
      </c>
      <c r="E1341" t="str">
        <f>VLOOKUP(J1341,Location[],3,FALSE)</f>
        <v> Texas</v>
      </c>
      <c r="F1341" t="str">
        <f>VLOOKUP(K1341,Dept[],2,FALSE)</f>
        <v>Administration</v>
      </c>
      <c r="G1341" s="11">
        <f t="shared" si="20"/>
        <v>42552</v>
      </c>
      <c r="H1341" t="str">
        <f>VLOOKUP(N1341,Status[],2,FALSE)</f>
        <v>Full-Time</v>
      </c>
      <c r="J1341" s="7">
        <v>1015</v>
      </c>
      <c r="K1341">
        <v>12</v>
      </c>
      <c r="L1341">
        <v>2016</v>
      </c>
      <c r="M1341">
        <v>7</v>
      </c>
      <c r="N1341">
        <v>1</v>
      </c>
    </row>
    <row r="1342" spans="1:14" x14ac:dyDescent="0.25">
      <c r="A1342" t="s">
        <v>3570</v>
      </c>
      <c r="B1342" t="s">
        <v>103</v>
      </c>
      <c r="C1342" t="s">
        <v>1555</v>
      </c>
      <c r="D1342" t="str">
        <f>VLOOKUP(J1342,Location[],2,FALSE)</f>
        <v>San Jose</v>
      </c>
      <c r="E1342" t="str">
        <f>VLOOKUP(J1342,Location[],3,FALSE)</f>
        <v> California</v>
      </c>
      <c r="F1342" t="str">
        <f>VLOOKUP(K1342,Dept[],2,FALSE)</f>
        <v>R&amp;D</v>
      </c>
      <c r="G1342" s="11">
        <f t="shared" si="20"/>
        <v>41944</v>
      </c>
      <c r="H1342" t="str">
        <f>VLOOKUP(N1342,Status[],2,FALSE)</f>
        <v>Part-Time</v>
      </c>
      <c r="J1342" s="7">
        <v>1010</v>
      </c>
      <c r="K1342">
        <v>21</v>
      </c>
      <c r="L1342">
        <v>2014</v>
      </c>
      <c r="M1342">
        <v>11</v>
      </c>
      <c r="N1342">
        <v>0</v>
      </c>
    </row>
    <row r="1343" spans="1:14" x14ac:dyDescent="0.25">
      <c r="A1343" t="s">
        <v>3571</v>
      </c>
      <c r="B1343" t="s">
        <v>57</v>
      </c>
      <c r="C1343" t="s">
        <v>1111</v>
      </c>
      <c r="D1343" t="str">
        <f>VLOOKUP(J1343,Location[],2,FALSE)</f>
        <v>Atlanta</v>
      </c>
      <c r="E1343" t="str">
        <f>VLOOKUP(J1343,Location[],3,FALSE)</f>
        <v> Georgia</v>
      </c>
      <c r="F1343" t="str">
        <f>VLOOKUP(K1343,Dept[],2,FALSE)</f>
        <v>Finance</v>
      </c>
      <c r="G1343" s="11">
        <f t="shared" si="20"/>
        <v>45139</v>
      </c>
      <c r="H1343" t="str">
        <f>VLOOKUP(N1343,Status[],2,FALSE)</f>
        <v>Part-Time</v>
      </c>
      <c r="J1343" s="7">
        <v>1038</v>
      </c>
      <c r="K1343">
        <v>15</v>
      </c>
      <c r="L1343">
        <v>2023</v>
      </c>
      <c r="M1343">
        <v>8</v>
      </c>
      <c r="N1343">
        <v>0</v>
      </c>
    </row>
    <row r="1344" spans="1:14" x14ac:dyDescent="0.25">
      <c r="A1344" t="s">
        <v>3572</v>
      </c>
      <c r="B1344" t="s">
        <v>253</v>
      </c>
      <c r="C1344" t="s">
        <v>877</v>
      </c>
      <c r="D1344" t="str">
        <f>VLOOKUP(J1344,Location[],2,FALSE)</f>
        <v>New York City</v>
      </c>
      <c r="E1344" t="str">
        <f>VLOOKUP(J1344,Location[],3,FALSE)</f>
        <v> New York</v>
      </c>
      <c r="F1344" t="str">
        <f>VLOOKUP(K1344,Dept[],2,FALSE)</f>
        <v>R&amp;D</v>
      </c>
      <c r="G1344" s="11">
        <f t="shared" si="20"/>
        <v>41760</v>
      </c>
      <c r="H1344" t="str">
        <f>VLOOKUP(N1344,Status[],2,FALSE)</f>
        <v>Full-Time</v>
      </c>
      <c r="J1344" s="7">
        <v>1001</v>
      </c>
      <c r="K1344">
        <v>21</v>
      </c>
      <c r="L1344">
        <v>2014</v>
      </c>
      <c r="M1344">
        <v>5</v>
      </c>
      <c r="N1344">
        <v>1</v>
      </c>
    </row>
    <row r="1345" spans="1:14" x14ac:dyDescent="0.25">
      <c r="A1345" t="s">
        <v>3573</v>
      </c>
      <c r="B1345" t="s">
        <v>184</v>
      </c>
      <c r="C1345" t="s">
        <v>1564</v>
      </c>
      <c r="D1345" t="str">
        <f>VLOOKUP(J1345,Location[],2,FALSE)</f>
        <v>Anaheim</v>
      </c>
      <c r="E1345" t="str">
        <f>VLOOKUP(J1345,Location[],3,FALSE)</f>
        <v> California</v>
      </c>
      <c r="F1345" t="str">
        <f>VLOOKUP(K1345,Dept[],2,FALSE)</f>
        <v>Assessment</v>
      </c>
      <c r="G1345" s="11">
        <f t="shared" si="20"/>
        <v>43617</v>
      </c>
      <c r="H1345" t="str">
        <f>VLOOKUP(N1345,Status[],2,FALSE)</f>
        <v>Part-Time</v>
      </c>
      <c r="J1345" s="7">
        <v>1055</v>
      </c>
      <c r="K1345">
        <v>13</v>
      </c>
      <c r="L1345">
        <v>2019</v>
      </c>
      <c r="M1345">
        <v>6</v>
      </c>
      <c r="N1345">
        <v>0</v>
      </c>
    </row>
    <row r="1346" spans="1:14" x14ac:dyDescent="0.25">
      <c r="A1346" t="s">
        <v>3574</v>
      </c>
      <c r="B1346" t="s">
        <v>617</v>
      </c>
      <c r="C1346" t="s">
        <v>1151</v>
      </c>
      <c r="D1346" t="str">
        <f>VLOOKUP(J1346,Location[],2,FALSE)</f>
        <v>Houston</v>
      </c>
      <c r="E1346" t="str">
        <f>VLOOKUP(J1346,Location[],3,FALSE)</f>
        <v> Texas</v>
      </c>
      <c r="F1346" t="str">
        <f>VLOOKUP(K1346,Dept[],2,FALSE)</f>
        <v>Assessment</v>
      </c>
      <c r="G1346" s="11">
        <f t="shared" si="20"/>
        <v>44866</v>
      </c>
      <c r="H1346" t="str">
        <f>VLOOKUP(N1346,Status[],2,FALSE)</f>
        <v>Full-Time</v>
      </c>
      <c r="J1346" s="7">
        <v>1004</v>
      </c>
      <c r="K1346">
        <v>13</v>
      </c>
      <c r="L1346">
        <v>2022</v>
      </c>
      <c r="M1346">
        <v>11</v>
      </c>
      <c r="N1346">
        <v>1</v>
      </c>
    </row>
    <row r="1347" spans="1:14" x14ac:dyDescent="0.25">
      <c r="A1347" t="s">
        <v>3575</v>
      </c>
      <c r="B1347" t="s">
        <v>1949</v>
      </c>
      <c r="C1347" t="s">
        <v>1151</v>
      </c>
      <c r="D1347" t="str">
        <f>VLOOKUP(J1347,Location[],2,FALSE)</f>
        <v>New York City</v>
      </c>
      <c r="E1347" t="str">
        <f>VLOOKUP(J1347,Location[],3,FALSE)</f>
        <v> New York</v>
      </c>
      <c r="F1347" t="str">
        <f>VLOOKUP(K1347,Dept[],2,FALSE)</f>
        <v>Customer Support</v>
      </c>
      <c r="G1347" s="11">
        <f t="shared" si="20"/>
        <v>41791</v>
      </c>
      <c r="H1347" t="str">
        <f>VLOOKUP(N1347,Status[],2,FALSE)</f>
        <v>Full-Time</v>
      </c>
      <c r="J1347" s="7">
        <v>1001</v>
      </c>
      <c r="K1347">
        <v>14</v>
      </c>
      <c r="L1347">
        <v>2014</v>
      </c>
      <c r="M1347">
        <v>6</v>
      </c>
      <c r="N1347">
        <v>1</v>
      </c>
    </row>
    <row r="1348" spans="1:14" x14ac:dyDescent="0.25">
      <c r="A1348" t="s">
        <v>3576</v>
      </c>
      <c r="B1348" t="s">
        <v>71</v>
      </c>
      <c r="C1348" t="s">
        <v>1511</v>
      </c>
      <c r="D1348" t="str">
        <f>VLOOKUP(J1348,Location[],2,FALSE)</f>
        <v>Madison</v>
      </c>
      <c r="E1348" t="str">
        <f>VLOOKUP(J1348,Location[],3,FALSE)</f>
        <v> Wisconsin</v>
      </c>
      <c r="F1348" t="str">
        <f>VLOOKUP(K1348,Dept[],2,FALSE)</f>
        <v>Sales</v>
      </c>
      <c r="G1348" s="11">
        <f t="shared" si="20"/>
        <v>41091</v>
      </c>
      <c r="H1348" t="str">
        <f>VLOOKUP(N1348,Status[],2,FALSE)</f>
        <v>Full-Time</v>
      </c>
      <c r="J1348" s="7">
        <v>1082</v>
      </c>
      <c r="K1348">
        <v>22</v>
      </c>
      <c r="L1348">
        <v>2012</v>
      </c>
      <c r="M1348">
        <v>7</v>
      </c>
      <c r="N1348">
        <v>1</v>
      </c>
    </row>
    <row r="1349" spans="1:14" x14ac:dyDescent="0.25">
      <c r="A1349" t="s">
        <v>3577</v>
      </c>
      <c r="B1349" t="s">
        <v>539</v>
      </c>
      <c r="C1349" t="s">
        <v>1238</v>
      </c>
      <c r="D1349" t="str">
        <f>VLOOKUP(J1349,Location[],2,FALSE)</f>
        <v>Milwaukee</v>
      </c>
      <c r="E1349" t="str">
        <f>VLOOKUP(J1349,Location[],3,FALSE)</f>
        <v> Wisconsin</v>
      </c>
      <c r="F1349" t="str">
        <f>VLOOKUP(K1349,Dept[],2,FALSE)</f>
        <v>Finance</v>
      </c>
      <c r="G1349" s="11">
        <f t="shared" ref="G1349:G1412" si="21">DATE(L1349,M1349,1)</f>
        <v>44501</v>
      </c>
      <c r="H1349" t="str">
        <f>VLOOKUP(N1349,Status[],2,FALSE)</f>
        <v>Full-Time</v>
      </c>
      <c r="J1349" s="7">
        <v>1031</v>
      </c>
      <c r="K1349">
        <v>15</v>
      </c>
      <c r="L1349">
        <v>2021</v>
      </c>
      <c r="M1349">
        <v>11</v>
      </c>
      <c r="N1349">
        <v>1</v>
      </c>
    </row>
    <row r="1350" spans="1:14" x14ac:dyDescent="0.25">
      <c r="A1350" t="s">
        <v>3578</v>
      </c>
      <c r="B1350" t="s">
        <v>839</v>
      </c>
      <c r="C1350" t="s">
        <v>840</v>
      </c>
      <c r="D1350" t="str">
        <f>VLOOKUP(J1350,Location[],2,FALSE)</f>
        <v>Columbus</v>
      </c>
      <c r="E1350" t="str">
        <f>VLOOKUP(J1350,Location[],3,FALSE)</f>
        <v> Ohio</v>
      </c>
      <c r="F1350" t="str">
        <f>VLOOKUP(K1350,Dept[],2,FALSE)</f>
        <v>Customer Support</v>
      </c>
      <c r="G1350" s="11">
        <f t="shared" si="21"/>
        <v>43709</v>
      </c>
      <c r="H1350" t="str">
        <f>VLOOKUP(N1350,Status[],2,FALSE)</f>
        <v>Full-Time</v>
      </c>
      <c r="J1350" s="7">
        <v>1014</v>
      </c>
      <c r="K1350">
        <v>14</v>
      </c>
      <c r="L1350">
        <v>2019</v>
      </c>
      <c r="M1350">
        <v>9</v>
      </c>
      <c r="N1350">
        <v>1</v>
      </c>
    </row>
    <row r="1351" spans="1:14" x14ac:dyDescent="0.25">
      <c r="A1351" t="s">
        <v>3579</v>
      </c>
      <c r="B1351" t="s">
        <v>1516</v>
      </c>
      <c r="C1351" t="s">
        <v>1517</v>
      </c>
      <c r="D1351" t="str">
        <f>VLOOKUP(J1351,Location[],2,FALSE)</f>
        <v>Seattle</v>
      </c>
      <c r="E1351" t="str">
        <f>VLOOKUP(J1351,Location[],3,FALSE)</f>
        <v> Washington</v>
      </c>
      <c r="F1351" t="str">
        <f>VLOOKUP(K1351,Dept[],2,FALSE)</f>
        <v>Human Resources</v>
      </c>
      <c r="G1351" s="11">
        <f t="shared" si="21"/>
        <v>43191</v>
      </c>
      <c r="H1351" t="str">
        <f>VLOOKUP(N1351,Status[],2,FALSE)</f>
        <v>Full-Time</v>
      </c>
      <c r="J1351" s="7">
        <v>1018</v>
      </c>
      <c r="K1351">
        <v>16</v>
      </c>
      <c r="L1351">
        <v>2018</v>
      </c>
      <c r="M1351">
        <v>4</v>
      </c>
      <c r="N1351">
        <v>1</v>
      </c>
    </row>
    <row r="1352" spans="1:14" x14ac:dyDescent="0.25">
      <c r="A1352" t="s">
        <v>3580</v>
      </c>
      <c r="B1352" t="s">
        <v>450</v>
      </c>
      <c r="C1352" t="s">
        <v>1758</v>
      </c>
      <c r="D1352" t="str">
        <f>VLOOKUP(J1352,Location[],2,FALSE)</f>
        <v>Newark</v>
      </c>
      <c r="E1352" t="str">
        <f>VLOOKUP(J1352,Location[],3,FALSE)</f>
        <v> New Jersey</v>
      </c>
      <c r="F1352" t="str">
        <f>VLOOKUP(K1352,Dept[],2,FALSE)</f>
        <v>Assessment</v>
      </c>
      <c r="G1352" s="11">
        <f t="shared" si="21"/>
        <v>41061</v>
      </c>
      <c r="H1352" t="str">
        <f>VLOOKUP(N1352,Status[],2,FALSE)</f>
        <v>Full-Time</v>
      </c>
      <c r="J1352" s="7">
        <v>1070</v>
      </c>
      <c r="K1352">
        <v>13</v>
      </c>
      <c r="L1352">
        <v>2012</v>
      </c>
      <c r="M1352">
        <v>6</v>
      </c>
      <c r="N1352">
        <v>1</v>
      </c>
    </row>
    <row r="1353" spans="1:14" x14ac:dyDescent="0.25">
      <c r="A1353" t="s">
        <v>3581</v>
      </c>
      <c r="B1353" t="s">
        <v>1535</v>
      </c>
      <c r="C1353" t="s">
        <v>1536</v>
      </c>
      <c r="D1353" t="str">
        <f>VLOOKUP(J1353,Location[],2,FALSE)</f>
        <v>Sacramento</v>
      </c>
      <c r="E1353" t="str">
        <f>VLOOKUP(J1353,Location[],3,FALSE)</f>
        <v> California</v>
      </c>
      <c r="F1353" t="str">
        <f>VLOOKUP(K1353,Dept[],2,FALSE)</f>
        <v>Accounting</v>
      </c>
      <c r="G1353" s="11">
        <f t="shared" si="21"/>
        <v>41244</v>
      </c>
      <c r="H1353" t="str">
        <f>VLOOKUP(N1353,Status[],2,FALSE)</f>
        <v>Full-Time</v>
      </c>
      <c r="J1353" s="7">
        <v>1035</v>
      </c>
      <c r="K1353">
        <v>11</v>
      </c>
      <c r="L1353">
        <v>2012</v>
      </c>
      <c r="M1353">
        <v>12</v>
      </c>
      <c r="N1353">
        <v>1</v>
      </c>
    </row>
    <row r="1354" spans="1:14" x14ac:dyDescent="0.25">
      <c r="A1354" t="s">
        <v>3582</v>
      </c>
      <c r="B1354" t="s">
        <v>406</v>
      </c>
      <c r="C1354" t="s">
        <v>456</v>
      </c>
      <c r="D1354" t="str">
        <f>VLOOKUP(J1354,Location[],2,FALSE)</f>
        <v>Henderson</v>
      </c>
      <c r="E1354" t="str">
        <f>VLOOKUP(J1354,Location[],3,FALSE)</f>
        <v> Nevada</v>
      </c>
      <c r="F1354" t="str">
        <f>VLOOKUP(K1354,Dept[],2,FALSE)</f>
        <v>Customer Support</v>
      </c>
      <c r="G1354" s="11">
        <f t="shared" si="21"/>
        <v>44621</v>
      </c>
      <c r="H1354" t="str">
        <f>VLOOKUP(N1354,Status[],2,FALSE)</f>
        <v>Full-Time</v>
      </c>
      <c r="J1354" s="7">
        <v>1064</v>
      </c>
      <c r="K1354">
        <v>14</v>
      </c>
      <c r="L1354">
        <v>2022</v>
      </c>
      <c r="M1354">
        <v>3</v>
      </c>
      <c r="N1354">
        <v>1</v>
      </c>
    </row>
    <row r="1355" spans="1:14" x14ac:dyDescent="0.25">
      <c r="A1355" t="s">
        <v>3583</v>
      </c>
      <c r="B1355" t="s">
        <v>1499</v>
      </c>
      <c r="C1355" t="s">
        <v>456</v>
      </c>
      <c r="D1355" t="str">
        <f>VLOOKUP(J1355,Location[],2,FALSE)</f>
        <v>Houston</v>
      </c>
      <c r="E1355" t="str">
        <f>VLOOKUP(J1355,Location[],3,FALSE)</f>
        <v> Texas</v>
      </c>
      <c r="F1355" t="str">
        <f>VLOOKUP(K1355,Dept[],2,FALSE)</f>
        <v>Marketing</v>
      </c>
      <c r="G1355" s="11">
        <f t="shared" si="21"/>
        <v>44805</v>
      </c>
      <c r="H1355" t="str">
        <f>VLOOKUP(N1355,Status[],2,FALSE)</f>
        <v>Full-Time</v>
      </c>
      <c r="J1355" s="7">
        <v>1004</v>
      </c>
      <c r="K1355">
        <v>19</v>
      </c>
      <c r="L1355">
        <v>2022</v>
      </c>
      <c r="M1355">
        <v>9</v>
      </c>
      <c r="N1355">
        <v>1</v>
      </c>
    </row>
    <row r="1356" spans="1:14" x14ac:dyDescent="0.25">
      <c r="A1356" t="s">
        <v>3584</v>
      </c>
      <c r="B1356" t="s">
        <v>541</v>
      </c>
      <c r="C1356" t="s">
        <v>456</v>
      </c>
      <c r="D1356" t="str">
        <f>VLOOKUP(J1356,Location[],2,FALSE)</f>
        <v>Los Angeles</v>
      </c>
      <c r="E1356" t="str">
        <f>VLOOKUP(J1356,Location[],3,FALSE)</f>
        <v> California</v>
      </c>
      <c r="F1356" t="str">
        <f>VLOOKUP(K1356,Dept[],2,FALSE)</f>
        <v>Accounting</v>
      </c>
      <c r="G1356" s="11">
        <f t="shared" si="21"/>
        <v>44105</v>
      </c>
      <c r="H1356" t="str">
        <f>VLOOKUP(N1356,Status[],2,FALSE)</f>
        <v>Full-Time</v>
      </c>
      <c r="J1356" s="7">
        <v>1002</v>
      </c>
      <c r="K1356">
        <v>11</v>
      </c>
      <c r="L1356">
        <v>2020</v>
      </c>
      <c r="M1356">
        <v>10</v>
      </c>
      <c r="N1356">
        <v>1</v>
      </c>
    </row>
    <row r="1357" spans="1:14" x14ac:dyDescent="0.25">
      <c r="A1357" t="s">
        <v>3585</v>
      </c>
      <c r="B1357" t="s">
        <v>427</v>
      </c>
      <c r="C1357" t="s">
        <v>456</v>
      </c>
      <c r="D1357" t="str">
        <f>VLOOKUP(J1357,Location[],2,FALSE)</f>
        <v>New York City</v>
      </c>
      <c r="E1357" t="str">
        <f>VLOOKUP(J1357,Location[],3,FALSE)</f>
        <v> New York</v>
      </c>
      <c r="F1357" t="str">
        <f>VLOOKUP(K1357,Dept[],2,FALSE)</f>
        <v>Shipping</v>
      </c>
      <c r="G1357" s="11">
        <f t="shared" si="21"/>
        <v>40940</v>
      </c>
      <c r="H1357" t="str">
        <f>VLOOKUP(N1357,Status[],2,FALSE)</f>
        <v>Full-Time</v>
      </c>
      <c r="J1357" s="7">
        <v>1001</v>
      </c>
      <c r="K1357">
        <v>23</v>
      </c>
      <c r="L1357">
        <v>2012</v>
      </c>
      <c r="M1357">
        <v>2</v>
      </c>
      <c r="N1357">
        <v>1</v>
      </c>
    </row>
    <row r="1358" spans="1:14" x14ac:dyDescent="0.25">
      <c r="A1358" t="s">
        <v>3586</v>
      </c>
      <c r="B1358" t="s">
        <v>1579</v>
      </c>
      <c r="C1358" t="s">
        <v>1580</v>
      </c>
      <c r="D1358" t="str">
        <f>VLOOKUP(J1358,Location[],2,FALSE)</f>
        <v>Jacksonville</v>
      </c>
      <c r="E1358" t="str">
        <f>VLOOKUP(J1358,Location[],3,FALSE)</f>
        <v> Florida</v>
      </c>
      <c r="F1358" t="str">
        <f>VLOOKUP(K1358,Dept[],2,FALSE)</f>
        <v>Media</v>
      </c>
      <c r="G1358" s="11">
        <f t="shared" si="21"/>
        <v>41000</v>
      </c>
      <c r="H1358" t="str">
        <f>VLOOKUP(N1358,Status[],2,FALSE)</f>
        <v>Full-Time</v>
      </c>
      <c r="J1358" s="7">
        <v>1012</v>
      </c>
      <c r="K1358">
        <v>20</v>
      </c>
      <c r="L1358">
        <v>2012</v>
      </c>
      <c r="M1358">
        <v>4</v>
      </c>
      <c r="N1358">
        <v>1</v>
      </c>
    </row>
    <row r="1359" spans="1:14" x14ac:dyDescent="0.25">
      <c r="A1359" t="s">
        <v>3587</v>
      </c>
      <c r="B1359" t="s">
        <v>702</v>
      </c>
      <c r="C1359" t="s">
        <v>105</v>
      </c>
      <c r="D1359" t="str">
        <f>VLOOKUP(J1359,Location[],2,FALSE)</f>
        <v>Pittsburgh</v>
      </c>
      <c r="E1359" t="str">
        <f>VLOOKUP(J1359,Location[],3,FALSE)</f>
        <v> Pennsylvania</v>
      </c>
      <c r="F1359" t="str">
        <f>VLOOKUP(K1359,Dept[],2,FALSE)</f>
        <v>Sales</v>
      </c>
      <c r="G1359" s="11">
        <f t="shared" si="21"/>
        <v>43132</v>
      </c>
      <c r="H1359" t="str">
        <f>VLOOKUP(N1359,Status[],2,FALSE)</f>
        <v>Full-Time</v>
      </c>
      <c r="J1359" s="7">
        <v>1065</v>
      </c>
      <c r="K1359">
        <v>22</v>
      </c>
      <c r="L1359">
        <v>2018</v>
      </c>
      <c r="M1359">
        <v>2</v>
      </c>
      <c r="N1359">
        <v>1</v>
      </c>
    </row>
    <row r="1360" spans="1:14" x14ac:dyDescent="0.25">
      <c r="A1360" t="s">
        <v>3588</v>
      </c>
      <c r="B1360" t="s">
        <v>1265</v>
      </c>
      <c r="C1360" t="s">
        <v>105</v>
      </c>
      <c r="D1360" t="str">
        <f>VLOOKUP(J1360,Location[],2,FALSE)</f>
        <v>Memphis</v>
      </c>
      <c r="E1360" t="str">
        <f>VLOOKUP(J1360,Location[],3,FALSE)</f>
        <v> Tennessee</v>
      </c>
      <c r="F1360" t="str">
        <f>VLOOKUP(K1360,Dept[],2,FALSE)</f>
        <v>Administration</v>
      </c>
      <c r="G1360" s="11">
        <f t="shared" si="21"/>
        <v>40756</v>
      </c>
      <c r="H1360" t="str">
        <f>VLOOKUP(N1360,Status[],2,FALSE)</f>
        <v>Full-Time</v>
      </c>
      <c r="J1360" s="7">
        <v>1025</v>
      </c>
      <c r="K1360">
        <v>12</v>
      </c>
      <c r="L1360">
        <v>2011</v>
      </c>
      <c r="M1360">
        <v>8</v>
      </c>
      <c r="N1360">
        <v>1</v>
      </c>
    </row>
    <row r="1361" spans="1:14" x14ac:dyDescent="0.25">
      <c r="A1361" t="s">
        <v>3589</v>
      </c>
      <c r="B1361" t="s">
        <v>89</v>
      </c>
      <c r="C1361" t="s">
        <v>105</v>
      </c>
      <c r="D1361" t="str">
        <f>VLOOKUP(J1361,Location[],2,FALSE)</f>
        <v>Virginia Beach</v>
      </c>
      <c r="E1361" t="str">
        <f>VLOOKUP(J1361,Location[],3,FALSE)</f>
        <v> Virginia</v>
      </c>
      <c r="F1361" t="str">
        <f>VLOOKUP(K1361,Dept[],2,FALSE)</f>
        <v>Sales</v>
      </c>
      <c r="G1361" s="11">
        <f t="shared" si="21"/>
        <v>40787</v>
      </c>
      <c r="H1361" t="str">
        <f>VLOOKUP(N1361,Status[],2,FALSE)</f>
        <v>Full-Time</v>
      </c>
      <c r="J1361" s="7">
        <v>1044</v>
      </c>
      <c r="K1361">
        <v>22</v>
      </c>
      <c r="L1361">
        <v>2011</v>
      </c>
      <c r="M1361">
        <v>9</v>
      </c>
      <c r="N1361">
        <v>1</v>
      </c>
    </row>
    <row r="1362" spans="1:14" x14ac:dyDescent="0.25">
      <c r="A1362" t="s">
        <v>3590</v>
      </c>
      <c r="B1362" t="s">
        <v>1173</v>
      </c>
      <c r="C1362" t="s">
        <v>1174</v>
      </c>
      <c r="D1362" t="str">
        <f>VLOOKUP(J1362,Location[],2,FALSE)</f>
        <v>Los Angeles</v>
      </c>
      <c r="E1362" t="str">
        <f>VLOOKUP(J1362,Location[],3,FALSE)</f>
        <v> California</v>
      </c>
      <c r="F1362" t="str">
        <f>VLOOKUP(K1362,Dept[],2,FALSE)</f>
        <v>Human Resources</v>
      </c>
      <c r="G1362" s="11">
        <f t="shared" si="21"/>
        <v>41030</v>
      </c>
      <c r="H1362" t="str">
        <f>VLOOKUP(N1362,Status[],2,FALSE)</f>
        <v>Part-Time</v>
      </c>
      <c r="J1362" s="7">
        <v>1002</v>
      </c>
      <c r="K1362">
        <v>16</v>
      </c>
      <c r="L1362">
        <v>2012</v>
      </c>
      <c r="M1362">
        <v>5</v>
      </c>
      <c r="N1362">
        <v>0</v>
      </c>
    </row>
    <row r="1363" spans="1:14" x14ac:dyDescent="0.25">
      <c r="A1363" t="s">
        <v>3591</v>
      </c>
      <c r="B1363" t="s">
        <v>71</v>
      </c>
      <c r="C1363" t="s">
        <v>283</v>
      </c>
      <c r="D1363" t="str">
        <f>VLOOKUP(J1363,Location[],2,FALSE)</f>
        <v>Chicago</v>
      </c>
      <c r="E1363" t="str">
        <f>VLOOKUP(J1363,Location[],3,FALSE)</f>
        <v> Illinois</v>
      </c>
      <c r="F1363" t="str">
        <f>VLOOKUP(K1363,Dept[],2,FALSE)</f>
        <v>Sales</v>
      </c>
      <c r="G1363" s="11">
        <f t="shared" si="21"/>
        <v>43374</v>
      </c>
      <c r="H1363" t="str">
        <f>VLOOKUP(N1363,Status[],2,FALSE)</f>
        <v>Full-Time</v>
      </c>
      <c r="J1363" s="7">
        <v>1003</v>
      </c>
      <c r="K1363">
        <v>22</v>
      </c>
      <c r="L1363">
        <v>2018</v>
      </c>
      <c r="M1363">
        <v>10</v>
      </c>
      <c r="N1363">
        <v>1</v>
      </c>
    </row>
    <row r="1364" spans="1:14" x14ac:dyDescent="0.25">
      <c r="A1364" t="s">
        <v>3592</v>
      </c>
      <c r="B1364" t="s">
        <v>35</v>
      </c>
      <c r="C1364" t="s">
        <v>129</v>
      </c>
      <c r="D1364" t="str">
        <f>VLOOKUP(J1364,Location[],2,FALSE)</f>
        <v>Los Angeles</v>
      </c>
      <c r="E1364" t="str">
        <f>VLOOKUP(J1364,Location[],3,FALSE)</f>
        <v> California</v>
      </c>
      <c r="F1364" t="str">
        <f>VLOOKUP(K1364,Dept[],2,FALSE)</f>
        <v>Legal</v>
      </c>
      <c r="G1364" s="11">
        <f t="shared" si="21"/>
        <v>42186</v>
      </c>
      <c r="H1364" t="str">
        <f>VLOOKUP(N1364,Status[],2,FALSE)</f>
        <v>Full-Time</v>
      </c>
      <c r="J1364" s="7">
        <v>1002</v>
      </c>
      <c r="K1364">
        <v>18</v>
      </c>
      <c r="L1364">
        <v>2015</v>
      </c>
      <c r="M1364">
        <v>7</v>
      </c>
      <c r="N1364">
        <v>1</v>
      </c>
    </row>
    <row r="1365" spans="1:14" x14ac:dyDescent="0.25">
      <c r="A1365" t="s">
        <v>3593</v>
      </c>
      <c r="B1365" t="s">
        <v>1560</v>
      </c>
      <c r="C1365" t="s">
        <v>1561</v>
      </c>
      <c r="D1365" t="str">
        <f>VLOOKUP(J1365,Location[],2,FALSE)</f>
        <v>Colorado Springs</v>
      </c>
      <c r="E1365" t="str">
        <f>VLOOKUP(J1365,Location[],3,FALSE)</f>
        <v> Colorado</v>
      </c>
      <c r="F1365" t="str">
        <f>VLOOKUP(K1365,Dept[],2,FALSE)</f>
        <v>Legal</v>
      </c>
      <c r="G1365" s="11">
        <f t="shared" si="21"/>
        <v>42644</v>
      </c>
      <c r="H1365" t="str">
        <f>VLOOKUP(N1365,Status[],2,FALSE)</f>
        <v>Full-Time</v>
      </c>
      <c r="J1365" s="7">
        <v>1042</v>
      </c>
      <c r="K1365">
        <v>18</v>
      </c>
      <c r="L1365">
        <v>2016</v>
      </c>
      <c r="M1365">
        <v>10</v>
      </c>
      <c r="N1365">
        <v>1</v>
      </c>
    </row>
    <row r="1366" spans="1:14" x14ac:dyDescent="0.25">
      <c r="A1366" t="s">
        <v>3594</v>
      </c>
      <c r="B1366" t="s">
        <v>1552</v>
      </c>
      <c r="C1366" t="s">
        <v>1553</v>
      </c>
      <c r="D1366" t="str">
        <f>VLOOKUP(J1366,Location[],2,FALSE)</f>
        <v>Stockton</v>
      </c>
      <c r="E1366" t="str">
        <f>VLOOKUP(J1366,Location[],3,FALSE)</f>
        <v> California</v>
      </c>
      <c r="F1366" t="str">
        <f>VLOOKUP(K1366,Dept[],2,FALSE)</f>
        <v>Finance</v>
      </c>
      <c r="G1366" s="11">
        <f t="shared" si="21"/>
        <v>42278</v>
      </c>
      <c r="H1366" t="str">
        <f>VLOOKUP(N1366,Status[],2,FALSE)</f>
        <v>Full-Time</v>
      </c>
      <c r="J1366" s="7">
        <v>1061</v>
      </c>
      <c r="K1366">
        <v>15</v>
      </c>
      <c r="L1366">
        <v>2015</v>
      </c>
      <c r="M1366">
        <v>10</v>
      </c>
      <c r="N1366">
        <v>1</v>
      </c>
    </row>
    <row r="1367" spans="1:14" x14ac:dyDescent="0.25">
      <c r="A1367" t="s">
        <v>3595</v>
      </c>
      <c r="B1367" t="s">
        <v>85</v>
      </c>
      <c r="C1367" t="s">
        <v>1899</v>
      </c>
      <c r="D1367" t="str">
        <f>VLOOKUP(J1367,Location[],2,FALSE)</f>
        <v>Dallas</v>
      </c>
      <c r="E1367" t="str">
        <f>VLOOKUP(J1367,Location[],3,FALSE)</f>
        <v> Texas</v>
      </c>
      <c r="F1367" t="str">
        <f>VLOOKUP(K1367,Dept[],2,FALSE)</f>
        <v>Customer Support</v>
      </c>
      <c r="G1367" s="11">
        <f t="shared" si="21"/>
        <v>40787</v>
      </c>
      <c r="H1367" t="str">
        <f>VLOOKUP(N1367,Status[],2,FALSE)</f>
        <v>Part-Time</v>
      </c>
      <c r="J1367" s="7">
        <v>1009</v>
      </c>
      <c r="K1367">
        <v>14</v>
      </c>
      <c r="L1367">
        <v>2011</v>
      </c>
      <c r="M1367">
        <v>9</v>
      </c>
      <c r="N1367">
        <v>0</v>
      </c>
    </row>
    <row r="1368" spans="1:14" x14ac:dyDescent="0.25">
      <c r="A1368" t="s">
        <v>3596</v>
      </c>
      <c r="B1368" t="s">
        <v>261</v>
      </c>
      <c r="C1368" t="s">
        <v>2059</v>
      </c>
      <c r="D1368" t="str">
        <f>VLOOKUP(J1368,Location[],2,FALSE)</f>
        <v>New York City</v>
      </c>
      <c r="E1368" t="str">
        <f>VLOOKUP(J1368,Location[],3,FALSE)</f>
        <v> New York</v>
      </c>
      <c r="F1368" t="str">
        <f>VLOOKUP(K1368,Dept[],2,FALSE)</f>
        <v>Legal</v>
      </c>
      <c r="G1368" s="11">
        <f t="shared" si="21"/>
        <v>42795</v>
      </c>
      <c r="H1368" t="str">
        <f>VLOOKUP(N1368,Status[],2,FALSE)</f>
        <v>Full-Time</v>
      </c>
      <c r="J1368" s="7">
        <v>1001</v>
      </c>
      <c r="K1368">
        <v>18</v>
      </c>
      <c r="L1368">
        <v>2017</v>
      </c>
      <c r="M1368">
        <v>3</v>
      </c>
      <c r="N1368">
        <v>1</v>
      </c>
    </row>
    <row r="1369" spans="1:14" x14ac:dyDescent="0.25">
      <c r="A1369" t="s">
        <v>3597</v>
      </c>
      <c r="B1369" t="s">
        <v>1343</v>
      </c>
      <c r="C1369" t="s">
        <v>2035</v>
      </c>
      <c r="D1369" t="str">
        <f>VLOOKUP(J1369,Location[],2,FALSE)</f>
        <v>Washington, D.C.</v>
      </c>
      <c r="E1369" t="str">
        <f>VLOOKUP(J1369,Location[],3,FALSE)</f>
        <v> District of Columbia</v>
      </c>
      <c r="F1369" t="str">
        <f>VLOOKUP(K1369,Dept[],2,FALSE)</f>
        <v>Legal</v>
      </c>
      <c r="G1369" s="11">
        <f t="shared" si="21"/>
        <v>43009</v>
      </c>
      <c r="H1369" t="str">
        <f>VLOOKUP(N1369,Status[],2,FALSE)</f>
        <v>Full-Time</v>
      </c>
      <c r="J1369" s="7">
        <v>1020</v>
      </c>
      <c r="K1369">
        <v>18</v>
      </c>
      <c r="L1369">
        <v>2017</v>
      </c>
      <c r="M1369">
        <v>10</v>
      </c>
      <c r="N1369">
        <v>1</v>
      </c>
    </row>
    <row r="1370" spans="1:14" x14ac:dyDescent="0.25">
      <c r="A1370" t="s">
        <v>3598</v>
      </c>
      <c r="B1370" t="s">
        <v>1177</v>
      </c>
      <c r="C1370" t="s">
        <v>1178</v>
      </c>
      <c r="D1370" t="str">
        <f>VLOOKUP(J1370,Location[],2,FALSE)</f>
        <v>Charlotte</v>
      </c>
      <c r="E1370" t="str">
        <f>VLOOKUP(J1370,Location[],3,FALSE)</f>
        <v> North Carolina</v>
      </c>
      <c r="F1370" t="str">
        <f>VLOOKUP(K1370,Dept[],2,FALSE)</f>
        <v>IT</v>
      </c>
      <c r="G1370" s="11">
        <f t="shared" si="21"/>
        <v>41791</v>
      </c>
      <c r="H1370" t="str">
        <f>VLOOKUP(N1370,Status[],2,FALSE)</f>
        <v>Full-Time</v>
      </c>
      <c r="J1370" s="7">
        <v>1017</v>
      </c>
      <c r="K1370">
        <v>17</v>
      </c>
      <c r="L1370">
        <v>2014</v>
      </c>
      <c r="M1370">
        <v>6</v>
      </c>
      <c r="N1370">
        <v>1</v>
      </c>
    </row>
    <row r="1371" spans="1:14" x14ac:dyDescent="0.25">
      <c r="A1371" t="s">
        <v>3599</v>
      </c>
      <c r="B1371" t="s">
        <v>1355</v>
      </c>
      <c r="C1371" t="s">
        <v>1356</v>
      </c>
      <c r="D1371" t="str">
        <f>VLOOKUP(J1371,Location[],2,FALSE)</f>
        <v>San Jose</v>
      </c>
      <c r="E1371" t="str">
        <f>VLOOKUP(J1371,Location[],3,FALSE)</f>
        <v> California</v>
      </c>
      <c r="F1371" t="str">
        <f>VLOOKUP(K1371,Dept[],2,FALSE)</f>
        <v>Sales</v>
      </c>
      <c r="G1371" s="11">
        <f t="shared" si="21"/>
        <v>44470</v>
      </c>
      <c r="H1371" t="str">
        <f>VLOOKUP(N1371,Status[],2,FALSE)</f>
        <v>Full-Time</v>
      </c>
      <c r="J1371" s="7">
        <v>1010</v>
      </c>
      <c r="K1371">
        <v>22</v>
      </c>
      <c r="L1371">
        <v>2021</v>
      </c>
      <c r="M1371">
        <v>10</v>
      </c>
      <c r="N1371">
        <v>1</v>
      </c>
    </row>
    <row r="1372" spans="1:14" x14ac:dyDescent="0.25">
      <c r="A1372" t="s">
        <v>3600</v>
      </c>
      <c r="B1372" t="s">
        <v>747</v>
      </c>
      <c r="C1372" t="s">
        <v>640</v>
      </c>
      <c r="D1372" t="str">
        <f>VLOOKUP(J1372,Location[],2,FALSE)</f>
        <v>Louisville</v>
      </c>
      <c r="E1372" t="str">
        <f>VLOOKUP(J1372,Location[],3,FALSE)</f>
        <v> Kentucky</v>
      </c>
      <c r="F1372" t="str">
        <f>VLOOKUP(K1372,Dept[],2,FALSE)</f>
        <v>Administration</v>
      </c>
      <c r="G1372" s="11">
        <f t="shared" si="21"/>
        <v>44774</v>
      </c>
      <c r="H1372" t="str">
        <f>VLOOKUP(N1372,Status[],2,FALSE)</f>
        <v>Full-Time</v>
      </c>
      <c r="J1372" s="7">
        <v>1029</v>
      </c>
      <c r="K1372">
        <v>12</v>
      </c>
      <c r="L1372">
        <v>2022</v>
      </c>
      <c r="M1372">
        <v>8</v>
      </c>
      <c r="N1372">
        <v>1</v>
      </c>
    </row>
    <row r="1373" spans="1:14" x14ac:dyDescent="0.25">
      <c r="A1373" t="s">
        <v>3601</v>
      </c>
      <c r="B1373" t="s">
        <v>639</v>
      </c>
      <c r="C1373" t="s">
        <v>640</v>
      </c>
      <c r="D1373" t="str">
        <f>VLOOKUP(J1373,Location[],2,FALSE)</f>
        <v>Nashville</v>
      </c>
      <c r="E1373" t="str">
        <f>VLOOKUP(J1373,Location[],3,FALSE)</f>
        <v> Tennessee</v>
      </c>
      <c r="F1373" t="str">
        <f>VLOOKUP(K1373,Dept[],2,FALSE)</f>
        <v>Sales</v>
      </c>
      <c r="G1373" s="11">
        <f t="shared" si="21"/>
        <v>42795</v>
      </c>
      <c r="H1373" t="str">
        <f>VLOOKUP(N1373,Status[],2,FALSE)</f>
        <v>Full-Time</v>
      </c>
      <c r="J1373" s="7">
        <v>1024</v>
      </c>
      <c r="K1373">
        <v>22</v>
      </c>
      <c r="L1373">
        <v>2017</v>
      </c>
      <c r="M1373">
        <v>3</v>
      </c>
      <c r="N1373">
        <v>1</v>
      </c>
    </row>
    <row r="1374" spans="1:14" x14ac:dyDescent="0.25">
      <c r="A1374" t="s">
        <v>3602</v>
      </c>
      <c r="B1374" t="s">
        <v>563</v>
      </c>
      <c r="C1374" t="s">
        <v>564</v>
      </c>
      <c r="D1374" t="str">
        <f>VLOOKUP(J1374,Location[],2,FALSE)</f>
        <v>Glendale</v>
      </c>
      <c r="E1374" t="str">
        <f>VLOOKUP(J1374,Location[],3,FALSE)</f>
        <v> Arizona</v>
      </c>
      <c r="F1374" t="str">
        <f>VLOOKUP(K1374,Dept[],2,FALSE)</f>
        <v>Assessment</v>
      </c>
      <c r="G1374" s="11">
        <f t="shared" si="21"/>
        <v>43132</v>
      </c>
      <c r="H1374" t="str">
        <f>VLOOKUP(N1374,Status[],2,FALSE)</f>
        <v>Full-Time</v>
      </c>
      <c r="J1374" s="7">
        <v>1087</v>
      </c>
      <c r="K1374">
        <v>13</v>
      </c>
      <c r="L1374">
        <v>2018</v>
      </c>
      <c r="M1374">
        <v>2</v>
      </c>
      <c r="N1374">
        <v>1</v>
      </c>
    </row>
    <row r="1375" spans="1:14" x14ac:dyDescent="0.25">
      <c r="A1375" t="s">
        <v>3603</v>
      </c>
      <c r="B1375" t="s">
        <v>910</v>
      </c>
      <c r="C1375" t="s">
        <v>634</v>
      </c>
      <c r="D1375" t="str">
        <f>VLOOKUP(J1375,Location[],2,FALSE)</f>
        <v>Austin</v>
      </c>
      <c r="E1375" t="str">
        <f>VLOOKUP(J1375,Location[],3,FALSE)</f>
        <v> Texas</v>
      </c>
      <c r="F1375" t="str">
        <f>VLOOKUP(K1375,Dept[],2,FALSE)</f>
        <v>Media</v>
      </c>
      <c r="G1375" s="11">
        <f t="shared" si="21"/>
        <v>44866</v>
      </c>
      <c r="H1375" t="str">
        <f>VLOOKUP(N1375,Status[],2,FALSE)</f>
        <v>Part-Time</v>
      </c>
      <c r="J1375" s="7">
        <v>1011</v>
      </c>
      <c r="K1375">
        <v>20</v>
      </c>
      <c r="L1375">
        <v>2022</v>
      </c>
      <c r="M1375">
        <v>11</v>
      </c>
      <c r="N1375">
        <v>0</v>
      </c>
    </row>
    <row r="1376" spans="1:14" x14ac:dyDescent="0.25">
      <c r="A1376" t="s">
        <v>3604</v>
      </c>
      <c r="B1376" t="s">
        <v>836</v>
      </c>
      <c r="C1376" t="s">
        <v>634</v>
      </c>
      <c r="D1376" t="str">
        <f>VLOOKUP(J1376,Location[],2,FALSE)</f>
        <v>Sacramento</v>
      </c>
      <c r="E1376" t="str">
        <f>VLOOKUP(J1376,Location[],3,FALSE)</f>
        <v> California</v>
      </c>
      <c r="F1376" t="str">
        <f>VLOOKUP(K1376,Dept[],2,FALSE)</f>
        <v>R&amp;D</v>
      </c>
      <c r="G1376" s="11">
        <f t="shared" si="21"/>
        <v>41000</v>
      </c>
      <c r="H1376" t="str">
        <f>VLOOKUP(N1376,Status[],2,FALSE)</f>
        <v>Full-Time</v>
      </c>
      <c r="J1376" s="7">
        <v>1035</v>
      </c>
      <c r="K1376">
        <v>21</v>
      </c>
      <c r="L1376">
        <v>2012</v>
      </c>
      <c r="M1376">
        <v>4</v>
      </c>
      <c r="N1376">
        <v>1</v>
      </c>
    </row>
    <row r="1377" spans="1:14" x14ac:dyDescent="0.25">
      <c r="A1377" t="s">
        <v>3605</v>
      </c>
      <c r="B1377" t="s">
        <v>915</v>
      </c>
      <c r="C1377" t="s">
        <v>634</v>
      </c>
      <c r="D1377" t="str">
        <f>VLOOKUP(J1377,Location[],2,FALSE)</f>
        <v>Columbus</v>
      </c>
      <c r="E1377" t="str">
        <f>VLOOKUP(J1377,Location[],3,FALSE)</f>
        <v> Ohio</v>
      </c>
      <c r="F1377" t="str">
        <f>VLOOKUP(K1377,Dept[],2,FALSE)</f>
        <v>Customer Support</v>
      </c>
      <c r="G1377" s="11">
        <f t="shared" si="21"/>
        <v>43374</v>
      </c>
      <c r="H1377" t="str">
        <f>VLOOKUP(N1377,Status[],2,FALSE)</f>
        <v>Full-Time</v>
      </c>
      <c r="J1377" s="7">
        <v>1014</v>
      </c>
      <c r="K1377">
        <v>14</v>
      </c>
      <c r="L1377">
        <v>2018</v>
      </c>
      <c r="M1377">
        <v>10</v>
      </c>
      <c r="N1377">
        <v>1</v>
      </c>
    </row>
    <row r="1378" spans="1:14" x14ac:dyDescent="0.25">
      <c r="A1378" t="s">
        <v>3606</v>
      </c>
      <c r="B1378" t="s">
        <v>633</v>
      </c>
      <c r="C1378" t="s">
        <v>634</v>
      </c>
      <c r="D1378" t="str">
        <f>VLOOKUP(J1378,Location[],2,FALSE)</f>
        <v>Milwaukee</v>
      </c>
      <c r="E1378" t="str">
        <f>VLOOKUP(J1378,Location[],3,FALSE)</f>
        <v> Wisconsin</v>
      </c>
      <c r="F1378" t="str">
        <f>VLOOKUP(K1378,Dept[],2,FALSE)</f>
        <v>Finance</v>
      </c>
      <c r="G1378" s="11">
        <f t="shared" si="21"/>
        <v>42491</v>
      </c>
      <c r="H1378" t="str">
        <f>VLOOKUP(N1378,Status[],2,FALSE)</f>
        <v>Full-Time</v>
      </c>
      <c r="J1378" s="7">
        <v>1031</v>
      </c>
      <c r="K1378">
        <v>15</v>
      </c>
      <c r="L1378">
        <v>2016</v>
      </c>
      <c r="M1378">
        <v>5</v>
      </c>
      <c r="N1378">
        <v>1</v>
      </c>
    </row>
    <row r="1379" spans="1:14" x14ac:dyDescent="0.25">
      <c r="A1379" t="s">
        <v>3607</v>
      </c>
      <c r="B1379" t="s">
        <v>874</v>
      </c>
      <c r="C1379" t="s">
        <v>875</v>
      </c>
      <c r="D1379" t="str">
        <f>VLOOKUP(J1379,Location[],2,FALSE)</f>
        <v>New York City</v>
      </c>
      <c r="E1379" t="str">
        <f>VLOOKUP(J1379,Location[],3,FALSE)</f>
        <v> New York</v>
      </c>
      <c r="F1379" t="str">
        <f>VLOOKUP(K1379,Dept[],2,FALSE)</f>
        <v>Legal</v>
      </c>
      <c r="G1379" s="11">
        <f t="shared" si="21"/>
        <v>41609</v>
      </c>
      <c r="H1379" t="str">
        <f>VLOOKUP(N1379,Status[],2,FALSE)</f>
        <v>Full-Time</v>
      </c>
      <c r="J1379" s="7">
        <v>1001</v>
      </c>
      <c r="K1379">
        <v>18</v>
      </c>
      <c r="L1379">
        <v>2013</v>
      </c>
      <c r="M1379">
        <v>12</v>
      </c>
      <c r="N1379">
        <v>1</v>
      </c>
    </row>
    <row r="1380" spans="1:14" x14ac:dyDescent="0.25">
      <c r="A1380" t="s">
        <v>3608</v>
      </c>
      <c r="B1380" t="s">
        <v>261</v>
      </c>
      <c r="C1380" t="s">
        <v>1491</v>
      </c>
      <c r="D1380" t="str">
        <f>VLOOKUP(J1380,Location[],2,FALSE)</f>
        <v>Saint Paul</v>
      </c>
      <c r="E1380" t="str">
        <f>VLOOKUP(J1380,Location[],3,FALSE)</f>
        <v> Minnesota</v>
      </c>
      <c r="F1380" t="str">
        <f>VLOOKUP(K1380,Dept[],2,FALSE)</f>
        <v>Shipping</v>
      </c>
      <c r="G1380" s="11">
        <f t="shared" si="21"/>
        <v>41334</v>
      </c>
      <c r="H1380" t="str">
        <f>VLOOKUP(N1380,Status[],2,FALSE)</f>
        <v>Full-Time</v>
      </c>
      <c r="J1380" s="7">
        <v>1063</v>
      </c>
      <c r="K1380">
        <v>23</v>
      </c>
      <c r="L1380">
        <v>2013</v>
      </c>
      <c r="M1380">
        <v>3</v>
      </c>
      <c r="N1380">
        <v>1</v>
      </c>
    </row>
    <row r="1381" spans="1:14" x14ac:dyDescent="0.25">
      <c r="A1381" t="s">
        <v>3609</v>
      </c>
      <c r="B1381" t="s">
        <v>1500</v>
      </c>
      <c r="C1381" t="s">
        <v>1491</v>
      </c>
      <c r="D1381" t="str">
        <f>VLOOKUP(J1381,Location[],2,FALSE)</f>
        <v>Pittsburgh</v>
      </c>
      <c r="E1381" t="str">
        <f>VLOOKUP(J1381,Location[],3,FALSE)</f>
        <v> Pennsylvania</v>
      </c>
      <c r="F1381" t="str">
        <f>VLOOKUP(K1381,Dept[],2,FALSE)</f>
        <v>Accounting</v>
      </c>
      <c r="G1381" s="11">
        <f t="shared" si="21"/>
        <v>41091</v>
      </c>
      <c r="H1381" t="str">
        <f>VLOOKUP(N1381,Status[],2,FALSE)</f>
        <v>Full-Time</v>
      </c>
      <c r="J1381" s="7">
        <v>1065</v>
      </c>
      <c r="K1381">
        <v>11</v>
      </c>
      <c r="L1381">
        <v>2012</v>
      </c>
      <c r="M1381">
        <v>7</v>
      </c>
      <c r="N1381">
        <v>1</v>
      </c>
    </row>
    <row r="1382" spans="1:14" x14ac:dyDescent="0.25">
      <c r="A1382" t="s">
        <v>3610</v>
      </c>
      <c r="B1382" t="s">
        <v>1816</v>
      </c>
      <c r="C1382" t="s">
        <v>1817</v>
      </c>
      <c r="D1382" t="str">
        <f>VLOOKUP(J1382,Location[],2,FALSE)</f>
        <v>Nashville</v>
      </c>
      <c r="E1382" t="str">
        <f>VLOOKUP(J1382,Location[],3,FALSE)</f>
        <v> Tennessee</v>
      </c>
      <c r="F1382" t="str">
        <f>VLOOKUP(K1382,Dept[],2,FALSE)</f>
        <v>R&amp;D</v>
      </c>
      <c r="G1382" s="11">
        <f t="shared" si="21"/>
        <v>45170</v>
      </c>
      <c r="H1382" t="str">
        <f>VLOOKUP(N1382,Status[],2,FALSE)</f>
        <v>Full-Time</v>
      </c>
      <c r="J1382" s="7">
        <v>1024</v>
      </c>
      <c r="K1382">
        <v>21</v>
      </c>
      <c r="L1382">
        <v>2023</v>
      </c>
      <c r="M1382">
        <v>9</v>
      </c>
      <c r="N1382">
        <v>1</v>
      </c>
    </row>
    <row r="1383" spans="1:14" x14ac:dyDescent="0.25">
      <c r="A1383" t="s">
        <v>3611</v>
      </c>
      <c r="B1383" t="s">
        <v>716</v>
      </c>
      <c r="C1383" t="s">
        <v>1107</v>
      </c>
      <c r="D1383" t="str">
        <f>VLOOKUP(J1383,Location[],2,FALSE)</f>
        <v>Dallas</v>
      </c>
      <c r="E1383" t="str">
        <f>VLOOKUP(J1383,Location[],3,FALSE)</f>
        <v> Texas</v>
      </c>
      <c r="F1383" t="str">
        <f>VLOOKUP(K1383,Dept[],2,FALSE)</f>
        <v>Customer Support</v>
      </c>
      <c r="G1383" s="11">
        <f t="shared" si="21"/>
        <v>41760</v>
      </c>
      <c r="H1383" t="str">
        <f>VLOOKUP(N1383,Status[],2,FALSE)</f>
        <v>Full-Time</v>
      </c>
      <c r="J1383" s="7">
        <v>1009</v>
      </c>
      <c r="K1383">
        <v>14</v>
      </c>
      <c r="L1383">
        <v>2014</v>
      </c>
      <c r="M1383">
        <v>5</v>
      </c>
      <c r="N1383">
        <v>1</v>
      </c>
    </row>
    <row r="1384" spans="1:14" x14ac:dyDescent="0.25">
      <c r="A1384" t="s">
        <v>3612</v>
      </c>
      <c r="B1384" t="s">
        <v>1493</v>
      </c>
      <c r="C1384" t="s">
        <v>1494</v>
      </c>
      <c r="D1384" t="str">
        <f>VLOOKUP(J1384,Location[],2,FALSE)</f>
        <v>San Diego</v>
      </c>
      <c r="E1384" t="str">
        <f>VLOOKUP(J1384,Location[],3,FALSE)</f>
        <v> California</v>
      </c>
      <c r="F1384" t="str">
        <f>VLOOKUP(K1384,Dept[],2,FALSE)</f>
        <v>Administration</v>
      </c>
      <c r="G1384" s="11">
        <f t="shared" si="21"/>
        <v>42826</v>
      </c>
      <c r="H1384" t="str">
        <f>VLOOKUP(N1384,Status[],2,FALSE)</f>
        <v>Full-Time</v>
      </c>
      <c r="J1384" s="7">
        <v>1008</v>
      </c>
      <c r="K1384">
        <v>12</v>
      </c>
      <c r="L1384">
        <v>2017</v>
      </c>
      <c r="M1384">
        <v>4</v>
      </c>
      <c r="N1384">
        <v>1</v>
      </c>
    </row>
    <row r="1385" spans="1:14" x14ac:dyDescent="0.25">
      <c r="A1385" t="s">
        <v>3613</v>
      </c>
      <c r="B1385" t="s">
        <v>163</v>
      </c>
      <c r="C1385" t="s">
        <v>1707</v>
      </c>
      <c r="D1385" t="str">
        <f>VLOOKUP(J1385,Location[],2,FALSE)</f>
        <v>Virginia Beach</v>
      </c>
      <c r="E1385" t="str">
        <f>VLOOKUP(J1385,Location[],3,FALSE)</f>
        <v> Virginia</v>
      </c>
      <c r="F1385" t="str">
        <f>VLOOKUP(K1385,Dept[],2,FALSE)</f>
        <v>Sales</v>
      </c>
      <c r="G1385" s="11">
        <f t="shared" si="21"/>
        <v>44378</v>
      </c>
      <c r="H1385" t="str">
        <f>VLOOKUP(N1385,Status[],2,FALSE)</f>
        <v>Full-Time</v>
      </c>
      <c r="J1385" s="7">
        <v>1044</v>
      </c>
      <c r="K1385">
        <v>22</v>
      </c>
      <c r="L1385">
        <v>2021</v>
      </c>
      <c r="M1385">
        <v>7</v>
      </c>
      <c r="N1385">
        <v>1</v>
      </c>
    </row>
    <row r="1386" spans="1:14" x14ac:dyDescent="0.25">
      <c r="A1386" t="s">
        <v>3614</v>
      </c>
      <c r="B1386" t="s">
        <v>1756</v>
      </c>
      <c r="C1386" t="s">
        <v>1707</v>
      </c>
      <c r="D1386" t="str">
        <f>VLOOKUP(J1386,Location[],2,FALSE)</f>
        <v>Fort Worth</v>
      </c>
      <c r="E1386" t="str">
        <f>VLOOKUP(J1386,Location[],3,FALSE)</f>
        <v> Texas</v>
      </c>
      <c r="F1386" t="str">
        <f>VLOOKUP(K1386,Dept[],2,FALSE)</f>
        <v>Accounting</v>
      </c>
      <c r="G1386" s="11">
        <f t="shared" si="21"/>
        <v>44835</v>
      </c>
      <c r="H1386" t="str">
        <f>VLOOKUP(N1386,Status[],2,FALSE)</f>
        <v>Full-Time</v>
      </c>
      <c r="J1386" s="7">
        <v>1015</v>
      </c>
      <c r="K1386">
        <v>11</v>
      </c>
      <c r="L1386">
        <v>2022</v>
      </c>
      <c r="M1386">
        <v>10</v>
      </c>
      <c r="N1386">
        <v>1</v>
      </c>
    </row>
    <row r="1387" spans="1:14" x14ac:dyDescent="0.25">
      <c r="A1387" t="s">
        <v>3615</v>
      </c>
      <c r="B1387" t="s">
        <v>1363</v>
      </c>
      <c r="C1387" t="s">
        <v>1707</v>
      </c>
      <c r="D1387" t="str">
        <f>VLOOKUP(J1387,Location[],2,FALSE)</f>
        <v>Tulsa</v>
      </c>
      <c r="E1387" t="str">
        <f>VLOOKUP(J1387,Location[],3,FALSE)</f>
        <v> Oklahoma</v>
      </c>
      <c r="F1387" t="str">
        <f>VLOOKUP(K1387,Dept[],2,FALSE)</f>
        <v>Marketing</v>
      </c>
      <c r="G1387" s="11">
        <f t="shared" si="21"/>
        <v>45170</v>
      </c>
      <c r="H1387" t="str">
        <f>VLOOKUP(N1387,Status[],2,FALSE)</f>
        <v>Full-Time</v>
      </c>
      <c r="J1387" s="7">
        <v>1047</v>
      </c>
      <c r="K1387">
        <v>19</v>
      </c>
      <c r="L1387">
        <v>2023</v>
      </c>
      <c r="M1387">
        <v>9</v>
      </c>
      <c r="N1387">
        <v>1</v>
      </c>
    </row>
    <row r="1388" spans="1:14" x14ac:dyDescent="0.25">
      <c r="A1388" t="s">
        <v>3616</v>
      </c>
      <c r="B1388" t="s">
        <v>1372</v>
      </c>
      <c r="C1388" t="s">
        <v>1373</v>
      </c>
      <c r="D1388" t="str">
        <f>VLOOKUP(J1388,Location[],2,FALSE)</f>
        <v>Columbus</v>
      </c>
      <c r="E1388" t="str">
        <f>VLOOKUP(J1388,Location[],3,FALSE)</f>
        <v> Ohio</v>
      </c>
      <c r="F1388" t="str">
        <f>VLOOKUP(K1388,Dept[],2,FALSE)</f>
        <v>Finance</v>
      </c>
      <c r="G1388" s="11">
        <f t="shared" si="21"/>
        <v>44743</v>
      </c>
      <c r="H1388" t="str">
        <f>VLOOKUP(N1388,Status[],2,FALSE)</f>
        <v>Full-Time</v>
      </c>
      <c r="J1388" s="7">
        <v>1014</v>
      </c>
      <c r="K1388">
        <v>15</v>
      </c>
      <c r="L1388">
        <v>2022</v>
      </c>
      <c r="M1388">
        <v>7</v>
      </c>
      <c r="N1388">
        <v>1</v>
      </c>
    </row>
    <row r="1389" spans="1:14" x14ac:dyDescent="0.25">
      <c r="A1389" t="s">
        <v>3617</v>
      </c>
      <c r="B1389" t="s">
        <v>47</v>
      </c>
      <c r="C1389" t="s">
        <v>1946</v>
      </c>
      <c r="D1389" t="str">
        <f>VLOOKUP(J1389,Location[],2,FALSE)</f>
        <v>Philadelphia</v>
      </c>
      <c r="E1389" t="str">
        <f>VLOOKUP(J1389,Location[],3,FALSE)</f>
        <v> Pennsylvania</v>
      </c>
      <c r="F1389" t="str">
        <f>VLOOKUP(K1389,Dept[],2,FALSE)</f>
        <v>Accounting</v>
      </c>
      <c r="G1389" s="11">
        <f t="shared" si="21"/>
        <v>44713</v>
      </c>
      <c r="H1389" t="str">
        <f>VLOOKUP(N1389,Status[],2,FALSE)</f>
        <v>Full-Time</v>
      </c>
      <c r="J1389" s="7">
        <v>1006</v>
      </c>
      <c r="K1389">
        <v>11</v>
      </c>
      <c r="L1389">
        <v>2022</v>
      </c>
      <c r="M1389">
        <v>6</v>
      </c>
      <c r="N1389">
        <v>1</v>
      </c>
    </row>
    <row r="1390" spans="1:14" x14ac:dyDescent="0.25">
      <c r="A1390" t="s">
        <v>3618</v>
      </c>
      <c r="B1390" t="s">
        <v>337</v>
      </c>
      <c r="C1390" t="s">
        <v>338</v>
      </c>
      <c r="D1390" t="str">
        <f>VLOOKUP(J1390,Location[],2,FALSE)</f>
        <v>Minneapolis</v>
      </c>
      <c r="E1390" t="str">
        <f>VLOOKUP(J1390,Location[],3,FALSE)</f>
        <v> Minnesota</v>
      </c>
      <c r="F1390" t="str">
        <f>VLOOKUP(K1390,Dept[],2,FALSE)</f>
        <v>Legal</v>
      </c>
      <c r="G1390" s="11">
        <f t="shared" si="21"/>
        <v>41791</v>
      </c>
      <c r="H1390" t="str">
        <f>VLOOKUP(N1390,Status[],2,FALSE)</f>
        <v>Full-Time</v>
      </c>
      <c r="J1390" s="7">
        <v>1046</v>
      </c>
      <c r="K1390">
        <v>18</v>
      </c>
      <c r="L1390">
        <v>2014</v>
      </c>
      <c r="M1390">
        <v>6</v>
      </c>
      <c r="N1390">
        <v>1</v>
      </c>
    </row>
    <row r="1391" spans="1:14" x14ac:dyDescent="0.25">
      <c r="A1391" t="s">
        <v>3619</v>
      </c>
      <c r="B1391" t="s">
        <v>1926</v>
      </c>
      <c r="C1391" t="s">
        <v>473</v>
      </c>
      <c r="D1391" t="str">
        <f>VLOOKUP(J1391,Location[],2,FALSE)</f>
        <v>Austin</v>
      </c>
      <c r="E1391" t="str">
        <f>VLOOKUP(J1391,Location[],3,FALSE)</f>
        <v> Texas</v>
      </c>
      <c r="F1391" t="str">
        <f>VLOOKUP(K1391,Dept[],2,FALSE)</f>
        <v>Legal</v>
      </c>
      <c r="G1391" s="11">
        <f t="shared" si="21"/>
        <v>41395</v>
      </c>
      <c r="H1391" t="str">
        <f>VLOOKUP(N1391,Status[],2,FALSE)</f>
        <v>Full-Time</v>
      </c>
      <c r="J1391" s="7">
        <v>1011</v>
      </c>
      <c r="K1391">
        <v>18</v>
      </c>
      <c r="L1391">
        <v>2013</v>
      </c>
      <c r="M1391">
        <v>5</v>
      </c>
      <c r="N1391">
        <v>1</v>
      </c>
    </row>
    <row r="1392" spans="1:14" x14ac:dyDescent="0.25">
      <c r="A1392" t="s">
        <v>3620</v>
      </c>
      <c r="B1392" t="s">
        <v>280</v>
      </c>
      <c r="C1392" t="s">
        <v>473</v>
      </c>
      <c r="D1392" t="str">
        <f>VLOOKUP(J1392,Location[],2,FALSE)</f>
        <v>Chandler</v>
      </c>
      <c r="E1392" t="str">
        <f>VLOOKUP(J1392,Location[],3,FALSE)</f>
        <v> Arizona</v>
      </c>
      <c r="F1392" t="str">
        <f>VLOOKUP(K1392,Dept[],2,FALSE)</f>
        <v>Human Resources</v>
      </c>
      <c r="G1392" s="11">
        <f t="shared" si="21"/>
        <v>43040</v>
      </c>
      <c r="H1392" t="str">
        <f>VLOOKUP(N1392,Status[],2,FALSE)</f>
        <v>Part-Time</v>
      </c>
      <c r="J1392" s="7">
        <v>1084</v>
      </c>
      <c r="K1392">
        <v>16</v>
      </c>
      <c r="L1392">
        <v>2017</v>
      </c>
      <c r="M1392">
        <v>11</v>
      </c>
      <c r="N1392">
        <v>0</v>
      </c>
    </row>
    <row r="1393" spans="1:14" x14ac:dyDescent="0.25">
      <c r="A1393" t="s">
        <v>3621</v>
      </c>
      <c r="B1393" t="s">
        <v>1718</v>
      </c>
      <c r="C1393" t="s">
        <v>473</v>
      </c>
      <c r="D1393" t="str">
        <f>VLOOKUP(J1393,Location[],2,FALSE)</f>
        <v>Saint Paul</v>
      </c>
      <c r="E1393" t="str">
        <f>VLOOKUP(J1393,Location[],3,FALSE)</f>
        <v> Minnesota</v>
      </c>
      <c r="F1393" t="str">
        <f>VLOOKUP(K1393,Dept[],2,FALSE)</f>
        <v>IT</v>
      </c>
      <c r="G1393" s="11">
        <f t="shared" si="21"/>
        <v>41306</v>
      </c>
      <c r="H1393" t="str">
        <f>VLOOKUP(N1393,Status[],2,FALSE)</f>
        <v>Part-Time</v>
      </c>
      <c r="J1393" s="7">
        <v>1063</v>
      </c>
      <c r="K1393">
        <v>17</v>
      </c>
      <c r="L1393">
        <v>2013</v>
      </c>
      <c r="M1393">
        <v>2</v>
      </c>
      <c r="N1393">
        <v>0</v>
      </c>
    </row>
    <row r="1394" spans="1:14" x14ac:dyDescent="0.25">
      <c r="A1394" t="s">
        <v>3622</v>
      </c>
      <c r="B1394" t="s">
        <v>1405</v>
      </c>
      <c r="C1394" t="s">
        <v>473</v>
      </c>
      <c r="D1394" t="str">
        <f>VLOOKUP(J1394,Location[],2,FALSE)</f>
        <v>Cleveland</v>
      </c>
      <c r="E1394" t="str">
        <f>VLOOKUP(J1394,Location[],3,FALSE)</f>
        <v> Ohio</v>
      </c>
      <c r="F1394" t="str">
        <f>VLOOKUP(K1394,Dept[],2,FALSE)</f>
        <v>Administration</v>
      </c>
      <c r="G1394" s="11">
        <f t="shared" si="21"/>
        <v>41548</v>
      </c>
      <c r="H1394" t="str">
        <f>VLOOKUP(N1394,Status[],2,FALSE)</f>
        <v>Part-Time</v>
      </c>
      <c r="J1394" s="7">
        <v>1051</v>
      </c>
      <c r="K1394">
        <v>12</v>
      </c>
      <c r="L1394">
        <v>2013</v>
      </c>
      <c r="M1394">
        <v>10</v>
      </c>
      <c r="N1394">
        <v>0</v>
      </c>
    </row>
    <row r="1395" spans="1:14" x14ac:dyDescent="0.25">
      <c r="A1395" t="s">
        <v>3623</v>
      </c>
      <c r="B1395" t="s">
        <v>429</v>
      </c>
      <c r="C1395" t="s">
        <v>538</v>
      </c>
      <c r="D1395" t="str">
        <f>VLOOKUP(J1395,Location[],2,FALSE)</f>
        <v>Chicago</v>
      </c>
      <c r="E1395" t="str">
        <f>VLOOKUP(J1395,Location[],3,FALSE)</f>
        <v> Illinois</v>
      </c>
      <c r="F1395" t="str">
        <f>VLOOKUP(K1395,Dept[],2,FALSE)</f>
        <v>IT</v>
      </c>
      <c r="G1395" s="11">
        <f t="shared" si="21"/>
        <v>42552</v>
      </c>
      <c r="H1395" t="str">
        <f>VLOOKUP(N1395,Status[],2,FALSE)</f>
        <v>Full-Time</v>
      </c>
      <c r="J1395" s="7">
        <v>1003</v>
      </c>
      <c r="K1395">
        <v>17</v>
      </c>
      <c r="L1395">
        <v>2016</v>
      </c>
      <c r="M1395">
        <v>7</v>
      </c>
      <c r="N1395">
        <v>1</v>
      </c>
    </row>
    <row r="1396" spans="1:14" x14ac:dyDescent="0.25">
      <c r="A1396" t="s">
        <v>3624</v>
      </c>
      <c r="B1396" t="s">
        <v>235</v>
      </c>
      <c r="C1396" t="s">
        <v>523</v>
      </c>
      <c r="D1396" t="str">
        <f>VLOOKUP(J1396,Location[],2,FALSE)</f>
        <v>New York City</v>
      </c>
      <c r="E1396" t="str">
        <f>VLOOKUP(J1396,Location[],3,FALSE)</f>
        <v> New York</v>
      </c>
      <c r="F1396" t="str">
        <f>VLOOKUP(K1396,Dept[],2,FALSE)</f>
        <v>R&amp;D</v>
      </c>
      <c r="G1396" s="11">
        <f t="shared" si="21"/>
        <v>41091</v>
      </c>
      <c r="H1396" t="str">
        <f>VLOOKUP(N1396,Status[],2,FALSE)</f>
        <v>Full-Time</v>
      </c>
      <c r="J1396" s="7">
        <v>1001</v>
      </c>
      <c r="K1396">
        <v>21</v>
      </c>
      <c r="L1396">
        <v>2012</v>
      </c>
      <c r="M1396">
        <v>7</v>
      </c>
      <c r="N1396">
        <v>1</v>
      </c>
    </row>
    <row r="1397" spans="1:14" x14ac:dyDescent="0.25">
      <c r="A1397" t="s">
        <v>3625</v>
      </c>
      <c r="B1397" t="s">
        <v>552</v>
      </c>
      <c r="C1397" t="s">
        <v>1486</v>
      </c>
      <c r="D1397" t="str">
        <f>VLOOKUP(J1397,Location[],2,FALSE)</f>
        <v>Honolulu</v>
      </c>
      <c r="E1397" t="str">
        <f>VLOOKUP(J1397,Location[],3,FALSE)</f>
        <v> Hawaii</v>
      </c>
      <c r="F1397" t="str">
        <f>VLOOKUP(K1397,Dept[],2,FALSE)</f>
        <v>IT</v>
      </c>
      <c r="G1397" s="11">
        <f t="shared" si="21"/>
        <v>40817</v>
      </c>
      <c r="H1397" t="str">
        <f>VLOOKUP(N1397,Status[],2,FALSE)</f>
        <v>Full-Time</v>
      </c>
      <c r="J1397" s="7">
        <v>1056</v>
      </c>
      <c r="K1397">
        <v>17</v>
      </c>
      <c r="L1397">
        <v>2011</v>
      </c>
      <c r="M1397">
        <v>10</v>
      </c>
      <c r="N1397">
        <v>1</v>
      </c>
    </row>
    <row r="1398" spans="1:14" x14ac:dyDescent="0.25">
      <c r="A1398" t="s">
        <v>3626</v>
      </c>
      <c r="B1398" t="s">
        <v>1397</v>
      </c>
      <c r="C1398" t="s">
        <v>77</v>
      </c>
      <c r="D1398" t="str">
        <f>VLOOKUP(J1398,Location[],2,FALSE)</f>
        <v>Houston</v>
      </c>
      <c r="E1398" t="str">
        <f>VLOOKUP(J1398,Location[],3,FALSE)</f>
        <v> Texas</v>
      </c>
      <c r="F1398" t="str">
        <f>VLOOKUP(K1398,Dept[],2,FALSE)</f>
        <v>Customer Support</v>
      </c>
      <c r="G1398" s="11">
        <f t="shared" si="21"/>
        <v>41791</v>
      </c>
      <c r="H1398" t="str">
        <f>VLOOKUP(N1398,Status[],2,FALSE)</f>
        <v>Part-Time</v>
      </c>
      <c r="J1398" s="7">
        <v>1004</v>
      </c>
      <c r="K1398">
        <v>14</v>
      </c>
      <c r="L1398">
        <v>2014</v>
      </c>
      <c r="M1398">
        <v>6</v>
      </c>
      <c r="N1398">
        <v>0</v>
      </c>
    </row>
    <row r="1399" spans="1:14" x14ac:dyDescent="0.25">
      <c r="A1399" t="s">
        <v>3627</v>
      </c>
      <c r="B1399" t="s">
        <v>92</v>
      </c>
      <c r="C1399" t="s">
        <v>366</v>
      </c>
      <c r="D1399" t="str">
        <f>VLOOKUP(J1399,Location[],2,FALSE)</f>
        <v>Aurora</v>
      </c>
      <c r="E1399" t="str">
        <f>VLOOKUP(J1399,Location[],3,FALSE)</f>
        <v> Colorado</v>
      </c>
      <c r="F1399" t="str">
        <f>VLOOKUP(K1399,Dept[],2,FALSE)</f>
        <v>Legal</v>
      </c>
      <c r="G1399" s="11">
        <f t="shared" si="21"/>
        <v>42614</v>
      </c>
      <c r="H1399" t="str">
        <f>VLOOKUP(N1399,Status[],2,FALSE)</f>
        <v>Part-Time</v>
      </c>
      <c r="J1399" s="7">
        <v>1054</v>
      </c>
      <c r="K1399">
        <v>18</v>
      </c>
      <c r="L1399">
        <v>2016</v>
      </c>
      <c r="M1399">
        <v>9</v>
      </c>
      <c r="N1399">
        <v>0</v>
      </c>
    </row>
    <row r="1400" spans="1:14" x14ac:dyDescent="0.25">
      <c r="A1400" t="s">
        <v>3628</v>
      </c>
      <c r="B1400" t="s">
        <v>420</v>
      </c>
      <c r="C1400" t="s">
        <v>366</v>
      </c>
      <c r="D1400" t="str">
        <f>VLOOKUP(J1400,Location[],2,FALSE)</f>
        <v>Los Angeles</v>
      </c>
      <c r="E1400" t="str">
        <f>VLOOKUP(J1400,Location[],3,FALSE)</f>
        <v> California</v>
      </c>
      <c r="F1400" t="str">
        <f>VLOOKUP(K1400,Dept[],2,FALSE)</f>
        <v>Shipping</v>
      </c>
      <c r="G1400" s="11">
        <f t="shared" si="21"/>
        <v>41456</v>
      </c>
      <c r="H1400" t="str">
        <f>VLOOKUP(N1400,Status[],2,FALSE)</f>
        <v>Full-Time</v>
      </c>
      <c r="J1400" s="7">
        <v>1002</v>
      </c>
      <c r="K1400">
        <v>23</v>
      </c>
      <c r="L1400">
        <v>2013</v>
      </c>
      <c r="M1400">
        <v>7</v>
      </c>
      <c r="N1400">
        <v>1</v>
      </c>
    </row>
    <row r="1401" spans="1:14" x14ac:dyDescent="0.25">
      <c r="A1401" t="s">
        <v>3629</v>
      </c>
      <c r="B1401" t="s">
        <v>2039</v>
      </c>
      <c r="C1401" t="s">
        <v>366</v>
      </c>
      <c r="D1401" t="str">
        <f>VLOOKUP(J1401,Location[],2,FALSE)</f>
        <v>San Antonio</v>
      </c>
      <c r="E1401" t="str">
        <f>VLOOKUP(J1401,Location[],3,FALSE)</f>
        <v> Texas</v>
      </c>
      <c r="F1401" t="str">
        <f>VLOOKUP(K1401,Dept[],2,FALSE)</f>
        <v>Accounting</v>
      </c>
      <c r="G1401" s="11">
        <f t="shared" si="21"/>
        <v>42644</v>
      </c>
      <c r="H1401" t="str">
        <f>VLOOKUP(N1401,Status[],2,FALSE)</f>
        <v>Full-Time</v>
      </c>
      <c r="J1401" s="7">
        <v>1007</v>
      </c>
      <c r="K1401">
        <v>11</v>
      </c>
      <c r="L1401">
        <v>2016</v>
      </c>
      <c r="M1401">
        <v>10</v>
      </c>
      <c r="N1401">
        <v>1</v>
      </c>
    </row>
    <row r="1402" spans="1:14" x14ac:dyDescent="0.25">
      <c r="A1402" t="s">
        <v>3630</v>
      </c>
      <c r="B1402" t="s">
        <v>1343</v>
      </c>
      <c r="C1402" t="s">
        <v>366</v>
      </c>
      <c r="D1402" t="str">
        <f>VLOOKUP(J1402,Location[],2,FALSE)</f>
        <v>Orlando</v>
      </c>
      <c r="E1402" t="str">
        <f>VLOOKUP(J1402,Location[],3,FALSE)</f>
        <v> Florida</v>
      </c>
      <c r="F1402" t="str">
        <f>VLOOKUP(K1402,Dept[],2,FALSE)</f>
        <v>Customer Support</v>
      </c>
      <c r="G1402" s="11">
        <f t="shared" si="21"/>
        <v>43101</v>
      </c>
      <c r="H1402" t="str">
        <f>VLOOKUP(N1402,Status[],2,FALSE)</f>
        <v>Full-Time</v>
      </c>
      <c r="J1402" s="7">
        <v>1072</v>
      </c>
      <c r="K1402">
        <v>14</v>
      </c>
      <c r="L1402">
        <v>2018</v>
      </c>
      <c r="M1402">
        <v>1</v>
      </c>
      <c r="N1402">
        <v>1</v>
      </c>
    </row>
    <row r="1403" spans="1:14" x14ac:dyDescent="0.25">
      <c r="A1403" t="s">
        <v>3631</v>
      </c>
      <c r="B1403" t="s">
        <v>365</v>
      </c>
      <c r="C1403" t="s">
        <v>366</v>
      </c>
      <c r="D1403" t="str">
        <f>VLOOKUP(J1403,Location[],2,FALSE)</f>
        <v>Philadelphia</v>
      </c>
      <c r="E1403" t="str">
        <f>VLOOKUP(J1403,Location[],3,FALSE)</f>
        <v> Pennsylvania</v>
      </c>
      <c r="F1403" t="str">
        <f>VLOOKUP(K1403,Dept[],2,FALSE)</f>
        <v>Accounting</v>
      </c>
      <c r="G1403" s="11">
        <f t="shared" si="21"/>
        <v>42583</v>
      </c>
      <c r="H1403" t="str">
        <f>VLOOKUP(N1403,Status[],2,FALSE)</f>
        <v>Full-Time</v>
      </c>
      <c r="J1403" s="7">
        <v>1006</v>
      </c>
      <c r="K1403">
        <v>11</v>
      </c>
      <c r="L1403">
        <v>2016</v>
      </c>
      <c r="M1403">
        <v>8</v>
      </c>
      <c r="N1403">
        <v>1</v>
      </c>
    </row>
    <row r="1404" spans="1:14" x14ac:dyDescent="0.25">
      <c r="A1404" t="s">
        <v>3632</v>
      </c>
      <c r="B1404" t="s">
        <v>45</v>
      </c>
      <c r="C1404" t="s">
        <v>366</v>
      </c>
      <c r="D1404" t="str">
        <f>VLOOKUP(J1404,Location[],2,FALSE)</f>
        <v>San Antonio</v>
      </c>
      <c r="E1404" t="str">
        <f>VLOOKUP(J1404,Location[],3,FALSE)</f>
        <v> Texas</v>
      </c>
      <c r="F1404" t="str">
        <f>VLOOKUP(K1404,Dept[],2,FALSE)</f>
        <v>R&amp;D</v>
      </c>
      <c r="G1404" s="11">
        <f t="shared" si="21"/>
        <v>42583</v>
      </c>
      <c r="H1404" t="str">
        <f>VLOOKUP(N1404,Status[],2,FALSE)</f>
        <v>Full-Time</v>
      </c>
      <c r="J1404" s="7">
        <v>1007</v>
      </c>
      <c r="K1404">
        <v>21</v>
      </c>
      <c r="L1404">
        <v>2016</v>
      </c>
      <c r="M1404">
        <v>8</v>
      </c>
      <c r="N1404">
        <v>1</v>
      </c>
    </row>
    <row r="1405" spans="1:14" x14ac:dyDescent="0.25">
      <c r="A1405" t="s">
        <v>3633</v>
      </c>
      <c r="B1405" t="s">
        <v>83</v>
      </c>
      <c r="C1405" t="s">
        <v>755</v>
      </c>
      <c r="D1405" t="str">
        <f>VLOOKUP(J1405,Location[],2,FALSE)</f>
        <v>Laredo</v>
      </c>
      <c r="E1405" t="str">
        <f>VLOOKUP(J1405,Location[],3,FALSE)</f>
        <v> Texas</v>
      </c>
      <c r="F1405" t="str">
        <f>VLOOKUP(K1405,Dept[],2,FALSE)</f>
        <v>Accounting</v>
      </c>
      <c r="G1405" s="11">
        <f t="shared" si="21"/>
        <v>43344</v>
      </c>
      <c r="H1405" t="str">
        <f>VLOOKUP(N1405,Status[],2,FALSE)</f>
        <v>Full-Time</v>
      </c>
      <c r="J1405" s="7">
        <v>1080</v>
      </c>
      <c r="K1405">
        <v>11</v>
      </c>
      <c r="L1405">
        <v>2018</v>
      </c>
      <c r="M1405">
        <v>9</v>
      </c>
      <c r="N1405">
        <v>1</v>
      </c>
    </row>
    <row r="1406" spans="1:14" x14ac:dyDescent="0.25">
      <c r="A1406" t="s">
        <v>3634</v>
      </c>
      <c r="B1406" t="s">
        <v>179</v>
      </c>
      <c r="C1406" t="s">
        <v>561</v>
      </c>
      <c r="D1406" t="str">
        <f>VLOOKUP(J1406,Location[],2,FALSE)</f>
        <v>Nashville</v>
      </c>
      <c r="E1406" t="str">
        <f>VLOOKUP(J1406,Location[],3,FALSE)</f>
        <v> Tennessee</v>
      </c>
      <c r="F1406" t="str">
        <f>VLOOKUP(K1406,Dept[],2,FALSE)</f>
        <v>Shipping</v>
      </c>
      <c r="G1406" s="11">
        <f t="shared" si="21"/>
        <v>44866</v>
      </c>
      <c r="H1406" t="str">
        <f>VLOOKUP(N1406,Status[],2,FALSE)</f>
        <v>Full-Time</v>
      </c>
      <c r="J1406" s="7">
        <v>1024</v>
      </c>
      <c r="K1406">
        <v>23</v>
      </c>
      <c r="L1406">
        <v>2022</v>
      </c>
      <c r="M1406">
        <v>11</v>
      </c>
      <c r="N1406">
        <v>1</v>
      </c>
    </row>
    <row r="1407" spans="1:14" x14ac:dyDescent="0.25">
      <c r="A1407" t="s">
        <v>3635</v>
      </c>
      <c r="B1407" t="s">
        <v>1082</v>
      </c>
      <c r="C1407" t="s">
        <v>158</v>
      </c>
      <c r="D1407" t="str">
        <f>VLOOKUP(J1407,Location[],2,FALSE)</f>
        <v>Charlotte</v>
      </c>
      <c r="E1407" t="str">
        <f>VLOOKUP(J1407,Location[],3,FALSE)</f>
        <v> North Carolina</v>
      </c>
      <c r="F1407" t="str">
        <f>VLOOKUP(K1407,Dept[],2,FALSE)</f>
        <v>Accounting</v>
      </c>
      <c r="G1407" s="11">
        <f t="shared" si="21"/>
        <v>43891</v>
      </c>
      <c r="H1407" t="str">
        <f>VLOOKUP(N1407,Status[],2,FALSE)</f>
        <v>Full-Time</v>
      </c>
      <c r="J1407" s="7">
        <v>1017</v>
      </c>
      <c r="K1407">
        <v>11</v>
      </c>
      <c r="L1407">
        <v>2020</v>
      </c>
      <c r="M1407">
        <v>3</v>
      </c>
      <c r="N1407">
        <v>1</v>
      </c>
    </row>
    <row r="1408" spans="1:14" x14ac:dyDescent="0.25">
      <c r="A1408" t="s">
        <v>3636</v>
      </c>
      <c r="B1408" t="s">
        <v>1117</v>
      </c>
      <c r="C1408" t="s">
        <v>158</v>
      </c>
      <c r="D1408" t="str">
        <f>VLOOKUP(J1408,Location[],2,FALSE)</f>
        <v>Austin</v>
      </c>
      <c r="E1408" t="str">
        <f>VLOOKUP(J1408,Location[],3,FALSE)</f>
        <v> Texas</v>
      </c>
      <c r="F1408" t="str">
        <f>VLOOKUP(K1408,Dept[],2,FALSE)</f>
        <v>Legal</v>
      </c>
      <c r="G1408" s="11">
        <f t="shared" si="21"/>
        <v>45017</v>
      </c>
      <c r="H1408" t="str">
        <f>VLOOKUP(N1408,Status[],2,FALSE)</f>
        <v>Full-Time</v>
      </c>
      <c r="J1408" s="7">
        <v>1011</v>
      </c>
      <c r="K1408">
        <v>18</v>
      </c>
      <c r="L1408">
        <v>2023</v>
      </c>
      <c r="M1408">
        <v>4</v>
      </c>
      <c r="N1408">
        <v>1</v>
      </c>
    </row>
    <row r="1409" spans="1:14" x14ac:dyDescent="0.25">
      <c r="A1409" t="s">
        <v>3196</v>
      </c>
      <c r="B1409" t="s">
        <v>1675</v>
      </c>
      <c r="C1409" t="s">
        <v>158</v>
      </c>
      <c r="D1409" t="str">
        <f>VLOOKUP(J1409,Location[],2,FALSE)</f>
        <v>Philadelphia</v>
      </c>
      <c r="E1409" t="str">
        <f>VLOOKUP(J1409,Location[],3,FALSE)</f>
        <v> Pennsylvania</v>
      </c>
      <c r="F1409" t="str">
        <f>VLOOKUP(K1409,Dept[],2,FALSE)</f>
        <v>Administration</v>
      </c>
      <c r="G1409" s="11">
        <f t="shared" si="21"/>
        <v>41671</v>
      </c>
      <c r="H1409" t="str">
        <f>VLOOKUP(N1409,Status[],2,FALSE)</f>
        <v>Full-Time</v>
      </c>
      <c r="J1409" s="7">
        <v>1006</v>
      </c>
      <c r="K1409">
        <v>12</v>
      </c>
      <c r="L1409">
        <v>2014</v>
      </c>
      <c r="M1409">
        <v>2</v>
      </c>
      <c r="N1409">
        <v>1</v>
      </c>
    </row>
    <row r="1410" spans="1:14" x14ac:dyDescent="0.25">
      <c r="A1410" t="s">
        <v>3637</v>
      </c>
      <c r="B1410" t="s">
        <v>157</v>
      </c>
      <c r="C1410" t="s">
        <v>158</v>
      </c>
      <c r="D1410" t="str">
        <f>VLOOKUP(J1410,Location[],2,FALSE)</f>
        <v>Phoenix</v>
      </c>
      <c r="E1410" t="str">
        <f>VLOOKUP(J1410,Location[],3,FALSE)</f>
        <v> Arizona</v>
      </c>
      <c r="F1410" t="str">
        <f>VLOOKUP(K1410,Dept[],2,FALSE)</f>
        <v>Human Resources</v>
      </c>
      <c r="G1410" s="11">
        <f t="shared" si="21"/>
        <v>42644</v>
      </c>
      <c r="H1410" t="str">
        <f>VLOOKUP(N1410,Status[],2,FALSE)</f>
        <v>Full-Time</v>
      </c>
      <c r="J1410" s="7">
        <v>1005</v>
      </c>
      <c r="K1410">
        <v>16</v>
      </c>
      <c r="L1410">
        <v>2016</v>
      </c>
      <c r="M1410">
        <v>10</v>
      </c>
      <c r="N1410">
        <v>1</v>
      </c>
    </row>
    <row r="1411" spans="1:14" x14ac:dyDescent="0.25">
      <c r="A1411" t="s">
        <v>3638</v>
      </c>
      <c r="B1411" t="s">
        <v>1655</v>
      </c>
      <c r="C1411" t="s">
        <v>104</v>
      </c>
      <c r="D1411" t="str">
        <f>VLOOKUP(J1411,Location[],2,FALSE)</f>
        <v>Tampa</v>
      </c>
      <c r="E1411" t="str">
        <f>VLOOKUP(J1411,Location[],3,FALSE)</f>
        <v> Florida</v>
      </c>
      <c r="F1411" t="str">
        <f>VLOOKUP(K1411,Dept[],2,FALSE)</f>
        <v>Accounting</v>
      </c>
      <c r="G1411" s="11">
        <f t="shared" si="21"/>
        <v>42736</v>
      </c>
      <c r="H1411" t="str">
        <f>VLOOKUP(N1411,Status[],2,FALSE)</f>
        <v>Full-Time</v>
      </c>
      <c r="J1411" s="7">
        <v>1052</v>
      </c>
      <c r="K1411">
        <v>11</v>
      </c>
      <c r="L1411">
        <v>2017</v>
      </c>
      <c r="M1411">
        <v>1</v>
      </c>
      <c r="N1411">
        <v>1</v>
      </c>
    </row>
    <row r="1412" spans="1:14" x14ac:dyDescent="0.25">
      <c r="A1412" t="s">
        <v>3639</v>
      </c>
      <c r="B1412" t="s">
        <v>103</v>
      </c>
      <c r="C1412" t="s">
        <v>104</v>
      </c>
      <c r="D1412" t="str">
        <f>VLOOKUP(J1412,Location[],2,FALSE)</f>
        <v>Seattle</v>
      </c>
      <c r="E1412" t="str">
        <f>VLOOKUP(J1412,Location[],3,FALSE)</f>
        <v> Washington</v>
      </c>
      <c r="F1412" t="str">
        <f>VLOOKUP(K1412,Dept[],2,FALSE)</f>
        <v>Legal</v>
      </c>
      <c r="G1412" s="11">
        <f t="shared" si="21"/>
        <v>42979</v>
      </c>
      <c r="H1412" t="str">
        <f>VLOOKUP(N1412,Status[],2,FALSE)</f>
        <v>Full-Time</v>
      </c>
      <c r="J1412" s="7">
        <v>1018</v>
      </c>
      <c r="K1412">
        <v>18</v>
      </c>
      <c r="L1412">
        <v>2017</v>
      </c>
      <c r="M1412">
        <v>9</v>
      </c>
      <c r="N1412">
        <v>1</v>
      </c>
    </row>
    <row r="1413" spans="1:14" x14ac:dyDescent="0.25">
      <c r="A1413" t="s">
        <v>3640</v>
      </c>
      <c r="B1413" t="s">
        <v>55</v>
      </c>
      <c r="C1413" t="s">
        <v>662</v>
      </c>
      <c r="D1413" t="str">
        <f>VLOOKUP(J1413,Location[],2,FALSE)</f>
        <v>Detroit</v>
      </c>
      <c r="E1413" t="str">
        <f>VLOOKUP(J1413,Location[],3,FALSE)</f>
        <v> Michigan</v>
      </c>
      <c r="F1413" t="str">
        <f>VLOOKUP(K1413,Dept[],2,FALSE)</f>
        <v>Marketing</v>
      </c>
      <c r="G1413" s="11">
        <f t="shared" ref="G1413:G1476" si="22">DATE(L1413,M1413,1)</f>
        <v>44378</v>
      </c>
      <c r="H1413" t="str">
        <f>VLOOKUP(N1413,Status[],2,FALSE)</f>
        <v>Full-Time</v>
      </c>
      <c r="J1413" s="7">
        <v>1023</v>
      </c>
      <c r="K1413">
        <v>19</v>
      </c>
      <c r="L1413">
        <v>2021</v>
      </c>
      <c r="M1413">
        <v>7</v>
      </c>
      <c r="N1413">
        <v>1</v>
      </c>
    </row>
    <row r="1414" spans="1:14" x14ac:dyDescent="0.25">
      <c r="A1414" t="s">
        <v>3483</v>
      </c>
      <c r="B1414" t="s">
        <v>5</v>
      </c>
      <c r="C1414" t="s">
        <v>317</v>
      </c>
      <c r="D1414" t="str">
        <f>VLOOKUP(J1414,Location[],2,FALSE)</f>
        <v>Los Angeles</v>
      </c>
      <c r="E1414" t="str">
        <f>VLOOKUP(J1414,Location[],3,FALSE)</f>
        <v> California</v>
      </c>
      <c r="F1414" t="str">
        <f>VLOOKUP(K1414,Dept[],2,FALSE)</f>
        <v>Customer Support</v>
      </c>
      <c r="G1414" s="11">
        <f t="shared" si="22"/>
        <v>42948</v>
      </c>
      <c r="H1414" t="str">
        <f>VLOOKUP(N1414,Status[],2,FALSE)</f>
        <v>Full-Time</v>
      </c>
      <c r="J1414" s="7">
        <v>1002</v>
      </c>
      <c r="K1414">
        <v>14</v>
      </c>
      <c r="L1414">
        <v>2017</v>
      </c>
      <c r="M1414">
        <v>8</v>
      </c>
      <c r="N1414">
        <v>1</v>
      </c>
    </row>
    <row r="1415" spans="1:14" x14ac:dyDescent="0.25">
      <c r="A1415" t="s">
        <v>3641</v>
      </c>
      <c r="B1415" t="s">
        <v>59</v>
      </c>
      <c r="C1415" t="s">
        <v>1956</v>
      </c>
      <c r="D1415" t="str">
        <f>VLOOKUP(J1415,Location[],2,FALSE)</f>
        <v>New York City</v>
      </c>
      <c r="E1415" t="str">
        <f>VLOOKUP(J1415,Location[],3,FALSE)</f>
        <v> New York</v>
      </c>
      <c r="F1415" t="str">
        <f>VLOOKUP(K1415,Dept[],2,FALSE)</f>
        <v>Administration</v>
      </c>
      <c r="G1415" s="11">
        <f t="shared" si="22"/>
        <v>41395</v>
      </c>
      <c r="H1415" t="str">
        <f>VLOOKUP(N1415,Status[],2,FALSE)</f>
        <v>Full-Time</v>
      </c>
      <c r="J1415" s="7">
        <v>1001</v>
      </c>
      <c r="K1415">
        <v>12</v>
      </c>
      <c r="L1415">
        <v>2013</v>
      </c>
      <c r="M1415">
        <v>5</v>
      </c>
      <c r="N1415">
        <v>1</v>
      </c>
    </row>
    <row r="1416" spans="1:14" x14ac:dyDescent="0.25">
      <c r="A1416" t="s">
        <v>3642</v>
      </c>
      <c r="B1416" t="s">
        <v>376</v>
      </c>
      <c r="C1416" t="s">
        <v>730</v>
      </c>
      <c r="D1416" t="str">
        <f>VLOOKUP(J1416,Location[],2,FALSE)</f>
        <v>Phoenix</v>
      </c>
      <c r="E1416" t="str">
        <f>VLOOKUP(J1416,Location[],3,FALSE)</f>
        <v> Arizona</v>
      </c>
      <c r="F1416" t="str">
        <f>VLOOKUP(K1416,Dept[],2,FALSE)</f>
        <v>Customer Support</v>
      </c>
      <c r="G1416" s="11">
        <f t="shared" si="22"/>
        <v>40787</v>
      </c>
      <c r="H1416" t="str">
        <f>VLOOKUP(N1416,Status[],2,FALSE)</f>
        <v>Full-Time</v>
      </c>
      <c r="J1416" s="7">
        <v>1005</v>
      </c>
      <c r="K1416">
        <v>14</v>
      </c>
      <c r="L1416">
        <v>2011</v>
      </c>
      <c r="M1416">
        <v>9</v>
      </c>
      <c r="N1416">
        <v>1</v>
      </c>
    </row>
    <row r="1417" spans="1:14" x14ac:dyDescent="0.25">
      <c r="A1417" t="s">
        <v>3643</v>
      </c>
      <c r="B1417" t="s">
        <v>261</v>
      </c>
      <c r="C1417" t="s">
        <v>1689</v>
      </c>
      <c r="D1417" t="str">
        <f>VLOOKUP(J1417,Location[],2,FALSE)</f>
        <v>Phoenix</v>
      </c>
      <c r="E1417" t="str">
        <f>VLOOKUP(J1417,Location[],3,FALSE)</f>
        <v> Arizona</v>
      </c>
      <c r="F1417" t="str">
        <f>VLOOKUP(K1417,Dept[],2,FALSE)</f>
        <v>Human Resources</v>
      </c>
      <c r="G1417" s="11">
        <f t="shared" si="22"/>
        <v>44743</v>
      </c>
      <c r="H1417" t="str">
        <f>VLOOKUP(N1417,Status[],2,FALSE)</f>
        <v>Full-Time</v>
      </c>
      <c r="J1417" s="7">
        <v>1005</v>
      </c>
      <c r="K1417">
        <v>16</v>
      </c>
      <c r="L1417">
        <v>2022</v>
      </c>
      <c r="M1417">
        <v>7</v>
      </c>
      <c r="N1417">
        <v>1</v>
      </c>
    </row>
    <row r="1418" spans="1:14" x14ac:dyDescent="0.25">
      <c r="A1418" t="s">
        <v>3644</v>
      </c>
      <c r="B1418" t="s">
        <v>1922</v>
      </c>
      <c r="C1418" t="s">
        <v>1923</v>
      </c>
      <c r="D1418" t="str">
        <f>VLOOKUP(J1418,Location[],2,FALSE)</f>
        <v>Memphis</v>
      </c>
      <c r="E1418" t="str">
        <f>VLOOKUP(J1418,Location[],3,FALSE)</f>
        <v> Tennessee</v>
      </c>
      <c r="F1418" t="str">
        <f>VLOOKUP(K1418,Dept[],2,FALSE)</f>
        <v>Assessment</v>
      </c>
      <c r="G1418" s="11">
        <f t="shared" si="22"/>
        <v>44287</v>
      </c>
      <c r="H1418" t="str">
        <f>VLOOKUP(N1418,Status[],2,FALSE)</f>
        <v>Full-Time</v>
      </c>
      <c r="J1418" s="7">
        <v>1025</v>
      </c>
      <c r="K1418">
        <v>13</v>
      </c>
      <c r="L1418">
        <v>2021</v>
      </c>
      <c r="M1418">
        <v>4</v>
      </c>
      <c r="N1418">
        <v>1</v>
      </c>
    </row>
    <row r="1419" spans="1:14" x14ac:dyDescent="0.25">
      <c r="A1419" t="s">
        <v>3645</v>
      </c>
      <c r="B1419" t="s">
        <v>1055</v>
      </c>
      <c r="C1419" t="s">
        <v>1203</v>
      </c>
      <c r="D1419" t="str">
        <f>VLOOKUP(J1419,Location[],2,FALSE)</f>
        <v>Indianapolis</v>
      </c>
      <c r="E1419" t="str">
        <f>VLOOKUP(J1419,Location[],3,FALSE)</f>
        <v> Indiana</v>
      </c>
      <c r="F1419" t="str">
        <f>VLOOKUP(K1419,Dept[],2,FALSE)</f>
        <v>Marketing</v>
      </c>
      <c r="G1419" s="11">
        <f t="shared" si="22"/>
        <v>41640</v>
      </c>
      <c r="H1419" t="str">
        <f>VLOOKUP(N1419,Status[],2,FALSE)</f>
        <v>Full-Time</v>
      </c>
      <c r="J1419" s="7">
        <v>1016</v>
      </c>
      <c r="K1419">
        <v>19</v>
      </c>
      <c r="L1419">
        <v>2014</v>
      </c>
      <c r="M1419">
        <v>1</v>
      </c>
      <c r="N1419">
        <v>1</v>
      </c>
    </row>
    <row r="1420" spans="1:14" x14ac:dyDescent="0.25">
      <c r="A1420" t="s">
        <v>3646</v>
      </c>
      <c r="B1420" t="s">
        <v>284</v>
      </c>
      <c r="C1420" t="s">
        <v>223</v>
      </c>
      <c r="D1420" t="str">
        <f>VLOOKUP(J1420,Location[],2,FALSE)</f>
        <v>Anaheim</v>
      </c>
      <c r="E1420" t="str">
        <f>VLOOKUP(J1420,Location[],3,FALSE)</f>
        <v> California</v>
      </c>
      <c r="F1420" t="str">
        <f>VLOOKUP(K1420,Dept[],2,FALSE)</f>
        <v>Media</v>
      </c>
      <c r="G1420" s="11">
        <f t="shared" si="22"/>
        <v>42614</v>
      </c>
      <c r="H1420" t="str">
        <f>VLOOKUP(N1420,Status[],2,FALSE)</f>
        <v>Full-Time</v>
      </c>
      <c r="J1420" s="7">
        <v>1055</v>
      </c>
      <c r="K1420">
        <v>20</v>
      </c>
      <c r="L1420">
        <v>2016</v>
      </c>
      <c r="M1420">
        <v>9</v>
      </c>
      <c r="N1420">
        <v>1</v>
      </c>
    </row>
    <row r="1421" spans="1:14" x14ac:dyDescent="0.25">
      <c r="A1421" t="s">
        <v>3647</v>
      </c>
      <c r="B1421" t="s">
        <v>1497</v>
      </c>
      <c r="C1421" t="s">
        <v>223</v>
      </c>
      <c r="D1421" t="str">
        <f>VLOOKUP(J1421,Location[],2,FALSE)</f>
        <v>Lexington</v>
      </c>
      <c r="E1421" t="str">
        <f>VLOOKUP(J1421,Location[],3,FALSE)</f>
        <v> Kentucky</v>
      </c>
      <c r="F1421" t="str">
        <f>VLOOKUP(K1421,Dept[],2,FALSE)</f>
        <v>Assessment</v>
      </c>
      <c r="G1421" s="11">
        <f t="shared" si="22"/>
        <v>40940</v>
      </c>
      <c r="H1421" t="str">
        <f>VLOOKUP(N1421,Status[],2,FALSE)</f>
        <v>Part-Time</v>
      </c>
      <c r="J1421" s="7">
        <v>1060</v>
      </c>
      <c r="K1421">
        <v>13</v>
      </c>
      <c r="L1421">
        <v>2012</v>
      </c>
      <c r="M1421">
        <v>2</v>
      </c>
      <c r="N1421">
        <v>0</v>
      </c>
    </row>
    <row r="1422" spans="1:14" x14ac:dyDescent="0.25">
      <c r="A1422" t="s">
        <v>3648</v>
      </c>
      <c r="B1422" t="s">
        <v>222</v>
      </c>
      <c r="C1422" t="s">
        <v>223</v>
      </c>
      <c r="D1422" t="str">
        <f>VLOOKUP(J1422,Location[],2,FALSE)</f>
        <v>Arlington</v>
      </c>
      <c r="E1422" t="str">
        <f>VLOOKUP(J1422,Location[],3,FALSE)</f>
        <v> Texas</v>
      </c>
      <c r="F1422" t="str">
        <f>VLOOKUP(K1422,Dept[],2,FALSE)</f>
        <v>Accounting</v>
      </c>
      <c r="G1422" s="11">
        <f t="shared" si="22"/>
        <v>43922</v>
      </c>
      <c r="H1422" t="str">
        <f>VLOOKUP(N1422,Status[],2,FALSE)</f>
        <v>Full-Time</v>
      </c>
      <c r="J1422" s="7">
        <v>1048</v>
      </c>
      <c r="K1422">
        <v>11</v>
      </c>
      <c r="L1422">
        <v>2020</v>
      </c>
      <c r="M1422">
        <v>4</v>
      </c>
      <c r="N1422">
        <v>1</v>
      </c>
    </row>
    <row r="1423" spans="1:14" x14ac:dyDescent="0.25">
      <c r="A1423" t="s">
        <v>3649</v>
      </c>
      <c r="B1423" t="s">
        <v>405</v>
      </c>
      <c r="C1423" t="s">
        <v>1546</v>
      </c>
      <c r="D1423" t="str">
        <f>VLOOKUP(J1423,Location[],2,FALSE)</f>
        <v>Milwaukee</v>
      </c>
      <c r="E1423" t="str">
        <f>VLOOKUP(J1423,Location[],3,FALSE)</f>
        <v> Wisconsin</v>
      </c>
      <c r="F1423" t="str">
        <f>VLOOKUP(K1423,Dept[],2,FALSE)</f>
        <v>Administration</v>
      </c>
      <c r="G1423" s="11">
        <f t="shared" si="22"/>
        <v>40940</v>
      </c>
      <c r="H1423" t="str">
        <f>VLOOKUP(N1423,Status[],2,FALSE)</f>
        <v>Full-Time</v>
      </c>
      <c r="J1423" s="7">
        <v>1031</v>
      </c>
      <c r="K1423">
        <v>12</v>
      </c>
      <c r="L1423">
        <v>2012</v>
      </c>
      <c r="M1423">
        <v>2</v>
      </c>
      <c r="N1423">
        <v>1</v>
      </c>
    </row>
    <row r="1424" spans="1:14" x14ac:dyDescent="0.25">
      <c r="A1424" t="s">
        <v>3650</v>
      </c>
      <c r="B1424" t="s">
        <v>1559</v>
      </c>
      <c r="C1424" t="s">
        <v>1546</v>
      </c>
      <c r="D1424" t="str">
        <f>VLOOKUP(J1424,Location[],2,FALSE)</f>
        <v>Houston</v>
      </c>
      <c r="E1424" t="str">
        <f>VLOOKUP(J1424,Location[],3,FALSE)</f>
        <v> Texas</v>
      </c>
      <c r="F1424" t="str">
        <f>VLOOKUP(K1424,Dept[],2,FALSE)</f>
        <v>Marketing</v>
      </c>
      <c r="G1424" s="11">
        <f t="shared" si="22"/>
        <v>42491</v>
      </c>
      <c r="H1424" t="str">
        <f>VLOOKUP(N1424,Status[],2,FALSE)</f>
        <v>Full-Time</v>
      </c>
      <c r="J1424" s="7">
        <v>1004</v>
      </c>
      <c r="K1424">
        <v>19</v>
      </c>
      <c r="L1424">
        <v>2016</v>
      </c>
      <c r="M1424">
        <v>5</v>
      </c>
      <c r="N1424">
        <v>1</v>
      </c>
    </row>
    <row r="1425" spans="1:14" x14ac:dyDescent="0.25">
      <c r="A1425" t="s">
        <v>3651</v>
      </c>
      <c r="B1425" t="s">
        <v>1053</v>
      </c>
      <c r="C1425" t="s">
        <v>1054</v>
      </c>
      <c r="D1425" t="str">
        <f>VLOOKUP(J1425,Location[],2,FALSE)</f>
        <v>Fort Worth</v>
      </c>
      <c r="E1425" t="str">
        <f>VLOOKUP(J1425,Location[],3,FALSE)</f>
        <v> Texas</v>
      </c>
      <c r="F1425" t="str">
        <f>VLOOKUP(K1425,Dept[],2,FALSE)</f>
        <v>Accounting</v>
      </c>
      <c r="G1425" s="11">
        <f t="shared" si="22"/>
        <v>42186</v>
      </c>
      <c r="H1425" t="str">
        <f>VLOOKUP(N1425,Status[],2,FALSE)</f>
        <v>Full-Time</v>
      </c>
      <c r="J1425" s="7">
        <v>1015</v>
      </c>
      <c r="K1425">
        <v>11</v>
      </c>
      <c r="L1425">
        <v>2015</v>
      </c>
      <c r="M1425">
        <v>7</v>
      </c>
      <c r="N1425">
        <v>1</v>
      </c>
    </row>
    <row r="1426" spans="1:14" x14ac:dyDescent="0.25">
      <c r="A1426" t="s">
        <v>3652</v>
      </c>
      <c r="B1426" t="s">
        <v>1773</v>
      </c>
      <c r="C1426" t="s">
        <v>1774</v>
      </c>
      <c r="D1426" t="str">
        <f>VLOOKUP(J1426,Location[],2,FALSE)</f>
        <v>New York City</v>
      </c>
      <c r="E1426" t="str">
        <f>VLOOKUP(J1426,Location[],3,FALSE)</f>
        <v> New York</v>
      </c>
      <c r="F1426" t="str">
        <f>VLOOKUP(K1426,Dept[],2,FALSE)</f>
        <v>Finance</v>
      </c>
      <c r="G1426" s="11">
        <f t="shared" si="22"/>
        <v>41883</v>
      </c>
      <c r="H1426" t="str">
        <f>VLOOKUP(N1426,Status[],2,FALSE)</f>
        <v>Part-Time</v>
      </c>
      <c r="J1426" s="7">
        <v>1001</v>
      </c>
      <c r="K1426">
        <v>15</v>
      </c>
      <c r="L1426">
        <v>2014</v>
      </c>
      <c r="M1426">
        <v>9</v>
      </c>
      <c r="N1426">
        <v>0</v>
      </c>
    </row>
    <row r="1427" spans="1:14" x14ac:dyDescent="0.25">
      <c r="A1427" t="s">
        <v>3653</v>
      </c>
      <c r="B1427" t="s">
        <v>41</v>
      </c>
      <c r="C1427" t="s">
        <v>1468</v>
      </c>
      <c r="D1427" t="str">
        <f>VLOOKUP(J1427,Location[],2,FALSE)</f>
        <v>Philadelphia</v>
      </c>
      <c r="E1427" t="str">
        <f>VLOOKUP(J1427,Location[],3,FALSE)</f>
        <v> Pennsylvania</v>
      </c>
      <c r="F1427" t="str">
        <f>VLOOKUP(K1427,Dept[],2,FALSE)</f>
        <v>Customer Support</v>
      </c>
      <c r="G1427" s="11">
        <f t="shared" si="22"/>
        <v>43070</v>
      </c>
      <c r="H1427" t="str">
        <f>VLOOKUP(N1427,Status[],2,FALSE)</f>
        <v>Part-Time</v>
      </c>
      <c r="J1427" s="7">
        <v>1006</v>
      </c>
      <c r="K1427">
        <v>14</v>
      </c>
      <c r="L1427">
        <v>2017</v>
      </c>
      <c r="M1427">
        <v>12</v>
      </c>
      <c r="N1427">
        <v>0</v>
      </c>
    </row>
    <row r="1428" spans="1:14" x14ac:dyDescent="0.25">
      <c r="A1428" t="s">
        <v>3654</v>
      </c>
      <c r="B1428" t="s">
        <v>916</v>
      </c>
      <c r="C1428" t="s">
        <v>917</v>
      </c>
      <c r="D1428" t="str">
        <f>VLOOKUP(J1428,Location[],2,FALSE)</f>
        <v>Jacksonville</v>
      </c>
      <c r="E1428" t="str">
        <f>VLOOKUP(J1428,Location[],3,FALSE)</f>
        <v> Florida</v>
      </c>
      <c r="F1428" t="str">
        <f>VLOOKUP(K1428,Dept[],2,FALSE)</f>
        <v>Shipping</v>
      </c>
      <c r="G1428" s="11">
        <f t="shared" si="22"/>
        <v>43101</v>
      </c>
      <c r="H1428" t="str">
        <f>VLOOKUP(N1428,Status[],2,FALSE)</f>
        <v>Full-Time</v>
      </c>
      <c r="J1428" s="7">
        <v>1012</v>
      </c>
      <c r="K1428">
        <v>23</v>
      </c>
      <c r="L1428">
        <v>2018</v>
      </c>
      <c r="M1428">
        <v>1</v>
      </c>
      <c r="N1428">
        <v>1</v>
      </c>
    </row>
    <row r="1429" spans="1:14" x14ac:dyDescent="0.25">
      <c r="A1429" t="s">
        <v>3655</v>
      </c>
      <c r="B1429" t="s">
        <v>361</v>
      </c>
      <c r="C1429" t="s">
        <v>433</v>
      </c>
      <c r="D1429" t="str">
        <f>VLOOKUP(J1429,Location[],2,FALSE)</f>
        <v>Houston</v>
      </c>
      <c r="E1429" t="str">
        <f>VLOOKUP(J1429,Location[],3,FALSE)</f>
        <v> Texas</v>
      </c>
      <c r="F1429" t="str">
        <f>VLOOKUP(K1429,Dept[],2,FALSE)</f>
        <v>Sales</v>
      </c>
      <c r="G1429" s="11">
        <f t="shared" si="22"/>
        <v>44562</v>
      </c>
      <c r="H1429" t="str">
        <f>VLOOKUP(N1429,Status[],2,FALSE)</f>
        <v>Full-Time</v>
      </c>
      <c r="J1429" s="7">
        <v>1004</v>
      </c>
      <c r="K1429">
        <v>22</v>
      </c>
      <c r="L1429">
        <v>2022</v>
      </c>
      <c r="M1429">
        <v>1</v>
      </c>
      <c r="N1429">
        <v>1</v>
      </c>
    </row>
    <row r="1430" spans="1:14" x14ac:dyDescent="0.25">
      <c r="A1430" t="s">
        <v>3656</v>
      </c>
      <c r="B1430" t="s">
        <v>1804</v>
      </c>
      <c r="C1430" t="s">
        <v>1805</v>
      </c>
      <c r="D1430" t="str">
        <f>VLOOKUP(J1430,Location[],2,FALSE)</f>
        <v>Fort Worth</v>
      </c>
      <c r="E1430" t="str">
        <f>VLOOKUP(J1430,Location[],3,FALSE)</f>
        <v> Texas</v>
      </c>
      <c r="F1430" t="str">
        <f>VLOOKUP(K1430,Dept[],2,FALSE)</f>
        <v>IT</v>
      </c>
      <c r="G1430" s="11">
        <f t="shared" si="22"/>
        <v>44774</v>
      </c>
      <c r="H1430" t="str">
        <f>VLOOKUP(N1430,Status[],2,FALSE)</f>
        <v>Part-Time</v>
      </c>
      <c r="J1430" s="7">
        <v>1015</v>
      </c>
      <c r="K1430">
        <v>17</v>
      </c>
      <c r="L1430">
        <v>2022</v>
      </c>
      <c r="M1430">
        <v>8</v>
      </c>
      <c r="N1430">
        <v>0</v>
      </c>
    </row>
    <row r="1431" spans="1:14" x14ac:dyDescent="0.25">
      <c r="A1431" t="s">
        <v>3657</v>
      </c>
      <c r="B1431" t="s">
        <v>445</v>
      </c>
      <c r="C1431" t="s">
        <v>446</v>
      </c>
      <c r="D1431" t="str">
        <f>VLOOKUP(J1431,Location[],2,FALSE)</f>
        <v>Lincoln</v>
      </c>
      <c r="E1431" t="str">
        <f>VLOOKUP(J1431,Location[],3,FALSE)</f>
        <v> Nebraska</v>
      </c>
      <c r="F1431" t="str">
        <f>VLOOKUP(K1431,Dept[],2,FALSE)</f>
        <v>Legal</v>
      </c>
      <c r="G1431" s="11">
        <f t="shared" si="22"/>
        <v>44013</v>
      </c>
      <c r="H1431" t="str">
        <f>VLOOKUP(N1431,Status[],2,FALSE)</f>
        <v>Part-Time</v>
      </c>
      <c r="J1431" s="7">
        <v>1071</v>
      </c>
      <c r="K1431">
        <v>18</v>
      </c>
      <c r="L1431">
        <v>2020</v>
      </c>
      <c r="M1431">
        <v>7</v>
      </c>
      <c r="N1431">
        <v>0</v>
      </c>
    </row>
    <row r="1432" spans="1:14" x14ac:dyDescent="0.25">
      <c r="A1432" t="s">
        <v>3658</v>
      </c>
      <c r="B1432" t="s">
        <v>1413</v>
      </c>
      <c r="C1432" t="s">
        <v>446</v>
      </c>
      <c r="D1432" t="str">
        <f>VLOOKUP(J1432,Location[],2,FALSE)</f>
        <v>Washington, D.C.</v>
      </c>
      <c r="E1432" t="str">
        <f>VLOOKUP(J1432,Location[],3,FALSE)</f>
        <v> District of Columbia</v>
      </c>
      <c r="F1432" t="str">
        <f>VLOOKUP(K1432,Dept[],2,FALSE)</f>
        <v>Administration</v>
      </c>
      <c r="G1432" s="11">
        <f t="shared" si="22"/>
        <v>43252</v>
      </c>
      <c r="H1432" t="str">
        <f>VLOOKUP(N1432,Status[],2,FALSE)</f>
        <v>Full-Time</v>
      </c>
      <c r="J1432" s="7">
        <v>1020</v>
      </c>
      <c r="K1432">
        <v>12</v>
      </c>
      <c r="L1432">
        <v>2018</v>
      </c>
      <c r="M1432">
        <v>6</v>
      </c>
      <c r="N1432">
        <v>1</v>
      </c>
    </row>
    <row r="1433" spans="1:14" x14ac:dyDescent="0.25">
      <c r="A1433" t="s">
        <v>3659</v>
      </c>
      <c r="B1433" t="s">
        <v>83</v>
      </c>
      <c r="C1433" t="s">
        <v>446</v>
      </c>
      <c r="D1433" t="str">
        <f>VLOOKUP(J1433,Location[],2,FALSE)</f>
        <v>Washington, D.C.</v>
      </c>
      <c r="E1433" t="str">
        <f>VLOOKUP(J1433,Location[],3,FALSE)</f>
        <v> District of Columbia</v>
      </c>
      <c r="F1433" t="str">
        <f>VLOOKUP(K1433,Dept[],2,FALSE)</f>
        <v>Media</v>
      </c>
      <c r="G1433" s="11">
        <f t="shared" si="22"/>
        <v>41548</v>
      </c>
      <c r="H1433" t="str">
        <f>VLOOKUP(N1433,Status[],2,FALSE)</f>
        <v>Full-Time</v>
      </c>
      <c r="J1433" s="7">
        <v>1020</v>
      </c>
      <c r="K1433">
        <v>20</v>
      </c>
      <c r="L1433">
        <v>2013</v>
      </c>
      <c r="M1433">
        <v>10</v>
      </c>
      <c r="N1433">
        <v>1</v>
      </c>
    </row>
    <row r="1434" spans="1:14" x14ac:dyDescent="0.25">
      <c r="A1434" t="s">
        <v>3660</v>
      </c>
      <c r="B1434" t="s">
        <v>1943</v>
      </c>
      <c r="C1434" t="s">
        <v>1944</v>
      </c>
      <c r="D1434" t="str">
        <f>VLOOKUP(J1434,Location[],2,FALSE)</f>
        <v>Indianapolis</v>
      </c>
      <c r="E1434" t="str">
        <f>VLOOKUP(J1434,Location[],3,FALSE)</f>
        <v> Indiana</v>
      </c>
      <c r="F1434" t="str">
        <f>VLOOKUP(K1434,Dept[],2,FALSE)</f>
        <v>Sales</v>
      </c>
      <c r="G1434" s="11">
        <f t="shared" si="22"/>
        <v>44593</v>
      </c>
      <c r="H1434" t="str">
        <f>VLOOKUP(N1434,Status[],2,FALSE)</f>
        <v>Full-Time</v>
      </c>
      <c r="J1434" s="7">
        <v>1016</v>
      </c>
      <c r="K1434">
        <v>22</v>
      </c>
      <c r="L1434">
        <v>2022</v>
      </c>
      <c r="M1434">
        <v>2</v>
      </c>
      <c r="N1434">
        <v>1</v>
      </c>
    </row>
    <row r="1435" spans="1:14" x14ac:dyDescent="0.25">
      <c r="A1435" t="s">
        <v>3661</v>
      </c>
      <c r="B1435" t="s">
        <v>192</v>
      </c>
      <c r="C1435" t="s">
        <v>651</v>
      </c>
      <c r="D1435" t="str">
        <f>VLOOKUP(J1435,Location[],2,FALSE)</f>
        <v>Fort Worth</v>
      </c>
      <c r="E1435" t="str">
        <f>VLOOKUP(J1435,Location[],3,FALSE)</f>
        <v> Texas</v>
      </c>
      <c r="F1435" t="str">
        <f>VLOOKUP(K1435,Dept[],2,FALSE)</f>
        <v>Accounting</v>
      </c>
      <c r="G1435" s="11">
        <f t="shared" si="22"/>
        <v>43435</v>
      </c>
      <c r="H1435" t="str">
        <f>VLOOKUP(N1435,Status[],2,FALSE)</f>
        <v>Full-Time</v>
      </c>
      <c r="J1435" s="7">
        <v>1015</v>
      </c>
      <c r="K1435">
        <v>11</v>
      </c>
      <c r="L1435">
        <v>2018</v>
      </c>
      <c r="M1435">
        <v>12</v>
      </c>
      <c r="N1435">
        <v>1</v>
      </c>
    </row>
    <row r="1436" spans="1:14" x14ac:dyDescent="0.25">
      <c r="A1436" t="s">
        <v>3662</v>
      </c>
      <c r="B1436" t="s">
        <v>108</v>
      </c>
      <c r="C1436" t="s">
        <v>794</v>
      </c>
      <c r="D1436" t="str">
        <f>VLOOKUP(J1436,Location[],2,FALSE)</f>
        <v>Austin</v>
      </c>
      <c r="E1436" t="str">
        <f>VLOOKUP(J1436,Location[],3,FALSE)</f>
        <v> Texas</v>
      </c>
      <c r="F1436" t="str">
        <f>VLOOKUP(K1436,Dept[],2,FALSE)</f>
        <v>Customer Support</v>
      </c>
      <c r="G1436" s="11">
        <f t="shared" si="22"/>
        <v>42552</v>
      </c>
      <c r="H1436" t="str">
        <f>VLOOKUP(N1436,Status[],2,FALSE)</f>
        <v>Full-Time</v>
      </c>
      <c r="J1436" s="7">
        <v>1011</v>
      </c>
      <c r="K1436">
        <v>14</v>
      </c>
      <c r="L1436">
        <v>2016</v>
      </c>
      <c r="M1436">
        <v>7</v>
      </c>
      <c r="N1436">
        <v>1</v>
      </c>
    </row>
    <row r="1437" spans="1:14" x14ac:dyDescent="0.25">
      <c r="A1437" t="s">
        <v>3663</v>
      </c>
      <c r="B1437" t="s">
        <v>108</v>
      </c>
      <c r="C1437" t="s">
        <v>1892</v>
      </c>
      <c r="D1437" t="str">
        <f>VLOOKUP(J1437,Location[],2,FALSE)</f>
        <v>Orlando</v>
      </c>
      <c r="E1437" t="str">
        <f>VLOOKUP(J1437,Location[],3,FALSE)</f>
        <v> Florida</v>
      </c>
      <c r="F1437" t="str">
        <f>VLOOKUP(K1437,Dept[],2,FALSE)</f>
        <v>Finance</v>
      </c>
      <c r="G1437" s="11">
        <f t="shared" si="22"/>
        <v>41426</v>
      </c>
      <c r="H1437" t="str">
        <f>VLOOKUP(N1437,Status[],2,FALSE)</f>
        <v>Full-Time</v>
      </c>
      <c r="J1437" s="7">
        <v>1072</v>
      </c>
      <c r="K1437">
        <v>15</v>
      </c>
      <c r="L1437">
        <v>2013</v>
      </c>
      <c r="M1437">
        <v>6</v>
      </c>
      <c r="N1437">
        <v>1</v>
      </c>
    </row>
    <row r="1438" spans="1:14" x14ac:dyDescent="0.25">
      <c r="A1438" t="s">
        <v>3664</v>
      </c>
      <c r="B1438" t="s">
        <v>339</v>
      </c>
      <c r="C1438" t="s">
        <v>160</v>
      </c>
      <c r="D1438" t="str">
        <f>VLOOKUP(J1438,Location[],2,FALSE)</f>
        <v>Columbus</v>
      </c>
      <c r="E1438" t="str">
        <f>VLOOKUP(J1438,Location[],3,FALSE)</f>
        <v> Ohio</v>
      </c>
      <c r="F1438" t="str">
        <f>VLOOKUP(K1438,Dept[],2,FALSE)</f>
        <v>Media</v>
      </c>
      <c r="G1438" s="11">
        <f t="shared" si="22"/>
        <v>42948</v>
      </c>
      <c r="H1438" t="str">
        <f>VLOOKUP(N1438,Status[],2,FALSE)</f>
        <v>Part-Time</v>
      </c>
      <c r="J1438" s="7">
        <v>1014</v>
      </c>
      <c r="K1438">
        <v>20</v>
      </c>
      <c r="L1438">
        <v>2017</v>
      </c>
      <c r="M1438">
        <v>8</v>
      </c>
      <c r="N1438">
        <v>0</v>
      </c>
    </row>
    <row r="1439" spans="1:14" x14ac:dyDescent="0.25">
      <c r="A1439" t="s">
        <v>3665</v>
      </c>
      <c r="B1439" t="s">
        <v>57</v>
      </c>
      <c r="C1439" t="s">
        <v>160</v>
      </c>
      <c r="D1439" t="str">
        <f>VLOOKUP(J1439,Location[],2,FALSE)</f>
        <v>Los Angeles</v>
      </c>
      <c r="E1439" t="str">
        <f>VLOOKUP(J1439,Location[],3,FALSE)</f>
        <v> California</v>
      </c>
      <c r="F1439" t="str">
        <f>VLOOKUP(K1439,Dept[],2,FALSE)</f>
        <v>Legal</v>
      </c>
      <c r="G1439" s="11">
        <f t="shared" si="22"/>
        <v>43191</v>
      </c>
      <c r="H1439" t="str">
        <f>VLOOKUP(N1439,Status[],2,FALSE)</f>
        <v>Full-Time</v>
      </c>
      <c r="J1439" s="7">
        <v>1002</v>
      </c>
      <c r="K1439">
        <v>18</v>
      </c>
      <c r="L1439">
        <v>2018</v>
      </c>
      <c r="M1439">
        <v>4</v>
      </c>
      <c r="N1439">
        <v>1</v>
      </c>
    </row>
    <row r="1440" spans="1:14" x14ac:dyDescent="0.25">
      <c r="A1440" t="s">
        <v>3666</v>
      </c>
      <c r="B1440" t="s">
        <v>97</v>
      </c>
      <c r="C1440" t="s">
        <v>160</v>
      </c>
      <c r="D1440" t="str">
        <f>VLOOKUP(J1440,Location[],2,FALSE)</f>
        <v>San Diego</v>
      </c>
      <c r="E1440" t="str">
        <f>VLOOKUP(J1440,Location[],3,FALSE)</f>
        <v> California</v>
      </c>
      <c r="F1440" t="str">
        <f>VLOOKUP(K1440,Dept[],2,FALSE)</f>
        <v>Sales</v>
      </c>
      <c r="G1440" s="11">
        <f t="shared" si="22"/>
        <v>43556</v>
      </c>
      <c r="H1440" t="str">
        <f>VLOOKUP(N1440,Status[],2,FALSE)</f>
        <v>Full-Time</v>
      </c>
      <c r="J1440" s="7">
        <v>1008</v>
      </c>
      <c r="K1440">
        <v>22</v>
      </c>
      <c r="L1440">
        <v>2019</v>
      </c>
      <c r="M1440">
        <v>4</v>
      </c>
      <c r="N1440">
        <v>1</v>
      </c>
    </row>
    <row r="1441" spans="1:14" x14ac:dyDescent="0.25">
      <c r="A1441" t="s">
        <v>3667</v>
      </c>
      <c r="B1441" t="s">
        <v>222</v>
      </c>
      <c r="C1441" t="s">
        <v>160</v>
      </c>
      <c r="D1441" t="str">
        <f>VLOOKUP(J1441,Location[],2,FALSE)</f>
        <v>Santa Ana</v>
      </c>
      <c r="E1441" t="str">
        <f>VLOOKUP(J1441,Location[],3,FALSE)</f>
        <v> California</v>
      </c>
      <c r="F1441" t="str">
        <f>VLOOKUP(K1441,Dept[],2,FALSE)</f>
        <v>Media</v>
      </c>
      <c r="G1441" s="11">
        <f t="shared" si="22"/>
        <v>41183</v>
      </c>
      <c r="H1441" t="str">
        <f>VLOOKUP(N1441,Status[],2,FALSE)</f>
        <v>Full-Time</v>
      </c>
      <c r="J1441" s="7">
        <v>1057</v>
      </c>
      <c r="K1441">
        <v>20</v>
      </c>
      <c r="L1441">
        <v>2012</v>
      </c>
      <c r="M1441">
        <v>10</v>
      </c>
      <c r="N1441">
        <v>1</v>
      </c>
    </row>
    <row r="1442" spans="1:14" x14ac:dyDescent="0.25">
      <c r="A1442" t="s">
        <v>3668</v>
      </c>
      <c r="B1442" t="s">
        <v>299</v>
      </c>
      <c r="C1442" t="s">
        <v>1606</v>
      </c>
      <c r="D1442" t="str">
        <f>VLOOKUP(J1442,Location[],2,FALSE)</f>
        <v>Dallas</v>
      </c>
      <c r="E1442" t="str">
        <f>VLOOKUP(J1442,Location[],3,FALSE)</f>
        <v> Texas</v>
      </c>
      <c r="F1442" t="str">
        <f>VLOOKUP(K1442,Dept[],2,FALSE)</f>
        <v>IT</v>
      </c>
      <c r="G1442" s="11">
        <f t="shared" si="22"/>
        <v>40664</v>
      </c>
      <c r="H1442" t="str">
        <f>VLOOKUP(N1442,Status[],2,FALSE)</f>
        <v>Full-Time</v>
      </c>
      <c r="J1442" s="7">
        <v>1009</v>
      </c>
      <c r="K1442">
        <v>17</v>
      </c>
      <c r="L1442">
        <v>2011</v>
      </c>
      <c r="M1442">
        <v>5</v>
      </c>
      <c r="N1442">
        <v>1</v>
      </c>
    </row>
    <row r="1443" spans="1:14" x14ac:dyDescent="0.25">
      <c r="A1443" t="s">
        <v>3669</v>
      </c>
      <c r="B1443" t="s">
        <v>700</v>
      </c>
      <c r="C1443" t="s">
        <v>701</v>
      </c>
      <c r="D1443" t="str">
        <f>VLOOKUP(J1443,Location[],2,FALSE)</f>
        <v>Los Angeles</v>
      </c>
      <c r="E1443" t="str">
        <f>VLOOKUP(J1443,Location[],3,FALSE)</f>
        <v> California</v>
      </c>
      <c r="F1443" t="str">
        <f>VLOOKUP(K1443,Dept[],2,FALSE)</f>
        <v>Administration</v>
      </c>
      <c r="G1443" s="11">
        <f t="shared" si="22"/>
        <v>43160</v>
      </c>
      <c r="H1443" t="str">
        <f>VLOOKUP(N1443,Status[],2,FALSE)</f>
        <v>Full-Time</v>
      </c>
      <c r="J1443" s="7">
        <v>1002</v>
      </c>
      <c r="K1443">
        <v>12</v>
      </c>
      <c r="L1443">
        <v>2018</v>
      </c>
      <c r="M1443">
        <v>3</v>
      </c>
      <c r="N1443">
        <v>1</v>
      </c>
    </row>
    <row r="1444" spans="1:14" x14ac:dyDescent="0.25">
      <c r="A1444" t="s">
        <v>3670</v>
      </c>
      <c r="B1444" t="s">
        <v>47</v>
      </c>
      <c r="C1444" t="s">
        <v>1470</v>
      </c>
      <c r="D1444" t="str">
        <f>VLOOKUP(J1444,Location[],2,FALSE)</f>
        <v>Henderson</v>
      </c>
      <c r="E1444" t="str">
        <f>VLOOKUP(J1444,Location[],3,FALSE)</f>
        <v> Nevada</v>
      </c>
      <c r="F1444" t="str">
        <f>VLOOKUP(K1444,Dept[],2,FALSE)</f>
        <v>Marketing</v>
      </c>
      <c r="G1444" s="11">
        <f t="shared" si="22"/>
        <v>40603</v>
      </c>
      <c r="H1444" t="str">
        <f>VLOOKUP(N1444,Status[],2,FALSE)</f>
        <v>Part-Time</v>
      </c>
      <c r="J1444" s="7">
        <v>1064</v>
      </c>
      <c r="K1444">
        <v>19</v>
      </c>
      <c r="L1444">
        <v>2011</v>
      </c>
      <c r="M1444">
        <v>3</v>
      </c>
      <c r="N1444">
        <v>0</v>
      </c>
    </row>
    <row r="1445" spans="1:14" x14ac:dyDescent="0.25">
      <c r="A1445" t="s">
        <v>3671</v>
      </c>
      <c r="B1445" t="s">
        <v>561</v>
      </c>
      <c r="C1445" t="s">
        <v>1470</v>
      </c>
      <c r="D1445" t="str">
        <f>VLOOKUP(J1445,Location[],2,FALSE)</f>
        <v>Phoenix</v>
      </c>
      <c r="E1445" t="str">
        <f>VLOOKUP(J1445,Location[],3,FALSE)</f>
        <v> Arizona</v>
      </c>
      <c r="F1445" t="str">
        <f>VLOOKUP(K1445,Dept[],2,FALSE)</f>
        <v>Administration</v>
      </c>
      <c r="G1445" s="11">
        <f t="shared" si="22"/>
        <v>41153</v>
      </c>
      <c r="H1445" t="str">
        <f>VLOOKUP(N1445,Status[],2,FALSE)</f>
        <v>Full-Time</v>
      </c>
      <c r="J1445" s="7">
        <v>1005</v>
      </c>
      <c r="K1445">
        <v>12</v>
      </c>
      <c r="L1445">
        <v>2012</v>
      </c>
      <c r="M1445">
        <v>9</v>
      </c>
      <c r="N1445">
        <v>1</v>
      </c>
    </row>
    <row r="1446" spans="1:14" x14ac:dyDescent="0.25">
      <c r="A1446" t="s">
        <v>3672</v>
      </c>
      <c r="B1446" t="s">
        <v>149</v>
      </c>
      <c r="C1446" t="s">
        <v>1909</v>
      </c>
      <c r="D1446" t="str">
        <f>VLOOKUP(J1446,Location[],2,FALSE)</f>
        <v>Chicago</v>
      </c>
      <c r="E1446" t="str">
        <f>VLOOKUP(J1446,Location[],3,FALSE)</f>
        <v> Illinois</v>
      </c>
      <c r="F1446" t="str">
        <f>VLOOKUP(K1446,Dept[],2,FALSE)</f>
        <v>Accounting</v>
      </c>
      <c r="G1446" s="11">
        <f t="shared" si="22"/>
        <v>45108</v>
      </c>
      <c r="H1446" t="str">
        <f>VLOOKUP(N1446,Status[],2,FALSE)</f>
        <v>Full-Time</v>
      </c>
      <c r="J1446" s="7">
        <v>1003</v>
      </c>
      <c r="K1446">
        <v>11</v>
      </c>
      <c r="L1446">
        <v>2023</v>
      </c>
      <c r="M1446">
        <v>7</v>
      </c>
      <c r="N1446">
        <v>1</v>
      </c>
    </row>
    <row r="1447" spans="1:14" x14ac:dyDescent="0.25">
      <c r="A1447" t="s">
        <v>3673</v>
      </c>
      <c r="B1447" t="s">
        <v>617</v>
      </c>
      <c r="C1447" t="s">
        <v>1409</v>
      </c>
      <c r="D1447" t="str">
        <f>VLOOKUP(J1447,Location[],2,FALSE)</f>
        <v>Jersey City</v>
      </c>
      <c r="E1447" t="str">
        <f>VLOOKUP(J1447,Location[],3,FALSE)</f>
        <v> New Jersey</v>
      </c>
      <c r="F1447" t="str">
        <f>VLOOKUP(K1447,Dept[],2,FALSE)</f>
        <v>Human Resources</v>
      </c>
      <c r="G1447" s="11">
        <f t="shared" si="22"/>
        <v>43556</v>
      </c>
      <c r="H1447" t="str">
        <f>VLOOKUP(N1447,Status[],2,FALSE)</f>
        <v>Full-Time</v>
      </c>
      <c r="J1447" s="7">
        <v>1075</v>
      </c>
      <c r="K1447">
        <v>16</v>
      </c>
      <c r="L1447">
        <v>2019</v>
      </c>
      <c r="M1447">
        <v>4</v>
      </c>
      <c r="N1447">
        <v>1</v>
      </c>
    </row>
    <row r="1448" spans="1:14" x14ac:dyDescent="0.25">
      <c r="A1448" t="s">
        <v>3674</v>
      </c>
      <c r="B1448" t="s">
        <v>71</v>
      </c>
      <c r="C1448" t="s">
        <v>1577</v>
      </c>
      <c r="D1448" t="str">
        <f>VLOOKUP(J1448,Location[],2,FALSE)</f>
        <v>Charlotte</v>
      </c>
      <c r="E1448" t="str">
        <f>VLOOKUP(J1448,Location[],3,FALSE)</f>
        <v> North Carolina</v>
      </c>
      <c r="F1448" t="str">
        <f>VLOOKUP(K1448,Dept[],2,FALSE)</f>
        <v>Human Resources</v>
      </c>
      <c r="G1448" s="11">
        <f t="shared" si="22"/>
        <v>42675</v>
      </c>
      <c r="H1448" t="str">
        <f>VLOOKUP(N1448,Status[],2,FALSE)</f>
        <v>Full-Time</v>
      </c>
      <c r="J1448" s="7">
        <v>1017</v>
      </c>
      <c r="K1448">
        <v>16</v>
      </c>
      <c r="L1448">
        <v>2016</v>
      </c>
      <c r="M1448">
        <v>11</v>
      </c>
      <c r="N1448">
        <v>1</v>
      </c>
    </row>
    <row r="1449" spans="1:14" x14ac:dyDescent="0.25">
      <c r="A1449" t="s">
        <v>3675</v>
      </c>
      <c r="B1449" t="s">
        <v>487</v>
      </c>
      <c r="C1449" t="s">
        <v>488</v>
      </c>
      <c r="D1449" t="str">
        <f>VLOOKUP(J1449,Location[],2,FALSE)</f>
        <v>Virginia Beach</v>
      </c>
      <c r="E1449" t="str">
        <f>VLOOKUP(J1449,Location[],3,FALSE)</f>
        <v> Virginia</v>
      </c>
      <c r="F1449" t="str">
        <f>VLOOKUP(K1449,Dept[],2,FALSE)</f>
        <v>Administration</v>
      </c>
      <c r="G1449" s="11">
        <f t="shared" si="22"/>
        <v>41944</v>
      </c>
      <c r="H1449" t="str">
        <f>VLOOKUP(N1449,Status[],2,FALSE)</f>
        <v>Full-Time</v>
      </c>
      <c r="J1449" s="7">
        <v>1044</v>
      </c>
      <c r="K1449">
        <v>12</v>
      </c>
      <c r="L1449">
        <v>2014</v>
      </c>
      <c r="M1449">
        <v>11</v>
      </c>
      <c r="N1449">
        <v>1</v>
      </c>
    </row>
    <row r="1450" spans="1:14" x14ac:dyDescent="0.25">
      <c r="A1450" t="s">
        <v>3676</v>
      </c>
      <c r="B1450" t="s">
        <v>237</v>
      </c>
      <c r="C1450" t="s">
        <v>884</v>
      </c>
      <c r="D1450" t="str">
        <f>VLOOKUP(J1450,Location[],2,FALSE)</f>
        <v>Columbus</v>
      </c>
      <c r="E1450" t="str">
        <f>VLOOKUP(J1450,Location[],3,FALSE)</f>
        <v> Ohio</v>
      </c>
      <c r="F1450" t="str">
        <f>VLOOKUP(K1450,Dept[],2,FALSE)</f>
        <v>Marketing</v>
      </c>
      <c r="G1450" s="11">
        <f t="shared" si="22"/>
        <v>44986</v>
      </c>
      <c r="H1450" t="str">
        <f>VLOOKUP(N1450,Status[],2,FALSE)</f>
        <v>Full-Time</v>
      </c>
      <c r="J1450" s="7">
        <v>1014</v>
      </c>
      <c r="K1450">
        <v>19</v>
      </c>
      <c r="L1450">
        <v>2023</v>
      </c>
      <c r="M1450">
        <v>3</v>
      </c>
      <c r="N1450">
        <v>1</v>
      </c>
    </row>
    <row r="1451" spans="1:14" x14ac:dyDescent="0.25">
      <c r="A1451" t="s">
        <v>3677</v>
      </c>
      <c r="B1451" t="s">
        <v>103</v>
      </c>
      <c r="C1451" t="s">
        <v>1384</v>
      </c>
      <c r="D1451" t="str">
        <f>VLOOKUP(J1451,Location[],2,FALSE)</f>
        <v>Columbus</v>
      </c>
      <c r="E1451" t="str">
        <f>VLOOKUP(J1451,Location[],3,FALSE)</f>
        <v> Ohio</v>
      </c>
      <c r="F1451" t="str">
        <f>VLOOKUP(K1451,Dept[],2,FALSE)</f>
        <v>R&amp;D</v>
      </c>
      <c r="G1451" s="11">
        <f t="shared" si="22"/>
        <v>42552</v>
      </c>
      <c r="H1451" t="str">
        <f>VLOOKUP(N1451,Status[],2,FALSE)</f>
        <v>Full-Time</v>
      </c>
      <c r="J1451" s="7">
        <v>1014</v>
      </c>
      <c r="K1451">
        <v>21</v>
      </c>
      <c r="L1451">
        <v>2016</v>
      </c>
      <c r="M1451">
        <v>7</v>
      </c>
      <c r="N1451">
        <v>1</v>
      </c>
    </row>
    <row r="1452" spans="1:14" x14ac:dyDescent="0.25">
      <c r="A1452" t="s">
        <v>3678</v>
      </c>
      <c r="B1452" t="s">
        <v>92</v>
      </c>
      <c r="C1452" t="s">
        <v>1719</v>
      </c>
      <c r="D1452" t="str">
        <f>VLOOKUP(J1452,Location[],2,FALSE)</f>
        <v>Los Angeles</v>
      </c>
      <c r="E1452" t="str">
        <f>VLOOKUP(J1452,Location[],3,FALSE)</f>
        <v> California</v>
      </c>
      <c r="F1452" t="str">
        <f>VLOOKUP(K1452,Dept[],2,FALSE)</f>
        <v>Shipping</v>
      </c>
      <c r="G1452" s="11">
        <f t="shared" si="22"/>
        <v>40695</v>
      </c>
      <c r="H1452" t="str">
        <f>VLOOKUP(N1452,Status[],2,FALSE)</f>
        <v>Full-Time</v>
      </c>
      <c r="J1452" s="7">
        <v>1002</v>
      </c>
      <c r="K1452">
        <v>23</v>
      </c>
      <c r="L1452">
        <v>2011</v>
      </c>
      <c r="M1452">
        <v>6</v>
      </c>
      <c r="N1452">
        <v>1</v>
      </c>
    </row>
    <row r="1453" spans="1:14" x14ac:dyDescent="0.25">
      <c r="A1453" t="s">
        <v>3679</v>
      </c>
      <c r="B1453" t="s">
        <v>367</v>
      </c>
      <c r="C1453" t="s">
        <v>372</v>
      </c>
      <c r="D1453" t="str">
        <f>VLOOKUP(J1453,Location[],2,FALSE)</f>
        <v>Minneapolis</v>
      </c>
      <c r="E1453" t="str">
        <f>VLOOKUP(J1453,Location[],3,FALSE)</f>
        <v> Minnesota</v>
      </c>
      <c r="F1453" t="str">
        <f>VLOOKUP(K1453,Dept[],2,FALSE)</f>
        <v>IT</v>
      </c>
      <c r="G1453" s="11">
        <f t="shared" si="22"/>
        <v>45017</v>
      </c>
      <c r="H1453" t="str">
        <f>VLOOKUP(N1453,Status[],2,FALSE)</f>
        <v>Full-Time</v>
      </c>
      <c r="J1453" s="7">
        <v>1046</v>
      </c>
      <c r="K1453">
        <v>17</v>
      </c>
      <c r="L1453">
        <v>2023</v>
      </c>
      <c r="M1453">
        <v>4</v>
      </c>
      <c r="N1453">
        <v>1</v>
      </c>
    </row>
    <row r="1454" spans="1:14" x14ac:dyDescent="0.25">
      <c r="A1454" t="s">
        <v>3680</v>
      </c>
      <c r="B1454" t="s">
        <v>242</v>
      </c>
      <c r="C1454" t="s">
        <v>2080</v>
      </c>
      <c r="D1454" t="str">
        <f>VLOOKUP(J1454,Location[],2,FALSE)</f>
        <v>Omaha</v>
      </c>
      <c r="E1454" t="str">
        <f>VLOOKUP(J1454,Location[],3,FALSE)</f>
        <v> Nebraska</v>
      </c>
      <c r="F1454" t="str">
        <f>VLOOKUP(K1454,Dept[],2,FALSE)</f>
        <v>Assessment</v>
      </c>
      <c r="G1454" s="11">
        <f t="shared" si="22"/>
        <v>43497</v>
      </c>
      <c r="H1454" t="str">
        <f>VLOOKUP(N1454,Status[],2,FALSE)</f>
        <v>Full-Time</v>
      </c>
      <c r="J1454" s="7">
        <v>1040</v>
      </c>
      <c r="K1454">
        <v>13</v>
      </c>
      <c r="L1454">
        <v>2019</v>
      </c>
      <c r="M1454">
        <v>2</v>
      </c>
      <c r="N1454">
        <v>1</v>
      </c>
    </row>
    <row r="1455" spans="1:14" x14ac:dyDescent="0.25">
      <c r="A1455" t="s">
        <v>3681</v>
      </c>
      <c r="B1455" t="s">
        <v>2008</v>
      </c>
      <c r="C1455" t="s">
        <v>1844</v>
      </c>
      <c r="D1455" t="str">
        <f>VLOOKUP(J1455,Location[],2,FALSE)</f>
        <v>Orlando</v>
      </c>
      <c r="E1455" t="str">
        <f>VLOOKUP(J1455,Location[],3,FALSE)</f>
        <v> Florida</v>
      </c>
      <c r="F1455" t="str">
        <f>VLOOKUP(K1455,Dept[],2,FALSE)</f>
        <v>Accounting</v>
      </c>
      <c r="G1455" s="11">
        <f t="shared" si="22"/>
        <v>40544</v>
      </c>
      <c r="H1455" t="str">
        <f>VLOOKUP(N1455,Status[],2,FALSE)</f>
        <v>Full-Time</v>
      </c>
      <c r="J1455" s="7">
        <v>1072</v>
      </c>
      <c r="K1455">
        <v>11</v>
      </c>
      <c r="L1455">
        <v>2011</v>
      </c>
      <c r="M1455">
        <v>1</v>
      </c>
      <c r="N1455">
        <v>1</v>
      </c>
    </row>
    <row r="1456" spans="1:14" x14ac:dyDescent="0.25">
      <c r="A1456" t="s">
        <v>3682</v>
      </c>
      <c r="B1456" t="s">
        <v>1210</v>
      </c>
      <c r="C1456" t="s">
        <v>1844</v>
      </c>
      <c r="D1456" t="str">
        <f>VLOOKUP(J1456,Location[],2,FALSE)</f>
        <v>Las Vegas</v>
      </c>
      <c r="E1456" t="str">
        <f>VLOOKUP(J1456,Location[],3,FALSE)</f>
        <v> Nevada</v>
      </c>
      <c r="F1456" t="str">
        <f>VLOOKUP(K1456,Dept[],2,FALSE)</f>
        <v>Finance</v>
      </c>
      <c r="G1456" s="11">
        <f t="shared" si="22"/>
        <v>44044</v>
      </c>
      <c r="H1456" t="str">
        <f>VLOOKUP(N1456,Status[],2,FALSE)</f>
        <v>Full-Time</v>
      </c>
      <c r="J1456" s="7">
        <v>1028</v>
      </c>
      <c r="K1456">
        <v>15</v>
      </c>
      <c r="L1456">
        <v>2020</v>
      </c>
      <c r="M1456">
        <v>8</v>
      </c>
      <c r="N1456">
        <v>1</v>
      </c>
    </row>
    <row r="1457" spans="1:14" x14ac:dyDescent="0.25">
      <c r="A1457" t="s">
        <v>3683</v>
      </c>
      <c r="B1457" t="s">
        <v>367</v>
      </c>
      <c r="C1457" t="s">
        <v>1328</v>
      </c>
      <c r="D1457" t="str">
        <f>VLOOKUP(J1457,Location[],2,FALSE)</f>
        <v>Tucson</v>
      </c>
      <c r="E1457" t="str">
        <f>VLOOKUP(J1457,Location[],3,FALSE)</f>
        <v> Arizona</v>
      </c>
      <c r="F1457" t="str">
        <f>VLOOKUP(K1457,Dept[],2,FALSE)</f>
        <v>Customer Support</v>
      </c>
      <c r="G1457" s="11">
        <f t="shared" si="22"/>
        <v>44166</v>
      </c>
      <c r="H1457" t="str">
        <f>VLOOKUP(N1457,Status[],2,FALSE)</f>
        <v>Part-Time</v>
      </c>
      <c r="J1457" s="7">
        <v>1033</v>
      </c>
      <c r="K1457">
        <v>14</v>
      </c>
      <c r="L1457">
        <v>2020</v>
      </c>
      <c r="M1457">
        <v>12</v>
      </c>
      <c r="N1457">
        <v>0</v>
      </c>
    </row>
    <row r="1458" spans="1:14" x14ac:dyDescent="0.25">
      <c r="A1458" t="s">
        <v>3684</v>
      </c>
      <c r="B1458" t="s">
        <v>337</v>
      </c>
      <c r="C1458" t="s">
        <v>961</v>
      </c>
      <c r="D1458" t="str">
        <f>VLOOKUP(J1458,Location[],2,FALSE)</f>
        <v>New York City</v>
      </c>
      <c r="E1458" t="str">
        <f>VLOOKUP(J1458,Location[],3,FALSE)</f>
        <v> New York</v>
      </c>
      <c r="F1458" t="str">
        <f>VLOOKUP(K1458,Dept[],2,FALSE)</f>
        <v>Legal</v>
      </c>
      <c r="G1458" s="11">
        <f t="shared" si="22"/>
        <v>42583</v>
      </c>
      <c r="H1458" t="str">
        <f>VLOOKUP(N1458,Status[],2,FALSE)</f>
        <v>Full-Time</v>
      </c>
      <c r="J1458" s="7">
        <v>1001</v>
      </c>
      <c r="K1458">
        <v>18</v>
      </c>
      <c r="L1458">
        <v>2016</v>
      </c>
      <c r="M1458">
        <v>8</v>
      </c>
      <c r="N1458">
        <v>1</v>
      </c>
    </row>
    <row r="1459" spans="1:14" x14ac:dyDescent="0.25">
      <c r="A1459" t="s">
        <v>3685</v>
      </c>
      <c r="B1459" t="s">
        <v>960</v>
      </c>
      <c r="C1459" t="s">
        <v>961</v>
      </c>
      <c r="D1459" t="str">
        <f>VLOOKUP(J1459,Location[],2,FALSE)</f>
        <v>Wichita</v>
      </c>
      <c r="E1459" t="str">
        <f>VLOOKUP(J1459,Location[],3,FALSE)</f>
        <v> Kansas</v>
      </c>
      <c r="F1459" t="str">
        <f>VLOOKUP(K1459,Dept[],2,FALSE)</f>
        <v>Legal</v>
      </c>
      <c r="G1459" s="11">
        <f t="shared" si="22"/>
        <v>41275</v>
      </c>
      <c r="H1459" t="str">
        <f>VLOOKUP(N1459,Status[],2,FALSE)</f>
        <v>Full-Time</v>
      </c>
      <c r="J1459" s="7">
        <v>1050</v>
      </c>
      <c r="K1459">
        <v>18</v>
      </c>
      <c r="L1459">
        <v>2013</v>
      </c>
      <c r="M1459">
        <v>1</v>
      </c>
      <c r="N1459">
        <v>1</v>
      </c>
    </row>
    <row r="1460" spans="1:14" x14ac:dyDescent="0.25">
      <c r="A1460" t="s">
        <v>3686</v>
      </c>
      <c r="B1460" t="s">
        <v>83</v>
      </c>
      <c r="C1460" t="s">
        <v>1643</v>
      </c>
      <c r="D1460" t="str">
        <f>VLOOKUP(J1460,Location[],2,FALSE)</f>
        <v>Dallas</v>
      </c>
      <c r="E1460" t="str">
        <f>VLOOKUP(J1460,Location[],3,FALSE)</f>
        <v> Texas</v>
      </c>
      <c r="F1460" t="str">
        <f>VLOOKUP(K1460,Dept[],2,FALSE)</f>
        <v>Administration</v>
      </c>
      <c r="G1460" s="11">
        <f t="shared" si="22"/>
        <v>42948</v>
      </c>
      <c r="H1460" t="str">
        <f>VLOOKUP(N1460,Status[],2,FALSE)</f>
        <v>Full-Time</v>
      </c>
      <c r="J1460" s="7">
        <v>1009</v>
      </c>
      <c r="K1460">
        <v>12</v>
      </c>
      <c r="L1460">
        <v>2017</v>
      </c>
      <c r="M1460">
        <v>8</v>
      </c>
      <c r="N1460">
        <v>1</v>
      </c>
    </row>
    <row r="1461" spans="1:14" x14ac:dyDescent="0.25">
      <c r="A1461" t="s">
        <v>3687</v>
      </c>
      <c r="B1461" t="s">
        <v>821</v>
      </c>
      <c r="C1461" t="s">
        <v>822</v>
      </c>
      <c r="D1461" t="str">
        <f>VLOOKUP(J1461,Location[],2,FALSE)</f>
        <v>Norfolk</v>
      </c>
      <c r="E1461" t="str">
        <f>VLOOKUP(J1461,Location[],3,FALSE)</f>
        <v> Virginia</v>
      </c>
      <c r="F1461" t="str">
        <f>VLOOKUP(K1461,Dept[],2,FALSE)</f>
        <v>Accounting</v>
      </c>
      <c r="G1461" s="11">
        <f t="shared" si="22"/>
        <v>45139</v>
      </c>
      <c r="H1461" t="str">
        <f>VLOOKUP(N1461,Status[],2,FALSE)</f>
        <v>Full-Time</v>
      </c>
      <c r="J1461" s="7">
        <v>1088</v>
      </c>
      <c r="K1461">
        <v>11</v>
      </c>
      <c r="L1461">
        <v>2023</v>
      </c>
      <c r="M1461">
        <v>8</v>
      </c>
      <c r="N1461">
        <v>1</v>
      </c>
    </row>
    <row r="1462" spans="1:14" x14ac:dyDescent="0.25">
      <c r="A1462" t="s">
        <v>3688</v>
      </c>
      <c r="B1462" t="s">
        <v>1001</v>
      </c>
      <c r="C1462" t="s">
        <v>1002</v>
      </c>
      <c r="D1462" t="str">
        <f>VLOOKUP(J1462,Location[],2,FALSE)</f>
        <v>Milwaukee</v>
      </c>
      <c r="E1462" t="str">
        <f>VLOOKUP(J1462,Location[],3,FALSE)</f>
        <v> Wisconsin</v>
      </c>
      <c r="F1462" t="str">
        <f>VLOOKUP(K1462,Dept[],2,FALSE)</f>
        <v>Assessment</v>
      </c>
      <c r="G1462" s="11">
        <f t="shared" si="22"/>
        <v>42887</v>
      </c>
      <c r="H1462" t="str">
        <f>VLOOKUP(N1462,Status[],2,FALSE)</f>
        <v>Part-Time</v>
      </c>
      <c r="J1462" s="7">
        <v>1031</v>
      </c>
      <c r="K1462">
        <v>13</v>
      </c>
      <c r="L1462">
        <v>2017</v>
      </c>
      <c r="M1462">
        <v>6</v>
      </c>
      <c r="N1462">
        <v>0</v>
      </c>
    </row>
    <row r="1463" spans="1:14" x14ac:dyDescent="0.25">
      <c r="A1463" t="s">
        <v>3689</v>
      </c>
      <c r="B1463" t="s">
        <v>7</v>
      </c>
      <c r="C1463" t="s">
        <v>1304</v>
      </c>
      <c r="D1463" t="str">
        <f>VLOOKUP(J1463,Location[],2,FALSE)</f>
        <v>Minneapolis</v>
      </c>
      <c r="E1463" t="str">
        <f>VLOOKUP(J1463,Location[],3,FALSE)</f>
        <v> Minnesota</v>
      </c>
      <c r="F1463" t="str">
        <f>VLOOKUP(K1463,Dept[],2,FALSE)</f>
        <v>Assessment</v>
      </c>
      <c r="G1463" s="11">
        <f t="shared" si="22"/>
        <v>43678</v>
      </c>
      <c r="H1463" t="str">
        <f>VLOOKUP(N1463,Status[],2,FALSE)</f>
        <v>Full-Time</v>
      </c>
      <c r="J1463" s="7">
        <v>1046</v>
      </c>
      <c r="K1463">
        <v>13</v>
      </c>
      <c r="L1463">
        <v>2019</v>
      </c>
      <c r="M1463">
        <v>8</v>
      </c>
      <c r="N1463">
        <v>1</v>
      </c>
    </row>
    <row r="1464" spans="1:14" x14ac:dyDescent="0.25">
      <c r="A1464" t="s">
        <v>3690</v>
      </c>
      <c r="B1464" t="s">
        <v>108</v>
      </c>
      <c r="C1464" t="s">
        <v>985</v>
      </c>
      <c r="D1464" t="str">
        <f>VLOOKUP(J1464,Location[],2,FALSE)</f>
        <v>Columbus</v>
      </c>
      <c r="E1464" t="str">
        <f>VLOOKUP(J1464,Location[],3,FALSE)</f>
        <v> Ohio</v>
      </c>
      <c r="F1464" t="str">
        <f>VLOOKUP(K1464,Dept[],2,FALSE)</f>
        <v>Media</v>
      </c>
      <c r="G1464" s="11">
        <f t="shared" si="22"/>
        <v>44348</v>
      </c>
      <c r="H1464" t="str">
        <f>VLOOKUP(N1464,Status[],2,FALSE)</f>
        <v>Part-Time</v>
      </c>
      <c r="J1464" s="7">
        <v>1014</v>
      </c>
      <c r="K1464">
        <v>20</v>
      </c>
      <c r="L1464">
        <v>2021</v>
      </c>
      <c r="M1464">
        <v>6</v>
      </c>
      <c r="N1464">
        <v>0</v>
      </c>
    </row>
    <row r="1465" spans="1:14" x14ac:dyDescent="0.25">
      <c r="A1465" t="s">
        <v>3691</v>
      </c>
      <c r="B1465" t="s">
        <v>1148</v>
      </c>
      <c r="C1465" t="s">
        <v>1149</v>
      </c>
      <c r="D1465" t="str">
        <f>VLOOKUP(J1465,Location[],2,FALSE)</f>
        <v>San Antonio</v>
      </c>
      <c r="E1465" t="str">
        <f>VLOOKUP(J1465,Location[],3,FALSE)</f>
        <v> Texas</v>
      </c>
      <c r="F1465" t="str">
        <f>VLOOKUP(K1465,Dept[],2,FALSE)</f>
        <v>Finance</v>
      </c>
      <c r="G1465" s="11">
        <f t="shared" si="22"/>
        <v>43617</v>
      </c>
      <c r="H1465" t="str">
        <f>VLOOKUP(N1465,Status[],2,FALSE)</f>
        <v>Full-Time</v>
      </c>
      <c r="J1465" s="7">
        <v>1007</v>
      </c>
      <c r="K1465">
        <v>15</v>
      </c>
      <c r="L1465">
        <v>2019</v>
      </c>
      <c r="M1465">
        <v>6</v>
      </c>
      <c r="N1465">
        <v>1</v>
      </c>
    </row>
    <row r="1466" spans="1:14" x14ac:dyDescent="0.25">
      <c r="A1466" t="s">
        <v>3692</v>
      </c>
      <c r="B1466" t="s">
        <v>339</v>
      </c>
      <c r="C1466" t="s">
        <v>1962</v>
      </c>
      <c r="D1466" t="str">
        <f>VLOOKUP(J1466,Location[],2,FALSE)</f>
        <v>Los Angeles</v>
      </c>
      <c r="E1466" t="str">
        <f>VLOOKUP(J1466,Location[],3,FALSE)</f>
        <v> California</v>
      </c>
      <c r="F1466" t="str">
        <f>VLOOKUP(K1466,Dept[],2,FALSE)</f>
        <v>R&amp;D</v>
      </c>
      <c r="G1466" s="11">
        <f t="shared" si="22"/>
        <v>40634</v>
      </c>
      <c r="H1466" t="str">
        <f>VLOOKUP(N1466,Status[],2,FALSE)</f>
        <v>Full-Time</v>
      </c>
      <c r="J1466" s="7">
        <v>1002</v>
      </c>
      <c r="K1466">
        <v>21</v>
      </c>
      <c r="L1466">
        <v>2011</v>
      </c>
      <c r="M1466">
        <v>4</v>
      </c>
      <c r="N1466">
        <v>1</v>
      </c>
    </row>
    <row r="1467" spans="1:14" x14ac:dyDescent="0.25">
      <c r="A1467" t="s">
        <v>3693</v>
      </c>
      <c r="B1467" t="s">
        <v>899</v>
      </c>
      <c r="C1467" t="s">
        <v>900</v>
      </c>
      <c r="D1467" t="str">
        <f>VLOOKUP(J1467,Location[],2,FALSE)</f>
        <v>Tucson</v>
      </c>
      <c r="E1467" t="str">
        <f>VLOOKUP(J1467,Location[],3,FALSE)</f>
        <v> Arizona</v>
      </c>
      <c r="F1467" t="str">
        <f>VLOOKUP(K1467,Dept[],2,FALSE)</f>
        <v>Administration</v>
      </c>
      <c r="G1467" s="11">
        <f t="shared" si="22"/>
        <v>43678</v>
      </c>
      <c r="H1467" t="str">
        <f>VLOOKUP(N1467,Status[],2,FALSE)</f>
        <v>Full-Time</v>
      </c>
      <c r="J1467" s="7">
        <v>1033</v>
      </c>
      <c r="K1467">
        <v>12</v>
      </c>
      <c r="L1467">
        <v>2019</v>
      </c>
      <c r="M1467">
        <v>8</v>
      </c>
      <c r="N1467">
        <v>1</v>
      </c>
    </row>
    <row r="1468" spans="1:14" x14ac:dyDescent="0.25">
      <c r="A1468" t="s">
        <v>3694</v>
      </c>
      <c r="B1468" t="s">
        <v>866</v>
      </c>
      <c r="C1468" t="s">
        <v>1270</v>
      </c>
      <c r="D1468" t="str">
        <f>VLOOKUP(J1468,Location[],2,FALSE)</f>
        <v>Kansas City</v>
      </c>
      <c r="E1468" t="str">
        <f>VLOOKUP(J1468,Location[],3,FALSE)</f>
        <v> Missouri</v>
      </c>
      <c r="F1468" t="str">
        <f>VLOOKUP(K1468,Dept[],2,FALSE)</f>
        <v>Accounting</v>
      </c>
      <c r="G1468" s="11">
        <f t="shared" si="22"/>
        <v>41699</v>
      </c>
      <c r="H1468" t="str">
        <f>VLOOKUP(N1468,Status[],2,FALSE)</f>
        <v>Full-Time</v>
      </c>
      <c r="J1468" s="7">
        <v>1037</v>
      </c>
      <c r="K1468">
        <v>11</v>
      </c>
      <c r="L1468">
        <v>2014</v>
      </c>
      <c r="M1468">
        <v>3</v>
      </c>
      <c r="N1468">
        <v>1</v>
      </c>
    </row>
    <row r="1469" spans="1:14" x14ac:dyDescent="0.25">
      <c r="A1469" t="s">
        <v>3695</v>
      </c>
      <c r="B1469" t="s">
        <v>455</v>
      </c>
      <c r="C1469" t="s">
        <v>443</v>
      </c>
      <c r="D1469" t="str">
        <f>VLOOKUP(J1469,Location[],2,FALSE)</f>
        <v>Albuquerque</v>
      </c>
      <c r="E1469" t="str">
        <f>VLOOKUP(J1469,Location[],3,FALSE)</f>
        <v> New Mexico</v>
      </c>
      <c r="F1469" t="str">
        <f>VLOOKUP(K1469,Dept[],2,FALSE)</f>
        <v>Administration</v>
      </c>
      <c r="G1469" s="11">
        <f t="shared" si="22"/>
        <v>41671</v>
      </c>
      <c r="H1469" t="str">
        <f>VLOOKUP(N1469,Status[],2,FALSE)</f>
        <v>Full-Time</v>
      </c>
      <c r="J1469" s="7">
        <v>1032</v>
      </c>
      <c r="K1469">
        <v>12</v>
      </c>
      <c r="L1469">
        <v>2014</v>
      </c>
      <c r="M1469">
        <v>2</v>
      </c>
      <c r="N1469">
        <v>1</v>
      </c>
    </row>
    <row r="1470" spans="1:14" x14ac:dyDescent="0.25">
      <c r="A1470" t="s">
        <v>3696</v>
      </c>
      <c r="B1470" t="s">
        <v>83</v>
      </c>
      <c r="C1470" t="s">
        <v>443</v>
      </c>
      <c r="D1470" t="str">
        <f>VLOOKUP(J1470,Location[],2,FALSE)</f>
        <v>Los Angeles</v>
      </c>
      <c r="E1470" t="str">
        <f>VLOOKUP(J1470,Location[],3,FALSE)</f>
        <v> California</v>
      </c>
      <c r="F1470" t="str">
        <f>VLOOKUP(K1470,Dept[],2,FALSE)</f>
        <v>Marketing</v>
      </c>
      <c r="G1470" s="11">
        <f t="shared" si="22"/>
        <v>43040</v>
      </c>
      <c r="H1470" t="str">
        <f>VLOOKUP(N1470,Status[],2,FALSE)</f>
        <v>Full-Time</v>
      </c>
      <c r="J1470" s="7">
        <v>1002</v>
      </c>
      <c r="K1470">
        <v>19</v>
      </c>
      <c r="L1470">
        <v>2017</v>
      </c>
      <c r="M1470">
        <v>11</v>
      </c>
      <c r="N1470">
        <v>1</v>
      </c>
    </row>
    <row r="1471" spans="1:14" x14ac:dyDescent="0.25">
      <c r="A1471" t="s">
        <v>3697</v>
      </c>
      <c r="B1471" t="s">
        <v>378</v>
      </c>
      <c r="C1471" t="s">
        <v>1665</v>
      </c>
      <c r="D1471" t="str">
        <f>VLOOKUP(J1471,Location[],2,FALSE)</f>
        <v>Mesa</v>
      </c>
      <c r="E1471" t="str">
        <f>VLOOKUP(J1471,Location[],3,FALSE)</f>
        <v> Arizona</v>
      </c>
      <c r="F1471" t="str">
        <f>VLOOKUP(K1471,Dept[],2,FALSE)</f>
        <v>Accounting</v>
      </c>
      <c r="G1471" s="11">
        <f t="shared" si="22"/>
        <v>40603</v>
      </c>
      <c r="H1471" t="str">
        <f>VLOOKUP(N1471,Status[],2,FALSE)</f>
        <v>Full-Time</v>
      </c>
      <c r="J1471" s="7">
        <v>1036</v>
      </c>
      <c r="K1471">
        <v>11</v>
      </c>
      <c r="L1471">
        <v>2011</v>
      </c>
      <c r="M1471">
        <v>3</v>
      </c>
      <c r="N1471">
        <v>1</v>
      </c>
    </row>
    <row r="1472" spans="1:14" x14ac:dyDescent="0.25">
      <c r="A1472" t="s">
        <v>3698</v>
      </c>
      <c r="B1472" t="s">
        <v>459</v>
      </c>
      <c r="C1472" t="s">
        <v>2076</v>
      </c>
      <c r="D1472" t="str">
        <f>VLOOKUP(J1472,Location[],2,FALSE)</f>
        <v>Anchorage</v>
      </c>
      <c r="E1472" t="str">
        <f>VLOOKUP(J1472,Location[],3,FALSE)</f>
        <v> Alaska</v>
      </c>
      <c r="F1472" t="str">
        <f>VLOOKUP(K1472,Dept[],2,FALSE)</f>
        <v>Human Resources</v>
      </c>
      <c r="G1472" s="11">
        <f t="shared" si="22"/>
        <v>43070</v>
      </c>
      <c r="H1472" t="str">
        <f>VLOOKUP(N1472,Status[],2,FALSE)</f>
        <v>Full-Time</v>
      </c>
      <c r="J1472" s="7">
        <v>1067</v>
      </c>
      <c r="K1472">
        <v>16</v>
      </c>
      <c r="L1472">
        <v>2017</v>
      </c>
      <c r="M1472">
        <v>12</v>
      </c>
      <c r="N1472">
        <v>1</v>
      </c>
    </row>
    <row r="1473" spans="1:14" x14ac:dyDescent="0.25">
      <c r="A1473" t="s">
        <v>3699</v>
      </c>
      <c r="B1473" t="s">
        <v>57</v>
      </c>
      <c r="C1473" t="s">
        <v>156</v>
      </c>
      <c r="D1473" t="str">
        <f>VLOOKUP(J1473,Location[],2,FALSE)</f>
        <v>Los Angeles</v>
      </c>
      <c r="E1473" t="str">
        <f>VLOOKUP(J1473,Location[],3,FALSE)</f>
        <v> California</v>
      </c>
      <c r="F1473" t="str">
        <f>VLOOKUP(K1473,Dept[],2,FALSE)</f>
        <v>Shipping</v>
      </c>
      <c r="G1473" s="11">
        <f t="shared" si="22"/>
        <v>42430</v>
      </c>
      <c r="H1473" t="str">
        <f>VLOOKUP(N1473,Status[],2,FALSE)</f>
        <v>Full-Time</v>
      </c>
      <c r="J1473" s="7">
        <v>1002</v>
      </c>
      <c r="K1473">
        <v>23</v>
      </c>
      <c r="L1473">
        <v>2016</v>
      </c>
      <c r="M1473">
        <v>3</v>
      </c>
      <c r="N1473">
        <v>1</v>
      </c>
    </row>
    <row r="1474" spans="1:14" x14ac:dyDescent="0.25">
      <c r="A1474" t="s">
        <v>3700</v>
      </c>
      <c r="B1474" t="s">
        <v>313</v>
      </c>
      <c r="C1474" t="s">
        <v>1977</v>
      </c>
      <c r="D1474" t="str">
        <f>VLOOKUP(J1474,Location[],2,FALSE)</f>
        <v>Arlington</v>
      </c>
      <c r="E1474" t="str">
        <f>VLOOKUP(J1474,Location[],3,FALSE)</f>
        <v> Texas</v>
      </c>
      <c r="F1474" t="str">
        <f>VLOOKUP(K1474,Dept[],2,FALSE)</f>
        <v>Sales</v>
      </c>
      <c r="G1474" s="11">
        <f t="shared" si="22"/>
        <v>40664</v>
      </c>
      <c r="H1474" t="str">
        <f>VLOOKUP(N1474,Status[],2,FALSE)</f>
        <v>Full-Time</v>
      </c>
      <c r="J1474" s="7">
        <v>1048</v>
      </c>
      <c r="K1474">
        <v>22</v>
      </c>
      <c r="L1474">
        <v>2011</v>
      </c>
      <c r="M1474">
        <v>5</v>
      </c>
      <c r="N1474">
        <v>1</v>
      </c>
    </row>
    <row r="1475" spans="1:14" x14ac:dyDescent="0.25">
      <c r="A1475" t="s">
        <v>3701</v>
      </c>
      <c r="B1475" t="s">
        <v>763</v>
      </c>
      <c r="C1475" t="s">
        <v>1132</v>
      </c>
      <c r="D1475" t="str">
        <f>VLOOKUP(J1475,Location[],2,FALSE)</f>
        <v>Saint Paul</v>
      </c>
      <c r="E1475" t="str">
        <f>VLOOKUP(J1475,Location[],3,FALSE)</f>
        <v> Minnesota</v>
      </c>
      <c r="F1475" t="str">
        <f>VLOOKUP(K1475,Dept[],2,FALSE)</f>
        <v>Customer Support</v>
      </c>
      <c r="G1475" s="11">
        <f t="shared" si="22"/>
        <v>40695</v>
      </c>
      <c r="H1475" t="str">
        <f>VLOOKUP(N1475,Status[],2,FALSE)</f>
        <v>Full-Time</v>
      </c>
      <c r="J1475" s="7">
        <v>1063</v>
      </c>
      <c r="K1475">
        <v>14</v>
      </c>
      <c r="L1475">
        <v>2011</v>
      </c>
      <c r="M1475">
        <v>6</v>
      </c>
      <c r="N1475">
        <v>1</v>
      </c>
    </row>
    <row r="1476" spans="1:14" x14ac:dyDescent="0.25">
      <c r="A1476" t="s">
        <v>2366</v>
      </c>
      <c r="B1476" t="s">
        <v>135</v>
      </c>
      <c r="C1476" t="s">
        <v>622</v>
      </c>
      <c r="D1476" t="str">
        <f>VLOOKUP(J1476,Location[],2,FALSE)</f>
        <v>New York City</v>
      </c>
      <c r="E1476" t="str">
        <f>VLOOKUP(J1476,Location[],3,FALSE)</f>
        <v> New York</v>
      </c>
      <c r="F1476" t="str">
        <f>VLOOKUP(K1476,Dept[],2,FALSE)</f>
        <v>Administration</v>
      </c>
      <c r="G1476" s="11">
        <f t="shared" si="22"/>
        <v>43739</v>
      </c>
      <c r="H1476" t="str">
        <f>VLOOKUP(N1476,Status[],2,FALSE)</f>
        <v>Full-Time</v>
      </c>
      <c r="J1476" s="7">
        <v>1001</v>
      </c>
      <c r="K1476">
        <v>12</v>
      </c>
      <c r="L1476">
        <v>2019</v>
      </c>
      <c r="M1476">
        <v>10</v>
      </c>
      <c r="N1476">
        <v>1</v>
      </c>
    </row>
    <row r="1477" spans="1:14" x14ac:dyDescent="0.25">
      <c r="A1477" t="s">
        <v>3702</v>
      </c>
      <c r="B1477" t="s">
        <v>296</v>
      </c>
      <c r="C1477" t="s">
        <v>1522</v>
      </c>
      <c r="D1477" t="str">
        <f>VLOOKUP(J1477,Location[],2,FALSE)</f>
        <v>Indianapolis</v>
      </c>
      <c r="E1477" t="str">
        <f>VLOOKUP(J1477,Location[],3,FALSE)</f>
        <v> Indiana</v>
      </c>
      <c r="F1477" t="str">
        <f>VLOOKUP(K1477,Dept[],2,FALSE)</f>
        <v>Accounting</v>
      </c>
      <c r="G1477" s="11">
        <f t="shared" ref="G1477:G1540" si="23">DATE(L1477,M1477,1)</f>
        <v>43709</v>
      </c>
      <c r="H1477" t="str">
        <f>VLOOKUP(N1477,Status[],2,FALSE)</f>
        <v>Full-Time</v>
      </c>
      <c r="J1477" s="7">
        <v>1016</v>
      </c>
      <c r="K1477">
        <v>11</v>
      </c>
      <c r="L1477">
        <v>2019</v>
      </c>
      <c r="M1477">
        <v>9</v>
      </c>
      <c r="N1477">
        <v>1</v>
      </c>
    </row>
    <row r="1478" spans="1:14" x14ac:dyDescent="0.25">
      <c r="A1478" t="s">
        <v>3703</v>
      </c>
      <c r="B1478" t="s">
        <v>144</v>
      </c>
      <c r="C1478" t="s">
        <v>145</v>
      </c>
      <c r="D1478" t="str">
        <f>VLOOKUP(J1478,Location[],2,FALSE)</f>
        <v>Santa Ana</v>
      </c>
      <c r="E1478" t="str">
        <f>VLOOKUP(J1478,Location[],3,FALSE)</f>
        <v> California</v>
      </c>
      <c r="F1478" t="str">
        <f>VLOOKUP(K1478,Dept[],2,FALSE)</f>
        <v>Marketing</v>
      </c>
      <c r="G1478" s="11">
        <f t="shared" si="23"/>
        <v>42156</v>
      </c>
      <c r="H1478" t="str">
        <f>VLOOKUP(N1478,Status[],2,FALSE)</f>
        <v>Full-Time</v>
      </c>
      <c r="J1478" s="7">
        <v>1057</v>
      </c>
      <c r="K1478">
        <v>19</v>
      </c>
      <c r="L1478">
        <v>2015</v>
      </c>
      <c r="M1478">
        <v>6</v>
      </c>
      <c r="N1478">
        <v>1</v>
      </c>
    </row>
    <row r="1479" spans="1:14" x14ac:dyDescent="0.25">
      <c r="A1479" t="s">
        <v>3704</v>
      </c>
      <c r="B1479" t="s">
        <v>1932</v>
      </c>
      <c r="C1479" t="s">
        <v>1933</v>
      </c>
      <c r="D1479" t="str">
        <f>VLOOKUP(J1479,Location[],2,FALSE)</f>
        <v>Henderson</v>
      </c>
      <c r="E1479" t="str">
        <f>VLOOKUP(J1479,Location[],3,FALSE)</f>
        <v> Nevada</v>
      </c>
      <c r="F1479" t="str">
        <f>VLOOKUP(K1479,Dept[],2,FALSE)</f>
        <v>Sales</v>
      </c>
      <c r="G1479" s="11">
        <f t="shared" si="23"/>
        <v>42125</v>
      </c>
      <c r="H1479" t="str">
        <f>VLOOKUP(N1479,Status[],2,FALSE)</f>
        <v>Full-Time</v>
      </c>
      <c r="J1479" s="7">
        <v>1064</v>
      </c>
      <c r="K1479">
        <v>22</v>
      </c>
      <c r="L1479">
        <v>2015</v>
      </c>
      <c r="M1479">
        <v>5</v>
      </c>
      <c r="N1479">
        <v>1</v>
      </c>
    </row>
    <row r="1480" spans="1:14" x14ac:dyDescent="0.25">
      <c r="A1480" t="s">
        <v>3705</v>
      </c>
      <c r="B1480" t="s">
        <v>307</v>
      </c>
      <c r="C1480" t="s">
        <v>1085</v>
      </c>
      <c r="D1480" t="str">
        <f>VLOOKUP(J1480,Location[],2,FALSE)</f>
        <v>Aurora</v>
      </c>
      <c r="E1480" t="str">
        <f>VLOOKUP(J1480,Location[],3,FALSE)</f>
        <v> Colorado</v>
      </c>
      <c r="F1480" t="str">
        <f>VLOOKUP(K1480,Dept[],2,FALSE)</f>
        <v>Accounting</v>
      </c>
      <c r="G1480" s="11">
        <f t="shared" si="23"/>
        <v>41091</v>
      </c>
      <c r="H1480" t="str">
        <f>VLOOKUP(N1480,Status[],2,FALSE)</f>
        <v>Full-Time</v>
      </c>
      <c r="J1480" s="7">
        <v>1054</v>
      </c>
      <c r="K1480">
        <v>11</v>
      </c>
      <c r="L1480">
        <v>2012</v>
      </c>
      <c r="M1480">
        <v>7</v>
      </c>
      <c r="N1480">
        <v>1</v>
      </c>
    </row>
    <row r="1481" spans="1:14" x14ac:dyDescent="0.25">
      <c r="A1481" t="s">
        <v>3706</v>
      </c>
      <c r="B1481" t="s">
        <v>280</v>
      </c>
      <c r="C1481" t="s">
        <v>2030</v>
      </c>
      <c r="D1481" t="str">
        <f>VLOOKUP(J1481,Location[],2,FALSE)</f>
        <v>Sacramento</v>
      </c>
      <c r="E1481" t="str">
        <f>VLOOKUP(J1481,Location[],3,FALSE)</f>
        <v> California</v>
      </c>
      <c r="F1481" t="str">
        <f>VLOOKUP(K1481,Dept[],2,FALSE)</f>
        <v>IT</v>
      </c>
      <c r="G1481" s="11">
        <f t="shared" si="23"/>
        <v>41275</v>
      </c>
      <c r="H1481" t="str">
        <f>VLOOKUP(N1481,Status[],2,FALSE)</f>
        <v>Part-Time</v>
      </c>
      <c r="J1481" s="7">
        <v>1035</v>
      </c>
      <c r="K1481">
        <v>17</v>
      </c>
      <c r="L1481">
        <v>2013</v>
      </c>
      <c r="M1481">
        <v>1</v>
      </c>
      <c r="N1481">
        <v>0</v>
      </c>
    </row>
    <row r="1482" spans="1:14" x14ac:dyDescent="0.25">
      <c r="A1482" t="s">
        <v>3707</v>
      </c>
      <c r="B1482" t="s">
        <v>294</v>
      </c>
      <c r="C1482" t="s">
        <v>295</v>
      </c>
      <c r="D1482" t="str">
        <f>VLOOKUP(J1482,Location[],2,FALSE)</f>
        <v>New York City</v>
      </c>
      <c r="E1482" t="str">
        <f>VLOOKUP(J1482,Location[],3,FALSE)</f>
        <v> New York</v>
      </c>
      <c r="F1482" t="str">
        <f>VLOOKUP(K1482,Dept[],2,FALSE)</f>
        <v>Customer Support</v>
      </c>
      <c r="G1482" s="11">
        <f t="shared" si="23"/>
        <v>43009</v>
      </c>
      <c r="H1482" t="str">
        <f>VLOOKUP(N1482,Status[],2,FALSE)</f>
        <v>Full-Time</v>
      </c>
      <c r="J1482" s="7">
        <v>1001</v>
      </c>
      <c r="K1482">
        <v>14</v>
      </c>
      <c r="L1482">
        <v>2017</v>
      </c>
      <c r="M1482">
        <v>10</v>
      </c>
      <c r="N1482">
        <v>1</v>
      </c>
    </row>
    <row r="1483" spans="1:14" x14ac:dyDescent="0.25">
      <c r="A1483" t="s">
        <v>3708</v>
      </c>
      <c r="B1483" t="s">
        <v>198</v>
      </c>
      <c r="C1483" t="s">
        <v>295</v>
      </c>
      <c r="D1483" t="str">
        <f>VLOOKUP(J1483,Location[],2,FALSE)</f>
        <v>Oakland</v>
      </c>
      <c r="E1483" t="str">
        <f>VLOOKUP(J1483,Location[],3,FALSE)</f>
        <v> California</v>
      </c>
      <c r="F1483" t="str">
        <f>VLOOKUP(K1483,Dept[],2,FALSE)</f>
        <v>Accounting</v>
      </c>
      <c r="G1483" s="11">
        <f t="shared" si="23"/>
        <v>43160</v>
      </c>
      <c r="H1483" t="str">
        <f>VLOOKUP(N1483,Status[],2,FALSE)</f>
        <v>Full-Time</v>
      </c>
      <c r="J1483" s="7">
        <v>1045</v>
      </c>
      <c r="K1483">
        <v>11</v>
      </c>
      <c r="L1483">
        <v>2018</v>
      </c>
      <c r="M1483">
        <v>3</v>
      </c>
      <c r="N1483">
        <v>1</v>
      </c>
    </row>
    <row r="1484" spans="1:14" x14ac:dyDescent="0.25">
      <c r="A1484" t="s">
        <v>3709</v>
      </c>
      <c r="B1484" t="s">
        <v>1462</v>
      </c>
      <c r="C1484" t="s">
        <v>295</v>
      </c>
      <c r="D1484" t="str">
        <f>VLOOKUP(J1484,Location[],2,FALSE)</f>
        <v>Honolulu</v>
      </c>
      <c r="E1484" t="str">
        <f>VLOOKUP(J1484,Location[],3,FALSE)</f>
        <v> Hawaii</v>
      </c>
      <c r="F1484" t="str">
        <f>VLOOKUP(K1484,Dept[],2,FALSE)</f>
        <v>Administration</v>
      </c>
      <c r="G1484" s="11">
        <f t="shared" si="23"/>
        <v>43405</v>
      </c>
      <c r="H1484" t="str">
        <f>VLOOKUP(N1484,Status[],2,FALSE)</f>
        <v>Full-Time</v>
      </c>
      <c r="J1484" s="7">
        <v>1056</v>
      </c>
      <c r="K1484">
        <v>12</v>
      </c>
      <c r="L1484">
        <v>2018</v>
      </c>
      <c r="M1484">
        <v>11</v>
      </c>
      <c r="N1484">
        <v>1</v>
      </c>
    </row>
    <row r="1485" spans="1:14" x14ac:dyDescent="0.25">
      <c r="A1485" t="s">
        <v>3710</v>
      </c>
      <c r="B1485" t="s">
        <v>888</v>
      </c>
      <c r="C1485" t="s">
        <v>295</v>
      </c>
      <c r="D1485" t="str">
        <f>VLOOKUP(J1485,Location[],2,FALSE)</f>
        <v>Phoenix</v>
      </c>
      <c r="E1485" t="str">
        <f>VLOOKUP(J1485,Location[],3,FALSE)</f>
        <v> Arizona</v>
      </c>
      <c r="F1485" t="str">
        <f>VLOOKUP(K1485,Dept[],2,FALSE)</f>
        <v>Marketing</v>
      </c>
      <c r="G1485" s="11">
        <f t="shared" si="23"/>
        <v>44593</v>
      </c>
      <c r="H1485" t="str">
        <f>VLOOKUP(N1485,Status[],2,FALSE)</f>
        <v>Full-Time</v>
      </c>
      <c r="J1485" s="7">
        <v>1005</v>
      </c>
      <c r="K1485">
        <v>19</v>
      </c>
      <c r="L1485">
        <v>2022</v>
      </c>
      <c r="M1485">
        <v>2</v>
      </c>
      <c r="N1485">
        <v>1</v>
      </c>
    </row>
    <row r="1486" spans="1:14" x14ac:dyDescent="0.25">
      <c r="A1486" t="s">
        <v>3711</v>
      </c>
      <c r="B1486" t="s">
        <v>1202</v>
      </c>
      <c r="C1486" t="s">
        <v>295</v>
      </c>
      <c r="D1486" t="str">
        <f>VLOOKUP(J1486,Location[],2,FALSE)</f>
        <v>Cleveland</v>
      </c>
      <c r="E1486" t="str">
        <f>VLOOKUP(J1486,Location[],3,FALSE)</f>
        <v> Ohio</v>
      </c>
      <c r="F1486" t="str">
        <f>VLOOKUP(K1486,Dept[],2,FALSE)</f>
        <v>Administration</v>
      </c>
      <c r="G1486" s="11">
        <f t="shared" si="23"/>
        <v>41730</v>
      </c>
      <c r="H1486" t="str">
        <f>VLOOKUP(N1486,Status[],2,FALSE)</f>
        <v>Full-Time</v>
      </c>
      <c r="J1486" s="7">
        <v>1051</v>
      </c>
      <c r="K1486">
        <v>12</v>
      </c>
      <c r="L1486">
        <v>2014</v>
      </c>
      <c r="M1486">
        <v>4</v>
      </c>
      <c r="N1486">
        <v>1</v>
      </c>
    </row>
    <row r="1487" spans="1:14" x14ac:dyDescent="0.25">
      <c r="A1487" t="s">
        <v>3712</v>
      </c>
      <c r="B1487" t="s">
        <v>427</v>
      </c>
      <c r="C1487" t="s">
        <v>1680</v>
      </c>
      <c r="D1487" t="str">
        <f>VLOOKUP(J1487,Location[],2,FALSE)</f>
        <v>Jacksonville</v>
      </c>
      <c r="E1487" t="str">
        <f>VLOOKUP(J1487,Location[],3,FALSE)</f>
        <v> Florida</v>
      </c>
      <c r="F1487" t="str">
        <f>VLOOKUP(K1487,Dept[],2,FALSE)</f>
        <v>Accounting</v>
      </c>
      <c r="G1487" s="11">
        <f t="shared" si="23"/>
        <v>44348</v>
      </c>
      <c r="H1487" t="str">
        <f>VLOOKUP(N1487,Status[],2,FALSE)</f>
        <v>Full-Time</v>
      </c>
      <c r="J1487" s="7">
        <v>1012</v>
      </c>
      <c r="K1487">
        <v>11</v>
      </c>
      <c r="L1487">
        <v>2021</v>
      </c>
      <c r="M1487">
        <v>6</v>
      </c>
      <c r="N1487">
        <v>1</v>
      </c>
    </row>
    <row r="1488" spans="1:14" x14ac:dyDescent="0.25">
      <c r="A1488" t="s">
        <v>3713</v>
      </c>
      <c r="B1488" t="s">
        <v>292</v>
      </c>
      <c r="C1488" t="s">
        <v>221</v>
      </c>
      <c r="D1488" t="str">
        <f>VLOOKUP(J1488,Location[],2,FALSE)</f>
        <v>Charlotte</v>
      </c>
      <c r="E1488" t="str">
        <f>VLOOKUP(J1488,Location[],3,FALSE)</f>
        <v> North Carolina</v>
      </c>
      <c r="F1488" t="str">
        <f>VLOOKUP(K1488,Dept[],2,FALSE)</f>
        <v>Customer Support</v>
      </c>
      <c r="G1488" s="11">
        <f t="shared" si="23"/>
        <v>42583</v>
      </c>
      <c r="H1488" t="str">
        <f>VLOOKUP(N1488,Status[],2,FALSE)</f>
        <v>Full-Time</v>
      </c>
      <c r="J1488" s="7">
        <v>1017</v>
      </c>
      <c r="K1488">
        <v>14</v>
      </c>
      <c r="L1488">
        <v>2016</v>
      </c>
      <c r="M1488">
        <v>8</v>
      </c>
      <c r="N1488">
        <v>1</v>
      </c>
    </row>
    <row r="1489" spans="1:14" x14ac:dyDescent="0.25">
      <c r="A1489" t="s">
        <v>3714</v>
      </c>
      <c r="B1489" t="s">
        <v>220</v>
      </c>
      <c r="C1489" t="s">
        <v>221</v>
      </c>
      <c r="D1489" t="str">
        <f>VLOOKUP(J1489,Location[],2,FALSE)</f>
        <v>Houston</v>
      </c>
      <c r="E1489" t="str">
        <f>VLOOKUP(J1489,Location[],3,FALSE)</f>
        <v> Texas</v>
      </c>
      <c r="F1489" t="str">
        <f>VLOOKUP(K1489,Dept[],2,FALSE)</f>
        <v>Customer Support</v>
      </c>
      <c r="G1489" s="11">
        <f t="shared" si="23"/>
        <v>44317</v>
      </c>
      <c r="H1489" t="str">
        <f>VLOOKUP(N1489,Status[],2,FALSE)</f>
        <v>Full-Time</v>
      </c>
      <c r="J1489" s="7">
        <v>1004</v>
      </c>
      <c r="K1489">
        <v>14</v>
      </c>
      <c r="L1489">
        <v>2021</v>
      </c>
      <c r="M1489">
        <v>5</v>
      </c>
      <c r="N1489">
        <v>1</v>
      </c>
    </row>
    <row r="1490" spans="1:14" x14ac:dyDescent="0.25">
      <c r="A1490" t="s">
        <v>3715</v>
      </c>
      <c r="B1490" t="s">
        <v>367</v>
      </c>
      <c r="C1490" t="s">
        <v>221</v>
      </c>
      <c r="D1490" t="str">
        <f>VLOOKUP(J1490,Location[],2,FALSE)</f>
        <v>Mesa</v>
      </c>
      <c r="E1490" t="str">
        <f>VLOOKUP(J1490,Location[],3,FALSE)</f>
        <v> Arizona</v>
      </c>
      <c r="F1490" t="str">
        <f>VLOOKUP(K1490,Dept[],2,FALSE)</f>
        <v>Accounting</v>
      </c>
      <c r="G1490" s="11">
        <f t="shared" si="23"/>
        <v>42614</v>
      </c>
      <c r="H1490" t="str">
        <f>VLOOKUP(N1490,Status[],2,FALSE)</f>
        <v>Full-Time</v>
      </c>
      <c r="J1490" s="7">
        <v>1036</v>
      </c>
      <c r="K1490">
        <v>11</v>
      </c>
      <c r="L1490">
        <v>2016</v>
      </c>
      <c r="M1490">
        <v>9</v>
      </c>
      <c r="N1490">
        <v>1</v>
      </c>
    </row>
    <row r="1491" spans="1:14" x14ac:dyDescent="0.25">
      <c r="A1491" t="s">
        <v>3716</v>
      </c>
      <c r="B1491" t="s">
        <v>43</v>
      </c>
      <c r="C1491" t="s">
        <v>1717</v>
      </c>
      <c r="D1491" t="str">
        <f>VLOOKUP(J1491,Location[],2,FALSE)</f>
        <v>New York City</v>
      </c>
      <c r="E1491" t="str">
        <f>VLOOKUP(J1491,Location[],3,FALSE)</f>
        <v> New York</v>
      </c>
      <c r="F1491" t="str">
        <f>VLOOKUP(K1491,Dept[],2,FALSE)</f>
        <v>Legal</v>
      </c>
      <c r="G1491" s="11">
        <f t="shared" si="23"/>
        <v>44805</v>
      </c>
      <c r="H1491" t="str">
        <f>VLOOKUP(N1491,Status[],2,FALSE)</f>
        <v>Full-Time</v>
      </c>
      <c r="J1491" s="7">
        <v>1001</v>
      </c>
      <c r="K1491">
        <v>18</v>
      </c>
      <c r="L1491">
        <v>2022</v>
      </c>
      <c r="M1491">
        <v>9</v>
      </c>
      <c r="N1491">
        <v>1</v>
      </c>
    </row>
    <row r="1492" spans="1:14" x14ac:dyDescent="0.25">
      <c r="A1492" t="s">
        <v>3717</v>
      </c>
      <c r="B1492" t="s">
        <v>71</v>
      </c>
      <c r="C1492" t="s">
        <v>1776</v>
      </c>
      <c r="D1492" t="str">
        <f>VLOOKUP(J1492,Location[],2,FALSE)</f>
        <v>Washington, D.C.</v>
      </c>
      <c r="E1492" t="str">
        <f>VLOOKUP(J1492,Location[],3,FALSE)</f>
        <v> District of Columbia</v>
      </c>
      <c r="F1492" t="str">
        <f>VLOOKUP(K1492,Dept[],2,FALSE)</f>
        <v>Sales</v>
      </c>
      <c r="G1492" s="11">
        <f t="shared" si="23"/>
        <v>43525</v>
      </c>
      <c r="H1492" t="str">
        <f>VLOOKUP(N1492,Status[],2,FALSE)</f>
        <v>Full-Time</v>
      </c>
      <c r="J1492" s="7">
        <v>1020</v>
      </c>
      <c r="K1492">
        <v>22</v>
      </c>
      <c r="L1492">
        <v>2019</v>
      </c>
      <c r="M1492">
        <v>3</v>
      </c>
      <c r="N1492">
        <v>1</v>
      </c>
    </row>
    <row r="1493" spans="1:14" x14ac:dyDescent="0.25">
      <c r="A1493" t="s">
        <v>3718</v>
      </c>
      <c r="B1493" t="s">
        <v>35</v>
      </c>
      <c r="C1493" t="s">
        <v>1217</v>
      </c>
      <c r="D1493" t="str">
        <f>VLOOKUP(J1493,Location[],2,FALSE)</f>
        <v>Washington, D.C.</v>
      </c>
      <c r="E1493" t="str">
        <f>VLOOKUP(J1493,Location[],3,FALSE)</f>
        <v> District of Columbia</v>
      </c>
      <c r="F1493" t="str">
        <f>VLOOKUP(K1493,Dept[],2,FALSE)</f>
        <v>Marketing</v>
      </c>
      <c r="G1493" s="11">
        <f t="shared" si="23"/>
        <v>41365</v>
      </c>
      <c r="H1493" t="str">
        <f>VLOOKUP(N1493,Status[],2,FALSE)</f>
        <v>Full-Time</v>
      </c>
      <c r="J1493" s="7">
        <v>1020</v>
      </c>
      <c r="K1493">
        <v>19</v>
      </c>
      <c r="L1493">
        <v>2013</v>
      </c>
      <c r="M1493">
        <v>4</v>
      </c>
      <c r="N1493">
        <v>1</v>
      </c>
    </row>
    <row r="1494" spans="1:14" x14ac:dyDescent="0.25">
      <c r="A1494" t="s">
        <v>3719</v>
      </c>
      <c r="B1494" t="s">
        <v>47</v>
      </c>
      <c r="C1494" t="s">
        <v>1217</v>
      </c>
      <c r="D1494" t="str">
        <f>VLOOKUP(J1494,Location[],2,FALSE)</f>
        <v>Reno</v>
      </c>
      <c r="E1494" t="str">
        <f>VLOOKUP(J1494,Location[],3,FALSE)</f>
        <v> Nevada</v>
      </c>
      <c r="F1494" t="str">
        <f>VLOOKUP(K1494,Dept[],2,FALSE)</f>
        <v>Customer Support</v>
      </c>
      <c r="G1494" s="11">
        <f t="shared" si="23"/>
        <v>43282</v>
      </c>
      <c r="H1494" t="str">
        <f>VLOOKUP(N1494,Status[],2,FALSE)</f>
        <v>Full-Time</v>
      </c>
      <c r="J1494" s="7">
        <v>1086</v>
      </c>
      <c r="K1494">
        <v>14</v>
      </c>
      <c r="L1494">
        <v>2018</v>
      </c>
      <c r="M1494">
        <v>7</v>
      </c>
      <c r="N1494">
        <v>1</v>
      </c>
    </row>
    <row r="1495" spans="1:14" x14ac:dyDescent="0.25">
      <c r="A1495" t="s">
        <v>3720</v>
      </c>
      <c r="B1495" t="s">
        <v>459</v>
      </c>
      <c r="C1495" t="s">
        <v>460</v>
      </c>
      <c r="D1495" t="str">
        <f>VLOOKUP(J1495,Location[],2,FALSE)</f>
        <v>Houston</v>
      </c>
      <c r="E1495" t="str">
        <f>VLOOKUP(J1495,Location[],3,FALSE)</f>
        <v> Texas</v>
      </c>
      <c r="F1495" t="str">
        <f>VLOOKUP(K1495,Dept[],2,FALSE)</f>
        <v>Sales</v>
      </c>
      <c r="G1495" s="11">
        <f t="shared" si="23"/>
        <v>45139</v>
      </c>
      <c r="H1495" t="str">
        <f>VLOOKUP(N1495,Status[],2,FALSE)</f>
        <v>Part-Time</v>
      </c>
      <c r="J1495" s="7">
        <v>1004</v>
      </c>
      <c r="K1495">
        <v>22</v>
      </c>
      <c r="L1495">
        <v>2023</v>
      </c>
      <c r="M1495">
        <v>8</v>
      </c>
      <c r="N1495">
        <v>0</v>
      </c>
    </row>
    <row r="1496" spans="1:14" x14ac:dyDescent="0.25">
      <c r="A1496" t="s">
        <v>3721</v>
      </c>
      <c r="B1496" t="s">
        <v>89</v>
      </c>
      <c r="C1496" t="s">
        <v>90</v>
      </c>
      <c r="D1496" t="str">
        <f>VLOOKUP(J1496,Location[],2,FALSE)</f>
        <v>Lubbock</v>
      </c>
      <c r="E1496" t="str">
        <f>VLOOKUP(J1496,Location[],3,FALSE)</f>
        <v> Texas</v>
      </c>
      <c r="F1496" t="str">
        <f>VLOOKUP(K1496,Dept[],2,FALSE)</f>
        <v>Accounting</v>
      </c>
      <c r="G1496" s="11">
        <f t="shared" si="23"/>
        <v>44713</v>
      </c>
      <c r="H1496" t="str">
        <f>VLOOKUP(N1496,Status[],2,FALSE)</f>
        <v>Full-Time</v>
      </c>
      <c r="J1496" s="7">
        <v>1083</v>
      </c>
      <c r="K1496">
        <v>11</v>
      </c>
      <c r="L1496">
        <v>2022</v>
      </c>
      <c r="M1496">
        <v>6</v>
      </c>
      <c r="N1496">
        <v>1</v>
      </c>
    </row>
    <row r="1497" spans="1:14" x14ac:dyDescent="0.25">
      <c r="A1497" t="s">
        <v>3722</v>
      </c>
      <c r="B1497" t="s">
        <v>997</v>
      </c>
      <c r="C1497" t="s">
        <v>1257</v>
      </c>
      <c r="D1497" t="str">
        <f>VLOOKUP(J1497,Location[],2,FALSE)</f>
        <v>Minneapolis</v>
      </c>
      <c r="E1497" t="str">
        <f>VLOOKUP(J1497,Location[],3,FALSE)</f>
        <v> Minnesota</v>
      </c>
      <c r="F1497" t="str">
        <f>VLOOKUP(K1497,Dept[],2,FALSE)</f>
        <v>Accounting</v>
      </c>
      <c r="G1497" s="11">
        <f t="shared" si="23"/>
        <v>44256</v>
      </c>
      <c r="H1497" t="str">
        <f>VLOOKUP(N1497,Status[],2,FALSE)</f>
        <v>Full-Time</v>
      </c>
      <c r="J1497" s="7">
        <v>1046</v>
      </c>
      <c r="K1497">
        <v>11</v>
      </c>
      <c r="L1497">
        <v>2021</v>
      </c>
      <c r="M1497">
        <v>3</v>
      </c>
      <c r="N1497">
        <v>1</v>
      </c>
    </row>
    <row r="1498" spans="1:14" x14ac:dyDescent="0.25">
      <c r="A1498" t="s">
        <v>3723</v>
      </c>
      <c r="B1498" t="s">
        <v>606</v>
      </c>
      <c r="C1498" t="s">
        <v>607</v>
      </c>
      <c r="D1498" t="str">
        <f>VLOOKUP(J1498,Location[],2,FALSE)</f>
        <v>Indianapolis</v>
      </c>
      <c r="E1498" t="str">
        <f>VLOOKUP(J1498,Location[],3,FALSE)</f>
        <v> Indiana</v>
      </c>
      <c r="F1498" t="str">
        <f>VLOOKUP(K1498,Dept[],2,FALSE)</f>
        <v>Customer Support</v>
      </c>
      <c r="G1498" s="11">
        <f t="shared" si="23"/>
        <v>43739</v>
      </c>
      <c r="H1498" t="str">
        <f>VLOOKUP(N1498,Status[],2,FALSE)</f>
        <v>Full-Time</v>
      </c>
      <c r="J1498" s="7">
        <v>1016</v>
      </c>
      <c r="K1498">
        <v>14</v>
      </c>
      <c r="L1498">
        <v>2019</v>
      </c>
      <c r="M1498">
        <v>10</v>
      </c>
      <c r="N1498">
        <v>1</v>
      </c>
    </row>
    <row r="1499" spans="1:14" x14ac:dyDescent="0.25">
      <c r="A1499" t="s">
        <v>3724</v>
      </c>
      <c r="B1499" t="s">
        <v>1241</v>
      </c>
      <c r="C1499" t="s">
        <v>568</v>
      </c>
      <c r="D1499" t="str">
        <f>VLOOKUP(J1499,Location[],2,FALSE)</f>
        <v>San Francisco</v>
      </c>
      <c r="E1499" t="str">
        <f>VLOOKUP(J1499,Location[],3,FALSE)</f>
        <v> California</v>
      </c>
      <c r="F1499" t="str">
        <f>VLOOKUP(K1499,Dept[],2,FALSE)</f>
        <v>Assessment</v>
      </c>
      <c r="G1499" s="11">
        <f t="shared" si="23"/>
        <v>45078</v>
      </c>
      <c r="H1499" t="str">
        <f>VLOOKUP(N1499,Status[],2,FALSE)</f>
        <v>Full-Time</v>
      </c>
      <c r="J1499" s="7">
        <v>1013</v>
      </c>
      <c r="K1499">
        <v>13</v>
      </c>
      <c r="L1499">
        <v>2023</v>
      </c>
      <c r="M1499">
        <v>6</v>
      </c>
      <c r="N1499">
        <v>1</v>
      </c>
    </row>
    <row r="1500" spans="1:14" x14ac:dyDescent="0.25">
      <c r="A1500" t="s">
        <v>3725</v>
      </c>
      <c r="B1500" t="s">
        <v>144</v>
      </c>
      <c r="C1500" t="s">
        <v>568</v>
      </c>
      <c r="D1500" t="str">
        <f>VLOOKUP(J1500,Location[],2,FALSE)</f>
        <v>Tucson</v>
      </c>
      <c r="E1500" t="str">
        <f>VLOOKUP(J1500,Location[],3,FALSE)</f>
        <v> Arizona</v>
      </c>
      <c r="F1500" t="str">
        <f>VLOOKUP(K1500,Dept[],2,FALSE)</f>
        <v>Shipping</v>
      </c>
      <c r="G1500" s="11">
        <f t="shared" si="23"/>
        <v>40787</v>
      </c>
      <c r="H1500" t="str">
        <f>VLOOKUP(N1500,Status[],2,FALSE)</f>
        <v>Full-Time</v>
      </c>
      <c r="J1500" s="7">
        <v>1033</v>
      </c>
      <c r="K1500">
        <v>23</v>
      </c>
      <c r="L1500">
        <v>2011</v>
      </c>
      <c r="M1500">
        <v>9</v>
      </c>
      <c r="N1500">
        <v>1</v>
      </c>
    </row>
    <row r="1501" spans="1:14" x14ac:dyDescent="0.25">
      <c r="A1501" t="s">
        <v>3726</v>
      </c>
      <c r="B1501" t="s">
        <v>450</v>
      </c>
      <c r="C1501" t="s">
        <v>568</v>
      </c>
      <c r="D1501" t="str">
        <f>VLOOKUP(J1501,Location[],2,FALSE)</f>
        <v>Chula Vista</v>
      </c>
      <c r="E1501" t="str">
        <f>VLOOKUP(J1501,Location[],3,FALSE)</f>
        <v> California</v>
      </c>
      <c r="F1501" t="str">
        <f>VLOOKUP(K1501,Dept[],2,FALSE)</f>
        <v>Media</v>
      </c>
      <c r="G1501" s="11">
        <f t="shared" si="23"/>
        <v>40725</v>
      </c>
      <c r="H1501" t="str">
        <f>VLOOKUP(N1501,Status[],2,FALSE)</f>
        <v>Full-Time</v>
      </c>
      <c r="J1501" s="7">
        <v>1076</v>
      </c>
      <c r="K1501">
        <v>20</v>
      </c>
      <c r="L1501">
        <v>2011</v>
      </c>
      <c r="M1501">
        <v>7</v>
      </c>
      <c r="N1501">
        <v>1</v>
      </c>
    </row>
    <row r="1502" spans="1:14" x14ac:dyDescent="0.25">
      <c r="A1502" t="s">
        <v>3727</v>
      </c>
      <c r="B1502" t="s">
        <v>252</v>
      </c>
      <c r="C1502" t="s">
        <v>568</v>
      </c>
      <c r="D1502" t="str">
        <f>VLOOKUP(J1502,Location[],2,FALSE)</f>
        <v>Glendale</v>
      </c>
      <c r="E1502" t="str">
        <f>VLOOKUP(J1502,Location[],3,FALSE)</f>
        <v> Arizona</v>
      </c>
      <c r="F1502" t="str">
        <f>VLOOKUP(K1502,Dept[],2,FALSE)</f>
        <v>Finance</v>
      </c>
      <c r="G1502" s="11">
        <f t="shared" si="23"/>
        <v>43101</v>
      </c>
      <c r="H1502" t="str">
        <f>VLOOKUP(N1502,Status[],2,FALSE)</f>
        <v>Part-Time</v>
      </c>
      <c r="J1502" s="7">
        <v>1087</v>
      </c>
      <c r="K1502">
        <v>15</v>
      </c>
      <c r="L1502">
        <v>2018</v>
      </c>
      <c r="M1502">
        <v>1</v>
      </c>
      <c r="N1502">
        <v>0</v>
      </c>
    </row>
    <row r="1503" spans="1:14" x14ac:dyDescent="0.25">
      <c r="A1503" t="s">
        <v>3728</v>
      </c>
      <c r="B1503" t="s">
        <v>1955</v>
      </c>
      <c r="C1503" t="s">
        <v>1807</v>
      </c>
      <c r="D1503" t="str">
        <f>VLOOKUP(J1503,Location[],2,FALSE)</f>
        <v>Newark</v>
      </c>
      <c r="E1503" t="str">
        <f>VLOOKUP(J1503,Location[],3,FALSE)</f>
        <v> New Jersey</v>
      </c>
      <c r="F1503" t="str">
        <f>VLOOKUP(K1503,Dept[],2,FALSE)</f>
        <v>IT</v>
      </c>
      <c r="G1503" s="11">
        <f t="shared" si="23"/>
        <v>43313</v>
      </c>
      <c r="H1503" t="str">
        <f>VLOOKUP(N1503,Status[],2,FALSE)</f>
        <v>Full-Time</v>
      </c>
      <c r="J1503" s="7">
        <v>1070</v>
      </c>
      <c r="K1503">
        <v>17</v>
      </c>
      <c r="L1503">
        <v>2018</v>
      </c>
      <c r="M1503">
        <v>8</v>
      </c>
      <c r="N1503">
        <v>1</v>
      </c>
    </row>
    <row r="1504" spans="1:14" x14ac:dyDescent="0.25">
      <c r="A1504" t="s">
        <v>3729</v>
      </c>
      <c r="B1504" t="s">
        <v>983</v>
      </c>
      <c r="C1504" t="s">
        <v>1807</v>
      </c>
      <c r="D1504" t="str">
        <f>VLOOKUP(J1504,Location[],2,FALSE)</f>
        <v>Long Beach</v>
      </c>
      <c r="E1504" t="str">
        <f>VLOOKUP(J1504,Location[],3,FALSE)</f>
        <v> California</v>
      </c>
      <c r="F1504" t="str">
        <f>VLOOKUP(K1504,Dept[],2,FALSE)</f>
        <v>Assessment</v>
      </c>
      <c r="G1504" s="11">
        <f t="shared" si="23"/>
        <v>44256</v>
      </c>
      <c r="H1504" t="str">
        <f>VLOOKUP(N1504,Status[],2,FALSE)</f>
        <v>Full-Time</v>
      </c>
      <c r="J1504" s="7">
        <v>1039</v>
      </c>
      <c r="K1504">
        <v>13</v>
      </c>
      <c r="L1504">
        <v>2021</v>
      </c>
      <c r="M1504">
        <v>3</v>
      </c>
      <c r="N1504">
        <v>1</v>
      </c>
    </row>
    <row r="1505" spans="1:14" x14ac:dyDescent="0.25">
      <c r="A1505" t="s">
        <v>3730</v>
      </c>
      <c r="B1505" t="s">
        <v>261</v>
      </c>
      <c r="C1505" t="s">
        <v>1190</v>
      </c>
      <c r="D1505" t="str">
        <f>VLOOKUP(J1505,Location[],2,FALSE)</f>
        <v>Jacksonville</v>
      </c>
      <c r="E1505" t="str">
        <f>VLOOKUP(J1505,Location[],3,FALSE)</f>
        <v> Florida</v>
      </c>
      <c r="F1505" t="str">
        <f>VLOOKUP(K1505,Dept[],2,FALSE)</f>
        <v>Administration</v>
      </c>
      <c r="G1505" s="11">
        <f t="shared" si="23"/>
        <v>43952</v>
      </c>
      <c r="H1505" t="str">
        <f>VLOOKUP(N1505,Status[],2,FALSE)</f>
        <v>Full-Time</v>
      </c>
      <c r="J1505" s="7">
        <v>1012</v>
      </c>
      <c r="K1505">
        <v>12</v>
      </c>
      <c r="L1505">
        <v>2020</v>
      </c>
      <c r="M1505">
        <v>5</v>
      </c>
      <c r="N1505">
        <v>1</v>
      </c>
    </row>
    <row r="1506" spans="1:14" x14ac:dyDescent="0.25">
      <c r="A1506" t="s">
        <v>3731</v>
      </c>
      <c r="B1506" t="s">
        <v>95</v>
      </c>
      <c r="C1506" t="s">
        <v>1961</v>
      </c>
      <c r="D1506" t="str">
        <f>VLOOKUP(J1506,Location[],2,FALSE)</f>
        <v>San Diego</v>
      </c>
      <c r="E1506" t="str">
        <f>VLOOKUP(J1506,Location[],3,FALSE)</f>
        <v> California</v>
      </c>
      <c r="F1506" t="str">
        <f>VLOOKUP(K1506,Dept[],2,FALSE)</f>
        <v>Assessment</v>
      </c>
      <c r="G1506" s="11">
        <f t="shared" si="23"/>
        <v>43497</v>
      </c>
      <c r="H1506" t="str">
        <f>VLOOKUP(N1506,Status[],2,FALSE)</f>
        <v>Part-Time</v>
      </c>
      <c r="J1506" s="7">
        <v>1008</v>
      </c>
      <c r="K1506">
        <v>13</v>
      </c>
      <c r="L1506">
        <v>2019</v>
      </c>
      <c r="M1506">
        <v>2</v>
      </c>
      <c r="N1506">
        <v>0</v>
      </c>
    </row>
    <row r="1507" spans="1:14" x14ac:dyDescent="0.25">
      <c r="A1507" t="s">
        <v>3732</v>
      </c>
      <c r="B1507" t="s">
        <v>1428</v>
      </c>
      <c r="C1507" t="s">
        <v>1429</v>
      </c>
      <c r="D1507" t="str">
        <f>VLOOKUP(J1507,Location[],2,FALSE)</f>
        <v>Lexington</v>
      </c>
      <c r="E1507" t="str">
        <f>VLOOKUP(J1507,Location[],3,FALSE)</f>
        <v> Kentucky</v>
      </c>
      <c r="F1507" t="str">
        <f>VLOOKUP(K1507,Dept[],2,FALSE)</f>
        <v>Administration</v>
      </c>
      <c r="G1507" s="11">
        <f t="shared" si="23"/>
        <v>42856</v>
      </c>
      <c r="H1507" t="str">
        <f>VLOOKUP(N1507,Status[],2,FALSE)</f>
        <v>Full-Time</v>
      </c>
      <c r="J1507" s="7">
        <v>1060</v>
      </c>
      <c r="K1507">
        <v>12</v>
      </c>
      <c r="L1507">
        <v>2017</v>
      </c>
      <c r="M1507">
        <v>5</v>
      </c>
      <c r="N1507">
        <v>1</v>
      </c>
    </row>
    <row r="1508" spans="1:14" x14ac:dyDescent="0.25">
      <c r="A1508" t="s">
        <v>3733</v>
      </c>
      <c r="B1508" t="s">
        <v>339</v>
      </c>
      <c r="C1508" t="s">
        <v>1052</v>
      </c>
      <c r="D1508" t="str">
        <f>VLOOKUP(J1508,Location[],2,FALSE)</f>
        <v>Chicago</v>
      </c>
      <c r="E1508" t="str">
        <f>VLOOKUP(J1508,Location[],3,FALSE)</f>
        <v> Illinois</v>
      </c>
      <c r="F1508" t="str">
        <f>VLOOKUP(K1508,Dept[],2,FALSE)</f>
        <v>Accounting</v>
      </c>
      <c r="G1508" s="11">
        <f t="shared" si="23"/>
        <v>42736</v>
      </c>
      <c r="H1508" t="str">
        <f>VLOOKUP(N1508,Status[],2,FALSE)</f>
        <v>Full-Time</v>
      </c>
      <c r="J1508" s="7">
        <v>1003</v>
      </c>
      <c r="K1508">
        <v>11</v>
      </c>
      <c r="L1508">
        <v>2017</v>
      </c>
      <c r="M1508">
        <v>1</v>
      </c>
      <c r="N1508">
        <v>1</v>
      </c>
    </row>
    <row r="1509" spans="1:14" x14ac:dyDescent="0.25">
      <c r="A1509" t="s">
        <v>3734</v>
      </c>
      <c r="B1509" t="s">
        <v>57</v>
      </c>
      <c r="C1509" t="s">
        <v>2053</v>
      </c>
      <c r="D1509" t="str">
        <f>VLOOKUP(J1509,Location[],2,FALSE)</f>
        <v>Chicago</v>
      </c>
      <c r="E1509" t="str">
        <f>VLOOKUP(J1509,Location[],3,FALSE)</f>
        <v> Illinois</v>
      </c>
      <c r="F1509" t="str">
        <f>VLOOKUP(K1509,Dept[],2,FALSE)</f>
        <v>Administration</v>
      </c>
      <c r="G1509" s="11">
        <f t="shared" si="23"/>
        <v>42461</v>
      </c>
      <c r="H1509" t="str">
        <f>VLOOKUP(N1509,Status[],2,FALSE)</f>
        <v>Full-Time</v>
      </c>
      <c r="J1509" s="7">
        <v>1003</v>
      </c>
      <c r="K1509">
        <v>12</v>
      </c>
      <c r="L1509">
        <v>2016</v>
      </c>
      <c r="M1509">
        <v>4</v>
      </c>
      <c r="N1509">
        <v>1</v>
      </c>
    </row>
    <row r="1510" spans="1:14" x14ac:dyDescent="0.25">
      <c r="A1510" t="s">
        <v>3735</v>
      </c>
      <c r="B1510" t="s">
        <v>47</v>
      </c>
      <c r="C1510" t="s">
        <v>2053</v>
      </c>
      <c r="D1510" t="str">
        <f>VLOOKUP(J1510,Location[],2,FALSE)</f>
        <v>Wichita</v>
      </c>
      <c r="E1510" t="str">
        <f>VLOOKUP(J1510,Location[],3,FALSE)</f>
        <v> Kansas</v>
      </c>
      <c r="F1510" t="str">
        <f>VLOOKUP(K1510,Dept[],2,FALSE)</f>
        <v>Legal</v>
      </c>
      <c r="G1510" s="11">
        <f t="shared" si="23"/>
        <v>43617</v>
      </c>
      <c r="H1510" t="str">
        <f>VLOOKUP(N1510,Status[],2,FALSE)</f>
        <v>Full-Time</v>
      </c>
      <c r="J1510" s="7">
        <v>1050</v>
      </c>
      <c r="K1510">
        <v>18</v>
      </c>
      <c r="L1510">
        <v>2019</v>
      </c>
      <c r="M1510">
        <v>6</v>
      </c>
      <c r="N1510">
        <v>1</v>
      </c>
    </row>
    <row r="1511" spans="1:14" x14ac:dyDescent="0.25">
      <c r="A1511" t="s">
        <v>3736</v>
      </c>
      <c r="B1511" t="s">
        <v>1297</v>
      </c>
      <c r="C1511" t="s">
        <v>413</v>
      </c>
      <c r="D1511" t="str">
        <f>VLOOKUP(J1511,Location[],2,FALSE)</f>
        <v>San Diego</v>
      </c>
      <c r="E1511" t="str">
        <f>VLOOKUP(J1511,Location[],3,FALSE)</f>
        <v> California</v>
      </c>
      <c r="F1511" t="str">
        <f>VLOOKUP(K1511,Dept[],2,FALSE)</f>
        <v>Administration</v>
      </c>
      <c r="G1511" s="11">
        <f t="shared" si="23"/>
        <v>45139</v>
      </c>
      <c r="H1511" t="str">
        <f>VLOOKUP(N1511,Status[],2,FALSE)</f>
        <v>Full-Time</v>
      </c>
      <c r="J1511" s="7">
        <v>1008</v>
      </c>
      <c r="K1511">
        <v>12</v>
      </c>
      <c r="L1511">
        <v>2023</v>
      </c>
      <c r="M1511">
        <v>8</v>
      </c>
      <c r="N1511">
        <v>1</v>
      </c>
    </row>
    <row r="1512" spans="1:14" x14ac:dyDescent="0.25">
      <c r="A1512" t="s">
        <v>3737</v>
      </c>
      <c r="B1512" t="s">
        <v>1297</v>
      </c>
      <c r="C1512" t="s">
        <v>413</v>
      </c>
      <c r="D1512" t="str">
        <f>VLOOKUP(J1512,Location[],2,FALSE)</f>
        <v>Las Vegas</v>
      </c>
      <c r="E1512" t="str">
        <f>VLOOKUP(J1512,Location[],3,FALSE)</f>
        <v> Nevada</v>
      </c>
      <c r="F1512" t="str">
        <f>VLOOKUP(K1512,Dept[],2,FALSE)</f>
        <v>Customer Support</v>
      </c>
      <c r="G1512" s="11">
        <f t="shared" si="23"/>
        <v>44958</v>
      </c>
      <c r="H1512" t="str">
        <f>VLOOKUP(N1512,Status[],2,FALSE)</f>
        <v>Full-Time</v>
      </c>
      <c r="J1512" s="7">
        <v>1028</v>
      </c>
      <c r="K1512">
        <v>14</v>
      </c>
      <c r="L1512">
        <v>2023</v>
      </c>
      <c r="M1512">
        <v>2</v>
      </c>
      <c r="N1512">
        <v>1</v>
      </c>
    </row>
    <row r="1513" spans="1:14" x14ac:dyDescent="0.25">
      <c r="A1513" t="s">
        <v>3738</v>
      </c>
      <c r="B1513" t="s">
        <v>297</v>
      </c>
      <c r="C1513" t="s">
        <v>413</v>
      </c>
      <c r="D1513" t="str">
        <f>VLOOKUP(J1513,Location[],2,FALSE)</f>
        <v>Atlanta</v>
      </c>
      <c r="E1513" t="str">
        <f>VLOOKUP(J1513,Location[],3,FALSE)</f>
        <v> Georgia</v>
      </c>
      <c r="F1513" t="str">
        <f>VLOOKUP(K1513,Dept[],2,FALSE)</f>
        <v>Legal</v>
      </c>
      <c r="G1513" s="11">
        <f t="shared" si="23"/>
        <v>44805</v>
      </c>
      <c r="H1513" t="str">
        <f>VLOOKUP(N1513,Status[],2,FALSE)</f>
        <v>Full-Time</v>
      </c>
      <c r="J1513" s="7">
        <v>1038</v>
      </c>
      <c r="K1513">
        <v>18</v>
      </c>
      <c r="L1513">
        <v>2022</v>
      </c>
      <c r="M1513">
        <v>9</v>
      </c>
      <c r="N1513">
        <v>1</v>
      </c>
    </row>
    <row r="1514" spans="1:14" x14ac:dyDescent="0.25">
      <c r="A1514" t="s">
        <v>3739</v>
      </c>
      <c r="B1514" t="s">
        <v>347</v>
      </c>
      <c r="C1514" t="s">
        <v>413</v>
      </c>
      <c r="D1514" t="str">
        <f>VLOOKUP(J1514,Location[],2,FALSE)</f>
        <v>Phoenix</v>
      </c>
      <c r="E1514" t="str">
        <f>VLOOKUP(J1514,Location[],3,FALSE)</f>
        <v> Arizona</v>
      </c>
      <c r="F1514" t="str">
        <f>VLOOKUP(K1514,Dept[],2,FALSE)</f>
        <v>Assessment</v>
      </c>
      <c r="G1514" s="11">
        <f t="shared" si="23"/>
        <v>42552</v>
      </c>
      <c r="H1514" t="str">
        <f>VLOOKUP(N1514,Status[],2,FALSE)</f>
        <v>Full-Time</v>
      </c>
      <c r="J1514" s="7">
        <v>1005</v>
      </c>
      <c r="K1514">
        <v>13</v>
      </c>
      <c r="L1514">
        <v>2016</v>
      </c>
      <c r="M1514">
        <v>7</v>
      </c>
      <c r="N1514">
        <v>1</v>
      </c>
    </row>
    <row r="1515" spans="1:14" x14ac:dyDescent="0.25">
      <c r="A1515" t="s">
        <v>3740</v>
      </c>
      <c r="B1515" t="s">
        <v>1819</v>
      </c>
      <c r="C1515" t="s">
        <v>413</v>
      </c>
      <c r="D1515" t="str">
        <f>VLOOKUP(J1515,Location[],2,FALSE)</f>
        <v>Los Angeles</v>
      </c>
      <c r="E1515" t="str">
        <f>VLOOKUP(J1515,Location[],3,FALSE)</f>
        <v> California</v>
      </c>
      <c r="F1515" t="str">
        <f>VLOOKUP(K1515,Dept[],2,FALSE)</f>
        <v>Accounting</v>
      </c>
      <c r="G1515" s="11">
        <f t="shared" si="23"/>
        <v>42005</v>
      </c>
      <c r="H1515" t="str">
        <f>VLOOKUP(N1515,Status[],2,FALSE)</f>
        <v>Full-Time</v>
      </c>
      <c r="J1515" s="7">
        <v>1002</v>
      </c>
      <c r="K1515">
        <v>11</v>
      </c>
      <c r="L1515">
        <v>2015</v>
      </c>
      <c r="M1515">
        <v>1</v>
      </c>
      <c r="N1515">
        <v>1</v>
      </c>
    </row>
    <row r="1516" spans="1:14" x14ac:dyDescent="0.25">
      <c r="A1516" t="s">
        <v>3741</v>
      </c>
      <c r="B1516" t="s">
        <v>1902</v>
      </c>
      <c r="C1516" t="s">
        <v>413</v>
      </c>
      <c r="D1516" t="str">
        <f>VLOOKUP(J1516,Location[],2,FALSE)</f>
        <v>Phoenix</v>
      </c>
      <c r="E1516" t="str">
        <f>VLOOKUP(J1516,Location[],3,FALSE)</f>
        <v> Arizona</v>
      </c>
      <c r="F1516" t="str">
        <f>VLOOKUP(K1516,Dept[],2,FALSE)</f>
        <v>Accounting</v>
      </c>
      <c r="G1516" s="11">
        <f t="shared" si="23"/>
        <v>42767</v>
      </c>
      <c r="H1516" t="str">
        <f>VLOOKUP(N1516,Status[],2,FALSE)</f>
        <v>Full-Time</v>
      </c>
      <c r="J1516" s="7">
        <v>1005</v>
      </c>
      <c r="K1516">
        <v>11</v>
      </c>
      <c r="L1516">
        <v>2017</v>
      </c>
      <c r="M1516">
        <v>2</v>
      </c>
      <c r="N1516">
        <v>1</v>
      </c>
    </row>
    <row r="1517" spans="1:14" x14ac:dyDescent="0.25">
      <c r="A1517" t="s">
        <v>3742</v>
      </c>
      <c r="B1517" t="s">
        <v>149</v>
      </c>
      <c r="C1517" t="s">
        <v>413</v>
      </c>
      <c r="D1517" t="str">
        <f>VLOOKUP(J1517,Location[],2,FALSE)</f>
        <v>San Diego</v>
      </c>
      <c r="E1517" t="str">
        <f>VLOOKUP(J1517,Location[],3,FALSE)</f>
        <v> California</v>
      </c>
      <c r="F1517" t="str">
        <f>VLOOKUP(K1517,Dept[],2,FALSE)</f>
        <v>Legal</v>
      </c>
      <c r="G1517" s="11">
        <f t="shared" si="23"/>
        <v>41518</v>
      </c>
      <c r="H1517" t="str">
        <f>VLOOKUP(N1517,Status[],2,FALSE)</f>
        <v>Full-Time</v>
      </c>
      <c r="J1517" s="7">
        <v>1008</v>
      </c>
      <c r="K1517">
        <v>18</v>
      </c>
      <c r="L1517">
        <v>2013</v>
      </c>
      <c r="M1517">
        <v>9</v>
      </c>
      <c r="N1517">
        <v>1</v>
      </c>
    </row>
    <row r="1518" spans="1:14" x14ac:dyDescent="0.25">
      <c r="A1518" t="s">
        <v>3743</v>
      </c>
      <c r="B1518" t="s">
        <v>869</v>
      </c>
      <c r="C1518" t="s">
        <v>2005</v>
      </c>
      <c r="D1518" t="str">
        <f>VLOOKUP(J1518,Location[],2,FALSE)</f>
        <v>Houston</v>
      </c>
      <c r="E1518" t="str">
        <f>VLOOKUP(J1518,Location[],3,FALSE)</f>
        <v> Texas</v>
      </c>
      <c r="F1518" t="str">
        <f>VLOOKUP(K1518,Dept[],2,FALSE)</f>
        <v>Assessment</v>
      </c>
      <c r="G1518" s="11">
        <f t="shared" si="23"/>
        <v>42401</v>
      </c>
      <c r="H1518" t="str">
        <f>VLOOKUP(N1518,Status[],2,FALSE)</f>
        <v>Full-Time</v>
      </c>
      <c r="J1518" s="7">
        <v>1004</v>
      </c>
      <c r="K1518">
        <v>13</v>
      </c>
      <c r="L1518">
        <v>2016</v>
      </c>
      <c r="M1518">
        <v>2</v>
      </c>
      <c r="N1518">
        <v>1</v>
      </c>
    </row>
    <row r="1519" spans="1:14" x14ac:dyDescent="0.25">
      <c r="A1519" t="s">
        <v>3744</v>
      </c>
      <c r="B1519" t="s">
        <v>131</v>
      </c>
      <c r="C1519" t="s">
        <v>1125</v>
      </c>
      <c r="D1519" t="str">
        <f>VLOOKUP(J1519,Location[],2,FALSE)</f>
        <v>Fort Worth</v>
      </c>
      <c r="E1519" t="str">
        <f>VLOOKUP(J1519,Location[],3,FALSE)</f>
        <v> Texas</v>
      </c>
      <c r="F1519" t="str">
        <f>VLOOKUP(K1519,Dept[],2,FALSE)</f>
        <v>Finance</v>
      </c>
      <c r="G1519" s="11">
        <f t="shared" si="23"/>
        <v>44256</v>
      </c>
      <c r="H1519" t="str">
        <f>VLOOKUP(N1519,Status[],2,FALSE)</f>
        <v>Part-Time</v>
      </c>
      <c r="J1519" s="7">
        <v>1015</v>
      </c>
      <c r="K1519">
        <v>15</v>
      </c>
      <c r="L1519">
        <v>2021</v>
      </c>
      <c r="M1519">
        <v>3</v>
      </c>
      <c r="N1519">
        <v>0</v>
      </c>
    </row>
    <row r="1520" spans="1:14" x14ac:dyDescent="0.25">
      <c r="A1520" t="s">
        <v>3745</v>
      </c>
      <c r="B1520" t="s">
        <v>184</v>
      </c>
      <c r="C1520" t="s">
        <v>1764</v>
      </c>
      <c r="D1520" t="str">
        <f>VLOOKUP(J1520,Location[],2,FALSE)</f>
        <v>Austin</v>
      </c>
      <c r="E1520" t="str">
        <f>VLOOKUP(J1520,Location[],3,FALSE)</f>
        <v> Texas</v>
      </c>
      <c r="F1520" t="str">
        <f>VLOOKUP(K1520,Dept[],2,FALSE)</f>
        <v>Marketing</v>
      </c>
      <c r="G1520" s="11">
        <f t="shared" si="23"/>
        <v>41214</v>
      </c>
      <c r="H1520" t="str">
        <f>VLOOKUP(N1520,Status[],2,FALSE)</f>
        <v>Full-Time</v>
      </c>
      <c r="J1520" s="7">
        <v>1011</v>
      </c>
      <c r="K1520">
        <v>19</v>
      </c>
      <c r="L1520">
        <v>2012</v>
      </c>
      <c r="M1520">
        <v>11</v>
      </c>
      <c r="N1520">
        <v>1</v>
      </c>
    </row>
    <row r="1521" spans="1:14" x14ac:dyDescent="0.25">
      <c r="A1521" t="s">
        <v>3746</v>
      </c>
      <c r="B1521" t="s">
        <v>215</v>
      </c>
      <c r="C1521" t="s">
        <v>1629</v>
      </c>
      <c r="D1521" t="str">
        <f>VLOOKUP(J1521,Location[],2,FALSE)</f>
        <v>Lexington</v>
      </c>
      <c r="E1521" t="str">
        <f>VLOOKUP(J1521,Location[],3,FALSE)</f>
        <v> Kentucky</v>
      </c>
      <c r="F1521" t="str">
        <f>VLOOKUP(K1521,Dept[],2,FALSE)</f>
        <v>Finance</v>
      </c>
      <c r="G1521" s="11">
        <f t="shared" si="23"/>
        <v>42979</v>
      </c>
      <c r="H1521" t="str">
        <f>VLOOKUP(N1521,Status[],2,FALSE)</f>
        <v>Full-Time</v>
      </c>
      <c r="J1521" s="7">
        <v>1060</v>
      </c>
      <c r="K1521">
        <v>15</v>
      </c>
      <c r="L1521">
        <v>2017</v>
      </c>
      <c r="M1521">
        <v>9</v>
      </c>
      <c r="N1521">
        <v>1</v>
      </c>
    </row>
    <row r="1522" spans="1:14" x14ac:dyDescent="0.25">
      <c r="A1522" t="s">
        <v>3747</v>
      </c>
      <c r="B1522" t="s">
        <v>5</v>
      </c>
      <c r="C1522" t="s">
        <v>1283</v>
      </c>
      <c r="D1522" t="str">
        <f>VLOOKUP(J1522,Location[],2,FALSE)</f>
        <v>Phoenix</v>
      </c>
      <c r="E1522" t="str">
        <f>VLOOKUP(J1522,Location[],3,FALSE)</f>
        <v> Arizona</v>
      </c>
      <c r="F1522" t="str">
        <f>VLOOKUP(K1522,Dept[],2,FALSE)</f>
        <v>Sales</v>
      </c>
      <c r="G1522" s="11">
        <f t="shared" si="23"/>
        <v>43586</v>
      </c>
      <c r="H1522" t="str">
        <f>VLOOKUP(N1522,Status[],2,FALSE)</f>
        <v>Full-Time</v>
      </c>
      <c r="J1522" s="7">
        <v>1005</v>
      </c>
      <c r="K1522">
        <v>22</v>
      </c>
      <c r="L1522">
        <v>2019</v>
      </c>
      <c r="M1522">
        <v>5</v>
      </c>
      <c r="N1522">
        <v>1</v>
      </c>
    </row>
    <row r="1523" spans="1:14" x14ac:dyDescent="0.25">
      <c r="A1523" t="s">
        <v>3748</v>
      </c>
      <c r="B1523" t="s">
        <v>1838</v>
      </c>
      <c r="C1523" t="s">
        <v>948</v>
      </c>
      <c r="D1523" t="str">
        <f>VLOOKUP(J1523,Location[],2,FALSE)</f>
        <v>Cincinnati</v>
      </c>
      <c r="E1523" t="str">
        <f>VLOOKUP(J1523,Location[],3,FALSE)</f>
        <v> Ohio</v>
      </c>
      <c r="F1523" t="str">
        <f>VLOOKUP(K1523,Dept[],2,FALSE)</f>
        <v>Sales</v>
      </c>
      <c r="G1523" s="11">
        <f t="shared" si="23"/>
        <v>41275</v>
      </c>
      <c r="H1523" t="str">
        <f>VLOOKUP(N1523,Status[],2,FALSE)</f>
        <v>Full-Time</v>
      </c>
      <c r="J1523" s="7">
        <v>1066</v>
      </c>
      <c r="K1523">
        <v>22</v>
      </c>
      <c r="L1523">
        <v>2013</v>
      </c>
      <c r="M1523">
        <v>1</v>
      </c>
      <c r="N1523">
        <v>1</v>
      </c>
    </row>
    <row r="1524" spans="1:14" x14ac:dyDescent="0.25">
      <c r="A1524" t="s">
        <v>3749</v>
      </c>
      <c r="B1524" t="s">
        <v>947</v>
      </c>
      <c r="C1524" t="s">
        <v>948</v>
      </c>
      <c r="D1524" t="str">
        <f>VLOOKUP(J1524,Location[],2,FALSE)</f>
        <v>Kansas City</v>
      </c>
      <c r="E1524" t="str">
        <f>VLOOKUP(J1524,Location[],3,FALSE)</f>
        <v> Missouri</v>
      </c>
      <c r="F1524" t="str">
        <f>VLOOKUP(K1524,Dept[],2,FALSE)</f>
        <v>Accounting</v>
      </c>
      <c r="G1524" s="11">
        <f t="shared" si="23"/>
        <v>42248</v>
      </c>
      <c r="H1524" t="str">
        <f>VLOOKUP(N1524,Status[],2,FALSE)</f>
        <v>Part-Time</v>
      </c>
      <c r="J1524" s="7">
        <v>1037</v>
      </c>
      <c r="K1524">
        <v>11</v>
      </c>
      <c r="L1524">
        <v>2015</v>
      </c>
      <c r="M1524">
        <v>9</v>
      </c>
      <c r="N1524">
        <v>0</v>
      </c>
    </row>
    <row r="1525" spans="1:14" x14ac:dyDescent="0.25">
      <c r="A1525" t="s">
        <v>3750</v>
      </c>
      <c r="B1525" t="s">
        <v>608</v>
      </c>
      <c r="C1525" t="s">
        <v>609</v>
      </c>
      <c r="D1525" t="str">
        <f>VLOOKUP(J1525,Location[],2,FALSE)</f>
        <v>Charlotte</v>
      </c>
      <c r="E1525" t="str">
        <f>VLOOKUP(J1525,Location[],3,FALSE)</f>
        <v> North Carolina</v>
      </c>
      <c r="F1525" t="str">
        <f>VLOOKUP(K1525,Dept[],2,FALSE)</f>
        <v>Administration</v>
      </c>
      <c r="G1525" s="11">
        <f t="shared" si="23"/>
        <v>44986</v>
      </c>
      <c r="H1525" t="str">
        <f>VLOOKUP(N1525,Status[],2,FALSE)</f>
        <v>Full-Time</v>
      </c>
      <c r="J1525" s="7">
        <v>1017</v>
      </c>
      <c r="K1525">
        <v>12</v>
      </c>
      <c r="L1525">
        <v>2023</v>
      </c>
      <c r="M1525">
        <v>3</v>
      </c>
      <c r="N1525">
        <v>1</v>
      </c>
    </row>
    <row r="1526" spans="1:14" x14ac:dyDescent="0.25">
      <c r="A1526" t="s">
        <v>3751</v>
      </c>
      <c r="B1526" t="s">
        <v>452</v>
      </c>
      <c r="C1526" t="s">
        <v>137</v>
      </c>
      <c r="D1526" t="str">
        <f>VLOOKUP(J1526,Location[],2,FALSE)</f>
        <v>Toledo</v>
      </c>
      <c r="E1526" t="str">
        <f>VLOOKUP(J1526,Location[],3,FALSE)</f>
        <v> Ohio</v>
      </c>
      <c r="F1526" t="str">
        <f>VLOOKUP(K1526,Dept[],2,FALSE)</f>
        <v>IT</v>
      </c>
      <c r="G1526" s="11">
        <f t="shared" si="23"/>
        <v>41791</v>
      </c>
      <c r="H1526" t="str">
        <f>VLOOKUP(N1526,Status[],2,FALSE)</f>
        <v>Full-Time</v>
      </c>
      <c r="J1526" s="7">
        <v>1074</v>
      </c>
      <c r="K1526">
        <v>17</v>
      </c>
      <c r="L1526">
        <v>2014</v>
      </c>
      <c r="M1526">
        <v>6</v>
      </c>
      <c r="N1526">
        <v>1</v>
      </c>
    </row>
    <row r="1527" spans="1:14" x14ac:dyDescent="0.25">
      <c r="A1527" t="s">
        <v>3752</v>
      </c>
      <c r="B1527" t="s">
        <v>108</v>
      </c>
      <c r="C1527" t="s">
        <v>775</v>
      </c>
      <c r="D1527" t="str">
        <f>VLOOKUP(J1527,Location[],2,FALSE)</f>
        <v>Minneapolis</v>
      </c>
      <c r="E1527" t="str">
        <f>VLOOKUP(J1527,Location[],3,FALSE)</f>
        <v> Minnesota</v>
      </c>
      <c r="F1527" t="str">
        <f>VLOOKUP(K1527,Dept[],2,FALSE)</f>
        <v>Customer Support</v>
      </c>
      <c r="G1527" s="11">
        <f t="shared" si="23"/>
        <v>42461</v>
      </c>
      <c r="H1527" t="str">
        <f>VLOOKUP(N1527,Status[],2,FALSE)</f>
        <v>Full-Time</v>
      </c>
      <c r="J1527" s="7">
        <v>1046</v>
      </c>
      <c r="K1527">
        <v>14</v>
      </c>
      <c r="L1527">
        <v>2016</v>
      </c>
      <c r="M1527">
        <v>4</v>
      </c>
      <c r="N1527">
        <v>1</v>
      </c>
    </row>
    <row r="1528" spans="1:14" x14ac:dyDescent="0.25">
      <c r="A1528" t="s">
        <v>3753</v>
      </c>
      <c r="B1528" t="s">
        <v>337</v>
      </c>
      <c r="C1528" t="s">
        <v>1610</v>
      </c>
      <c r="D1528" t="str">
        <f>VLOOKUP(J1528,Location[],2,FALSE)</f>
        <v>Henderson</v>
      </c>
      <c r="E1528" t="str">
        <f>VLOOKUP(J1528,Location[],3,FALSE)</f>
        <v> Nevada</v>
      </c>
      <c r="F1528" t="str">
        <f>VLOOKUP(K1528,Dept[],2,FALSE)</f>
        <v>Sales</v>
      </c>
      <c r="G1528" s="11">
        <f t="shared" si="23"/>
        <v>42736</v>
      </c>
      <c r="H1528" t="str">
        <f>VLOOKUP(N1528,Status[],2,FALSE)</f>
        <v>Full-Time</v>
      </c>
      <c r="J1528" s="7">
        <v>1064</v>
      </c>
      <c r="K1528">
        <v>22</v>
      </c>
      <c r="L1528">
        <v>2017</v>
      </c>
      <c r="M1528">
        <v>1</v>
      </c>
      <c r="N1528">
        <v>1</v>
      </c>
    </row>
    <row r="1529" spans="1:14" x14ac:dyDescent="0.25">
      <c r="A1529" t="s">
        <v>3754</v>
      </c>
      <c r="B1529" t="s">
        <v>768</v>
      </c>
      <c r="C1529" t="s">
        <v>1896</v>
      </c>
      <c r="D1529" t="str">
        <f>VLOOKUP(J1529,Location[],2,FALSE)</f>
        <v>Washington, D.C.</v>
      </c>
      <c r="E1529" t="str">
        <f>VLOOKUP(J1529,Location[],3,FALSE)</f>
        <v> District of Columbia</v>
      </c>
      <c r="F1529" t="str">
        <f>VLOOKUP(K1529,Dept[],2,FALSE)</f>
        <v>Media</v>
      </c>
      <c r="G1529" s="11">
        <f t="shared" si="23"/>
        <v>44197</v>
      </c>
      <c r="H1529" t="str">
        <f>VLOOKUP(N1529,Status[],2,FALSE)</f>
        <v>Full-Time</v>
      </c>
      <c r="J1529" s="7">
        <v>1020</v>
      </c>
      <c r="K1529">
        <v>20</v>
      </c>
      <c r="L1529">
        <v>2021</v>
      </c>
      <c r="M1529">
        <v>1</v>
      </c>
      <c r="N1529">
        <v>1</v>
      </c>
    </row>
    <row r="1530" spans="1:14" x14ac:dyDescent="0.25">
      <c r="A1530" t="s">
        <v>3755</v>
      </c>
      <c r="B1530" t="s">
        <v>1611</v>
      </c>
      <c r="C1530" t="s">
        <v>1612</v>
      </c>
      <c r="D1530" t="str">
        <f>VLOOKUP(J1530,Location[],2,FALSE)</f>
        <v>St. Louis</v>
      </c>
      <c r="E1530" t="str">
        <f>VLOOKUP(J1530,Location[],3,FALSE)</f>
        <v> Missouri</v>
      </c>
      <c r="F1530" t="str">
        <f>VLOOKUP(K1530,Dept[],2,FALSE)</f>
        <v>IT</v>
      </c>
      <c r="G1530" s="11">
        <f t="shared" si="23"/>
        <v>41183</v>
      </c>
      <c r="H1530" t="str">
        <f>VLOOKUP(N1530,Status[],2,FALSE)</f>
        <v>Part-Time</v>
      </c>
      <c r="J1530" s="7">
        <v>1062</v>
      </c>
      <c r="K1530">
        <v>17</v>
      </c>
      <c r="L1530">
        <v>2012</v>
      </c>
      <c r="M1530">
        <v>10</v>
      </c>
      <c r="N1530">
        <v>0</v>
      </c>
    </row>
    <row r="1531" spans="1:14" x14ac:dyDescent="0.25">
      <c r="A1531" t="s">
        <v>3756</v>
      </c>
      <c r="B1531" t="s">
        <v>1145</v>
      </c>
      <c r="C1531" t="s">
        <v>1660</v>
      </c>
      <c r="D1531" t="str">
        <f>VLOOKUP(J1531,Location[],2,FALSE)</f>
        <v>Houston</v>
      </c>
      <c r="E1531" t="str">
        <f>VLOOKUP(J1531,Location[],3,FALSE)</f>
        <v> Texas</v>
      </c>
      <c r="F1531" t="str">
        <f>VLOOKUP(K1531,Dept[],2,FALSE)</f>
        <v>Media</v>
      </c>
      <c r="G1531" s="11">
        <f t="shared" si="23"/>
        <v>41640</v>
      </c>
      <c r="H1531" t="str">
        <f>VLOOKUP(N1531,Status[],2,FALSE)</f>
        <v>Full-Time</v>
      </c>
      <c r="J1531" s="7">
        <v>1004</v>
      </c>
      <c r="K1531">
        <v>20</v>
      </c>
      <c r="L1531">
        <v>2014</v>
      </c>
      <c r="M1531">
        <v>1</v>
      </c>
      <c r="N1531">
        <v>1</v>
      </c>
    </row>
    <row r="1532" spans="1:14" x14ac:dyDescent="0.25">
      <c r="A1532" t="s">
        <v>3757</v>
      </c>
      <c r="B1532" t="s">
        <v>878</v>
      </c>
      <c r="C1532" t="s">
        <v>879</v>
      </c>
      <c r="D1532" t="str">
        <f>VLOOKUP(J1532,Location[],2,FALSE)</f>
        <v>New York City</v>
      </c>
      <c r="E1532" t="str">
        <f>VLOOKUP(J1532,Location[],3,FALSE)</f>
        <v> New York</v>
      </c>
      <c r="F1532" t="str">
        <f>VLOOKUP(K1532,Dept[],2,FALSE)</f>
        <v>Administration</v>
      </c>
      <c r="G1532" s="11">
        <f t="shared" si="23"/>
        <v>41275</v>
      </c>
      <c r="H1532" t="str">
        <f>VLOOKUP(N1532,Status[],2,FALSE)</f>
        <v>Full-Time</v>
      </c>
      <c r="J1532" s="7">
        <v>1001</v>
      </c>
      <c r="K1532">
        <v>12</v>
      </c>
      <c r="L1532">
        <v>2013</v>
      </c>
      <c r="M1532">
        <v>1</v>
      </c>
      <c r="N1532">
        <v>1</v>
      </c>
    </row>
    <row r="1533" spans="1:14" x14ac:dyDescent="0.25">
      <c r="A1533" t="s">
        <v>3758</v>
      </c>
      <c r="B1533" t="s">
        <v>131</v>
      </c>
      <c r="C1533" t="s">
        <v>629</v>
      </c>
      <c r="D1533" t="str">
        <f>VLOOKUP(J1533,Location[],2,FALSE)</f>
        <v>San Diego</v>
      </c>
      <c r="E1533" t="str">
        <f>VLOOKUP(J1533,Location[],3,FALSE)</f>
        <v> California</v>
      </c>
      <c r="F1533" t="str">
        <f>VLOOKUP(K1533,Dept[],2,FALSE)</f>
        <v>Customer Support</v>
      </c>
      <c r="G1533" s="11">
        <f t="shared" si="23"/>
        <v>43405</v>
      </c>
      <c r="H1533" t="str">
        <f>VLOOKUP(N1533,Status[],2,FALSE)</f>
        <v>Full-Time</v>
      </c>
      <c r="J1533" s="7">
        <v>1008</v>
      </c>
      <c r="K1533">
        <v>14</v>
      </c>
      <c r="L1533">
        <v>2018</v>
      </c>
      <c r="M1533">
        <v>11</v>
      </c>
      <c r="N1533">
        <v>1</v>
      </c>
    </row>
    <row r="1534" spans="1:14" x14ac:dyDescent="0.25">
      <c r="A1534" t="s">
        <v>3759</v>
      </c>
      <c r="B1534" t="s">
        <v>628</v>
      </c>
      <c r="C1534" t="s">
        <v>629</v>
      </c>
      <c r="D1534" t="str">
        <f>VLOOKUP(J1534,Location[],2,FALSE)</f>
        <v>Cincinnati</v>
      </c>
      <c r="E1534" t="str">
        <f>VLOOKUP(J1534,Location[],3,FALSE)</f>
        <v> Ohio</v>
      </c>
      <c r="F1534" t="str">
        <f>VLOOKUP(K1534,Dept[],2,FALSE)</f>
        <v>Customer Support</v>
      </c>
      <c r="G1534" s="11">
        <f t="shared" si="23"/>
        <v>42248</v>
      </c>
      <c r="H1534" t="str">
        <f>VLOOKUP(N1534,Status[],2,FALSE)</f>
        <v>Part-Time</v>
      </c>
      <c r="J1534" s="7">
        <v>1066</v>
      </c>
      <c r="K1534">
        <v>14</v>
      </c>
      <c r="L1534">
        <v>2015</v>
      </c>
      <c r="M1534">
        <v>9</v>
      </c>
      <c r="N1534">
        <v>0</v>
      </c>
    </row>
    <row r="1535" spans="1:14" x14ac:dyDescent="0.25">
      <c r="A1535" t="s">
        <v>3760</v>
      </c>
      <c r="B1535" t="s">
        <v>1677</v>
      </c>
      <c r="C1535" t="s">
        <v>629</v>
      </c>
      <c r="D1535" t="str">
        <f>VLOOKUP(J1535,Location[],2,FALSE)</f>
        <v>Newark</v>
      </c>
      <c r="E1535" t="str">
        <f>VLOOKUP(J1535,Location[],3,FALSE)</f>
        <v> New Jersey</v>
      </c>
      <c r="F1535" t="str">
        <f>VLOOKUP(K1535,Dept[],2,FALSE)</f>
        <v>Customer Support</v>
      </c>
      <c r="G1535" s="11">
        <f t="shared" si="23"/>
        <v>41122</v>
      </c>
      <c r="H1535" t="str">
        <f>VLOOKUP(N1535,Status[],2,FALSE)</f>
        <v>Full-Time</v>
      </c>
      <c r="J1535" s="7">
        <v>1070</v>
      </c>
      <c r="K1535">
        <v>14</v>
      </c>
      <c r="L1535">
        <v>2012</v>
      </c>
      <c r="M1535">
        <v>8</v>
      </c>
      <c r="N1535">
        <v>1</v>
      </c>
    </row>
    <row r="1536" spans="1:14" x14ac:dyDescent="0.25">
      <c r="A1536" t="s">
        <v>3761</v>
      </c>
      <c r="B1536" t="s">
        <v>59</v>
      </c>
      <c r="C1536" t="s">
        <v>963</v>
      </c>
      <c r="D1536" t="str">
        <f>VLOOKUP(J1536,Location[],2,FALSE)</f>
        <v>El Paso</v>
      </c>
      <c r="E1536" t="str">
        <f>VLOOKUP(J1536,Location[],3,FALSE)</f>
        <v> Texas</v>
      </c>
      <c r="F1536" t="str">
        <f>VLOOKUP(K1536,Dept[],2,FALSE)</f>
        <v>Administration</v>
      </c>
      <c r="G1536" s="11">
        <f t="shared" si="23"/>
        <v>42430</v>
      </c>
      <c r="H1536" t="str">
        <f>VLOOKUP(N1536,Status[],2,FALSE)</f>
        <v>Full-Time</v>
      </c>
      <c r="J1536" s="7">
        <v>1022</v>
      </c>
      <c r="K1536">
        <v>12</v>
      </c>
      <c r="L1536">
        <v>2016</v>
      </c>
      <c r="M1536">
        <v>3</v>
      </c>
      <c r="N1536">
        <v>1</v>
      </c>
    </row>
    <row r="1537" spans="1:14" x14ac:dyDescent="0.25">
      <c r="A1537" t="s">
        <v>3762</v>
      </c>
      <c r="B1537" t="s">
        <v>47</v>
      </c>
      <c r="C1537" t="s">
        <v>963</v>
      </c>
      <c r="D1537" t="str">
        <f>VLOOKUP(J1537,Location[],2,FALSE)</f>
        <v>Chula Vista</v>
      </c>
      <c r="E1537" t="str">
        <f>VLOOKUP(J1537,Location[],3,FALSE)</f>
        <v> California</v>
      </c>
      <c r="F1537" t="str">
        <f>VLOOKUP(K1537,Dept[],2,FALSE)</f>
        <v>Finance</v>
      </c>
      <c r="G1537" s="11">
        <f t="shared" si="23"/>
        <v>43952</v>
      </c>
      <c r="H1537" t="str">
        <f>VLOOKUP(N1537,Status[],2,FALSE)</f>
        <v>Full-Time</v>
      </c>
      <c r="J1537" s="7">
        <v>1076</v>
      </c>
      <c r="K1537">
        <v>15</v>
      </c>
      <c r="L1537">
        <v>2020</v>
      </c>
      <c r="M1537">
        <v>5</v>
      </c>
      <c r="N1537">
        <v>1</v>
      </c>
    </row>
    <row r="1538" spans="1:14" x14ac:dyDescent="0.25">
      <c r="A1538" t="s">
        <v>3763</v>
      </c>
      <c r="B1538" t="s">
        <v>248</v>
      </c>
      <c r="C1538" t="s">
        <v>963</v>
      </c>
      <c r="D1538" t="str">
        <f>VLOOKUP(J1538,Location[],2,FALSE)</f>
        <v>San Diego</v>
      </c>
      <c r="E1538" t="str">
        <f>VLOOKUP(J1538,Location[],3,FALSE)</f>
        <v> California</v>
      </c>
      <c r="F1538" t="str">
        <f>VLOOKUP(K1538,Dept[],2,FALSE)</f>
        <v>Media</v>
      </c>
      <c r="G1538" s="11">
        <f t="shared" si="23"/>
        <v>45139</v>
      </c>
      <c r="H1538" t="str">
        <f>VLOOKUP(N1538,Status[],2,FALSE)</f>
        <v>Full-Time</v>
      </c>
      <c r="J1538" s="7">
        <v>1008</v>
      </c>
      <c r="K1538">
        <v>20</v>
      </c>
      <c r="L1538">
        <v>2023</v>
      </c>
      <c r="M1538">
        <v>8</v>
      </c>
      <c r="N1538">
        <v>1</v>
      </c>
    </row>
    <row r="1539" spans="1:14" x14ac:dyDescent="0.25">
      <c r="A1539" t="s">
        <v>3764</v>
      </c>
      <c r="B1539" t="s">
        <v>27</v>
      </c>
      <c r="C1539" t="s">
        <v>28</v>
      </c>
      <c r="D1539" t="str">
        <f>VLOOKUP(J1539,Location[],2,FALSE)</f>
        <v>Bakersfield</v>
      </c>
      <c r="E1539" t="str">
        <f>VLOOKUP(J1539,Location[],3,FALSE)</f>
        <v> California</v>
      </c>
      <c r="F1539" t="str">
        <f>VLOOKUP(K1539,Dept[],2,FALSE)</f>
        <v>Legal</v>
      </c>
      <c r="G1539" s="11">
        <f t="shared" si="23"/>
        <v>41699</v>
      </c>
      <c r="H1539" t="str">
        <f>VLOOKUP(N1539,Status[],2,FALSE)</f>
        <v>Full-Time</v>
      </c>
      <c r="J1539" s="7">
        <v>1053</v>
      </c>
      <c r="K1539">
        <v>18</v>
      </c>
      <c r="L1539">
        <v>2014</v>
      </c>
      <c r="M1539">
        <v>3</v>
      </c>
      <c r="N1539">
        <v>1</v>
      </c>
    </row>
    <row r="1540" spans="1:14" x14ac:dyDescent="0.25">
      <c r="A1540" t="s">
        <v>3765</v>
      </c>
      <c r="B1540" t="s">
        <v>790</v>
      </c>
      <c r="C1540" t="s">
        <v>791</v>
      </c>
      <c r="D1540" t="str">
        <f>VLOOKUP(J1540,Location[],2,FALSE)</f>
        <v>Bakersfield</v>
      </c>
      <c r="E1540" t="str">
        <f>VLOOKUP(J1540,Location[],3,FALSE)</f>
        <v> California</v>
      </c>
      <c r="F1540" t="str">
        <f>VLOOKUP(K1540,Dept[],2,FALSE)</f>
        <v>Customer Support</v>
      </c>
      <c r="G1540" s="11">
        <f t="shared" si="23"/>
        <v>43374</v>
      </c>
      <c r="H1540" t="str">
        <f>VLOOKUP(N1540,Status[],2,FALSE)</f>
        <v>Full-Time</v>
      </c>
      <c r="J1540" s="7">
        <v>1053</v>
      </c>
      <c r="K1540">
        <v>14</v>
      </c>
      <c r="L1540">
        <v>2018</v>
      </c>
      <c r="M1540">
        <v>10</v>
      </c>
      <c r="N1540">
        <v>1</v>
      </c>
    </row>
    <row r="1541" spans="1:14" x14ac:dyDescent="0.25">
      <c r="A1541" t="s">
        <v>3766</v>
      </c>
      <c r="B1541" t="s">
        <v>159</v>
      </c>
      <c r="C1541" t="s">
        <v>1080</v>
      </c>
      <c r="D1541" t="str">
        <f>VLOOKUP(J1541,Location[],2,FALSE)</f>
        <v>Pittsburgh</v>
      </c>
      <c r="E1541" t="str">
        <f>VLOOKUP(J1541,Location[],3,FALSE)</f>
        <v> Pennsylvania</v>
      </c>
      <c r="F1541" t="str">
        <f>VLOOKUP(K1541,Dept[],2,FALSE)</f>
        <v>Administration</v>
      </c>
      <c r="G1541" s="11">
        <f t="shared" ref="G1541:G1604" si="24">DATE(L1541,M1541,1)</f>
        <v>43221</v>
      </c>
      <c r="H1541" t="str">
        <f>VLOOKUP(N1541,Status[],2,FALSE)</f>
        <v>Full-Time</v>
      </c>
      <c r="J1541" s="7">
        <v>1065</v>
      </c>
      <c r="K1541">
        <v>12</v>
      </c>
      <c r="L1541">
        <v>2018</v>
      </c>
      <c r="M1541">
        <v>5</v>
      </c>
      <c r="N1541">
        <v>1</v>
      </c>
    </row>
    <row r="1542" spans="1:14" x14ac:dyDescent="0.25">
      <c r="A1542" t="s">
        <v>3767</v>
      </c>
      <c r="B1542" t="s">
        <v>13</v>
      </c>
      <c r="C1542" t="s">
        <v>1080</v>
      </c>
      <c r="D1542" t="str">
        <f>VLOOKUP(J1542,Location[],2,FALSE)</f>
        <v>Dallas</v>
      </c>
      <c r="E1542" t="str">
        <f>VLOOKUP(J1542,Location[],3,FALSE)</f>
        <v> Texas</v>
      </c>
      <c r="F1542" t="str">
        <f>VLOOKUP(K1542,Dept[],2,FALSE)</f>
        <v>IT</v>
      </c>
      <c r="G1542" s="11">
        <f t="shared" si="24"/>
        <v>41306</v>
      </c>
      <c r="H1542" t="str">
        <f>VLOOKUP(N1542,Status[],2,FALSE)</f>
        <v>Full-Time</v>
      </c>
      <c r="J1542" s="7">
        <v>1009</v>
      </c>
      <c r="K1542">
        <v>17</v>
      </c>
      <c r="L1542">
        <v>2013</v>
      </c>
      <c r="M1542">
        <v>2</v>
      </c>
      <c r="N1542">
        <v>1</v>
      </c>
    </row>
    <row r="1543" spans="1:14" x14ac:dyDescent="0.25">
      <c r="A1543" t="s">
        <v>3768</v>
      </c>
      <c r="B1543" t="s">
        <v>960</v>
      </c>
      <c r="C1543" t="s">
        <v>1080</v>
      </c>
      <c r="D1543" t="str">
        <f>VLOOKUP(J1543,Location[],2,FALSE)</f>
        <v>Denver</v>
      </c>
      <c r="E1543" t="str">
        <f>VLOOKUP(J1543,Location[],3,FALSE)</f>
        <v> Colorado</v>
      </c>
      <c r="F1543" t="str">
        <f>VLOOKUP(K1543,Dept[],2,FALSE)</f>
        <v>Customer Support</v>
      </c>
      <c r="G1543" s="11">
        <f t="shared" si="24"/>
        <v>43800</v>
      </c>
      <c r="H1543" t="str">
        <f>VLOOKUP(N1543,Status[],2,FALSE)</f>
        <v>Full-Time</v>
      </c>
      <c r="J1543" s="7">
        <v>1019</v>
      </c>
      <c r="K1543">
        <v>14</v>
      </c>
      <c r="L1543">
        <v>2019</v>
      </c>
      <c r="M1543">
        <v>12</v>
      </c>
      <c r="N1543">
        <v>1</v>
      </c>
    </row>
    <row r="1544" spans="1:14" x14ac:dyDescent="0.25">
      <c r="A1544" t="s">
        <v>3769</v>
      </c>
      <c r="B1544" t="s">
        <v>1021</v>
      </c>
      <c r="C1544" t="s">
        <v>859</v>
      </c>
      <c r="D1544" t="str">
        <f>VLOOKUP(J1544,Location[],2,FALSE)</f>
        <v>Buffalo</v>
      </c>
      <c r="E1544" t="str">
        <f>VLOOKUP(J1544,Location[],3,FALSE)</f>
        <v> New York</v>
      </c>
      <c r="F1544" t="str">
        <f>VLOOKUP(K1544,Dept[],2,FALSE)</f>
        <v>Assessment</v>
      </c>
      <c r="G1544" s="11">
        <f t="shared" si="24"/>
        <v>44470</v>
      </c>
      <c r="H1544" t="str">
        <f>VLOOKUP(N1544,Status[],2,FALSE)</f>
        <v>Full-Time</v>
      </c>
      <c r="J1544" s="7">
        <v>1081</v>
      </c>
      <c r="K1544">
        <v>13</v>
      </c>
      <c r="L1544">
        <v>2021</v>
      </c>
      <c r="M1544">
        <v>10</v>
      </c>
      <c r="N1544">
        <v>1</v>
      </c>
    </row>
    <row r="1545" spans="1:14" x14ac:dyDescent="0.25">
      <c r="A1545" t="s">
        <v>3770</v>
      </c>
      <c r="B1545" t="s">
        <v>858</v>
      </c>
      <c r="C1545" t="s">
        <v>859</v>
      </c>
      <c r="D1545" t="str">
        <f>VLOOKUP(J1545,Location[],2,FALSE)</f>
        <v>Las Vegas</v>
      </c>
      <c r="E1545" t="str">
        <f>VLOOKUP(J1545,Location[],3,FALSE)</f>
        <v> Nevada</v>
      </c>
      <c r="F1545" t="str">
        <f>VLOOKUP(K1545,Dept[],2,FALSE)</f>
        <v>Media</v>
      </c>
      <c r="G1545" s="11">
        <f t="shared" si="24"/>
        <v>41183</v>
      </c>
      <c r="H1545" t="str">
        <f>VLOOKUP(N1545,Status[],2,FALSE)</f>
        <v>Full-Time</v>
      </c>
      <c r="J1545" s="7">
        <v>1028</v>
      </c>
      <c r="K1545">
        <v>20</v>
      </c>
      <c r="L1545">
        <v>2012</v>
      </c>
      <c r="M1545">
        <v>10</v>
      </c>
      <c r="N1545">
        <v>1</v>
      </c>
    </row>
    <row r="1546" spans="1:14" x14ac:dyDescent="0.25">
      <c r="A1546" t="s">
        <v>3771</v>
      </c>
      <c r="B1546" t="s">
        <v>763</v>
      </c>
      <c r="C1546" t="s">
        <v>859</v>
      </c>
      <c r="D1546" t="str">
        <f>VLOOKUP(J1546,Location[],2,FALSE)</f>
        <v>Lexington</v>
      </c>
      <c r="E1546" t="str">
        <f>VLOOKUP(J1546,Location[],3,FALSE)</f>
        <v> Kentucky</v>
      </c>
      <c r="F1546" t="str">
        <f>VLOOKUP(K1546,Dept[],2,FALSE)</f>
        <v>Shipping</v>
      </c>
      <c r="G1546" s="11">
        <f t="shared" si="24"/>
        <v>43252</v>
      </c>
      <c r="H1546" t="str">
        <f>VLOOKUP(N1546,Status[],2,FALSE)</f>
        <v>Full-Time</v>
      </c>
      <c r="J1546" s="7">
        <v>1060</v>
      </c>
      <c r="K1546">
        <v>23</v>
      </c>
      <c r="L1546">
        <v>2018</v>
      </c>
      <c r="M1546">
        <v>6</v>
      </c>
      <c r="N1546">
        <v>1</v>
      </c>
    </row>
    <row r="1547" spans="1:14" x14ac:dyDescent="0.25">
      <c r="A1547" t="s">
        <v>3772</v>
      </c>
      <c r="B1547" t="s">
        <v>115</v>
      </c>
      <c r="C1547" t="s">
        <v>867</v>
      </c>
      <c r="D1547" t="str">
        <f>VLOOKUP(J1547,Location[],2,FALSE)</f>
        <v>Chicago</v>
      </c>
      <c r="E1547" t="str">
        <f>VLOOKUP(J1547,Location[],3,FALSE)</f>
        <v> Illinois</v>
      </c>
      <c r="F1547" t="str">
        <f>VLOOKUP(K1547,Dept[],2,FALSE)</f>
        <v>Accounting</v>
      </c>
      <c r="G1547" s="11">
        <f t="shared" si="24"/>
        <v>42401</v>
      </c>
      <c r="H1547" t="str">
        <f>VLOOKUP(N1547,Status[],2,FALSE)</f>
        <v>Full-Time</v>
      </c>
      <c r="J1547" s="7">
        <v>1003</v>
      </c>
      <c r="K1547">
        <v>11</v>
      </c>
      <c r="L1547">
        <v>2016</v>
      </c>
      <c r="M1547">
        <v>2</v>
      </c>
      <c r="N1547">
        <v>1</v>
      </c>
    </row>
    <row r="1548" spans="1:14" x14ac:dyDescent="0.25">
      <c r="A1548" t="s">
        <v>3773</v>
      </c>
      <c r="B1548" t="s">
        <v>108</v>
      </c>
      <c r="C1548" t="s">
        <v>867</v>
      </c>
      <c r="D1548" t="str">
        <f>VLOOKUP(J1548,Location[],2,FALSE)</f>
        <v>San Jose</v>
      </c>
      <c r="E1548" t="str">
        <f>VLOOKUP(J1548,Location[],3,FALSE)</f>
        <v> California</v>
      </c>
      <c r="F1548" t="str">
        <f>VLOOKUP(K1548,Dept[],2,FALSE)</f>
        <v>Marketing</v>
      </c>
      <c r="G1548" s="11">
        <f t="shared" si="24"/>
        <v>44470</v>
      </c>
      <c r="H1548" t="str">
        <f>VLOOKUP(N1548,Status[],2,FALSE)</f>
        <v>Full-Time</v>
      </c>
      <c r="J1548" s="7">
        <v>1010</v>
      </c>
      <c r="K1548">
        <v>19</v>
      </c>
      <c r="L1548">
        <v>2021</v>
      </c>
      <c r="M1548">
        <v>10</v>
      </c>
      <c r="N1548">
        <v>1</v>
      </c>
    </row>
    <row r="1549" spans="1:14" x14ac:dyDescent="0.25">
      <c r="A1549" t="s">
        <v>3774</v>
      </c>
      <c r="B1549" t="s">
        <v>866</v>
      </c>
      <c r="C1549" t="s">
        <v>867</v>
      </c>
      <c r="D1549" t="str">
        <f>VLOOKUP(J1549,Location[],2,FALSE)</f>
        <v>Buffalo</v>
      </c>
      <c r="E1549" t="str">
        <f>VLOOKUP(J1549,Location[],3,FALSE)</f>
        <v> New York</v>
      </c>
      <c r="F1549" t="str">
        <f>VLOOKUP(K1549,Dept[],2,FALSE)</f>
        <v>Sales</v>
      </c>
      <c r="G1549" s="11">
        <f t="shared" si="24"/>
        <v>43922</v>
      </c>
      <c r="H1549" t="str">
        <f>VLOOKUP(N1549,Status[],2,FALSE)</f>
        <v>Full-Time</v>
      </c>
      <c r="J1549" s="7">
        <v>1081</v>
      </c>
      <c r="K1549">
        <v>22</v>
      </c>
      <c r="L1549">
        <v>2020</v>
      </c>
      <c r="M1549">
        <v>4</v>
      </c>
      <c r="N1549">
        <v>1</v>
      </c>
    </row>
    <row r="1550" spans="1:14" x14ac:dyDescent="0.25">
      <c r="A1550" t="s">
        <v>3775</v>
      </c>
      <c r="B1550" t="s">
        <v>41</v>
      </c>
      <c r="C1550" t="s">
        <v>42</v>
      </c>
      <c r="D1550" t="str">
        <f>VLOOKUP(J1550,Location[],2,FALSE)</f>
        <v>Indianapolis</v>
      </c>
      <c r="E1550" t="str">
        <f>VLOOKUP(J1550,Location[],3,FALSE)</f>
        <v> Indiana</v>
      </c>
      <c r="F1550" t="str">
        <f>VLOOKUP(K1550,Dept[],2,FALSE)</f>
        <v>Marketing</v>
      </c>
      <c r="G1550" s="11">
        <f t="shared" si="24"/>
        <v>41061</v>
      </c>
      <c r="H1550" t="str">
        <f>VLOOKUP(N1550,Status[],2,FALSE)</f>
        <v>Full-Time</v>
      </c>
      <c r="J1550" s="7">
        <v>1016</v>
      </c>
      <c r="K1550">
        <v>19</v>
      </c>
      <c r="L1550">
        <v>2012</v>
      </c>
      <c r="M1550">
        <v>6</v>
      </c>
      <c r="N1550">
        <v>1</v>
      </c>
    </row>
    <row r="1551" spans="1:14" x14ac:dyDescent="0.25">
      <c r="A1551" t="s">
        <v>3776</v>
      </c>
      <c r="B1551" t="s">
        <v>1498</v>
      </c>
      <c r="C1551" t="s">
        <v>42</v>
      </c>
      <c r="D1551" t="str">
        <f>VLOOKUP(J1551,Location[],2,FALSE)</f>
        <v>Kansas City</v>
      </c>
      <c r="E1551" t="str">
        <f>VLOOKUP(J1551,Location[],3,FALSE)</f>
        <v> Missouri</v>
      </c>
      <c r="F1551" t="str">
        <f>VLOOKUP(K1551,Dept[],2,FALSE)</f>
        <v>Administration</v>
      </c>
      <c r="G1551" s="11">
        <f t="shared" si="24"/>
        <v>43831</v>
      </c>
      <c r="H1551" t="str">
        <f>VLOOKUP(N1551,Status[],2,FALSE)</f>
        <v>Full-Time</v>
      </c>
      <c r="J1551" s="7">
        <v>1037</v>
      </c>
      <c r="K1551">
        <v>12</v>
      </c>
      <c r="L1551">
        <v>2020</v>
      </c>
      <c r="M1551">
        <v>1</v>
      </c>
      <c r="N1551">
        <v>1</v>
      </c>
    </row>
    <row r="1552" spans="1:14" x14ac:dyDescent="0.25">
      <c r="A1552" t="s">
        <v>3777</v>
      </c>
      <c r="B1552" t="s">
        <v>482</v>
      </c>
      <c r="C1552" t="s">
        <v>42</v>
      </c>
      <c r="D1552" t="str">
        <f>VLOOKUP(J1552,Location[],2,FALSE)</f>
        <v>Chicago</v>
      </c>
      <c r="E1552" t="str">
        <f>VLOOKUP(J1552,Location[],3,FALSE)</f>
        <v> Illinois</v>
      </c>
      <c r="F1552" t="str">
        <f>VLOOKUP(K1552,Dept[],2,FALSE)</f>
        <v>Legal</v>
      </c>
      <c r="G1552" s="11">
        <f t="shared" si="24"/>
        <v>43891</v>
      </c>
      <c r="H1552" t="str">
        <f>VLOOKUP(N1552,Status[],2,FALSE)</f>
        <v>Full-Time</v>
      </c>
      <c r="J1552" s="7">
        <v>1003</v>
      </c>
      <c r="K1552">
        <v>18</v>
      </c>
      <c r="L1552">
        <v>2020</v>
      </c>
      <c r="M1552">
        <v>3</v>
      </c>
      <c r="N1552">
        <v>1</v>
      </c>
    </row>
    <row r="1553" spans="1:14" x14ac:dyDescent="0.25">
      <c r="A1553" t="s">
        <v>3778</v>
      </c>
      <c r="B1553" t="s">
        <v>166</v>
      </c>
      <c r="C1553" t="s">
        <v>42</v>
      </c>
      <c r="D1553" t="str">
        <f>VLOOKUP(J1553,Location[],2,FALSE)</f>
        <v>San Antonio</v>
      </c>
      <c r="E1553" t="str">
        <f>VLOOKUP(J1553,Location[],3,FALSE)</f>
        <v> Texas</v>
      </c>
      <c r="F1553" t="str">
        <f>VLOOKUP(K1553,Dept[],2,FALSE)</f>
        <v>Customer Support</v>
      </c>
      <c r="G1553" s="11">
        <f t="shared" si="24"/>
        <v>41244</v>
      </c>
      <c r="H1553" t="str">
        <f>VLOOKUP(N1553,Status[],2,FALSE)</f>
        <v>Full-Time</v>
      </c>
      <c r="J1553" s="7">
        <v>1007</v>
      </c>
      <c r="K1553">
        <v>14</v>
      </c>
      <c r="L1553">
        <v>2012</v>
      </c>
      <c r="M1553">
        <v>12</v>
      </c>
      <c r="N1553">
        <v>1</v>
      </c>
    </row>
    <row r="1554" spans="1:14" x14ac:dyDescent="0.25">
      <c r="A1554" t="s">
        <v>3779</v>
      </c>
      <c r="B1554" t="s">
        <v>471</v>
      </c>
      <c r="C1554" t="s">
        <v>42</v>
      </c>
      <c r="D1554" t="str">
        <f>VLOOKUP(J1554,Location[],2,FALSE)</f>
        <v>Long Beach</v>
      </c>
      <c r="E1554" t="str">
        <f>VLOOKUP(J1554,Location[],3,FALSE)</f>
        <v> California</v>
      </c>
      <c r="F1554" t="str">
        <f>VLOOKUP(K1554,Dept[],2,FALSE)</f>
        <v>Administration</v>
      </c>
      <c r="G1554" s="11">
        <f t="shared" si="24"/>
        <v>40544</v>
      </c>
      <c r="H1554" t="str">
        <f>VLOOKUP(N1554,Status[],2,FALSE)</f>
        <v>Full-Time</v>
      </c>
      <c r="J1554" s="7">
        <v>1039</v>
      </c>
      <c r="K1554">
        <v>12</v>
      </c>
      <c r="L1554">
        <v>2011</v>
      </c>
      <c r="M1554">
        <v>1</v>
      </c>
      <c r="N1554">
        <v>1</v>
      </c>
    </row>
    <row r="1555" spans="1:14" x14ac:dyDescent="0.25">
      <c r="A1555" t="s">
        <v>3780</v>
      </c>
      <c r="B1555" t="s">
        <v>521</v>
      </c>
      <c r="C1555" t="s">
        <v>42</v>
      </c>
      <c r="D1555" t="str">
        <f>VLOOKUP(J1555,Location[],2,FALSE)</f>
        <v>Las Vegas</v>
      </c>
      <c r="E1555" t="str">
        <f>VLOOKUP(J1555,Location[],3,FALSE)</f>
        <v> Nevada</v>
      </c>
      <c r="F1555" t="str">
        <f>VLOOKUP(K1555,Dept[],2,FALSE)</f>
        <v>Legal</v>
      </c>
      <c r="G1555" s="11">
        <f t="shared" si="24"/>
        <v>42186</v>
      </c>
      <c r="H1555" t="str">
        <f>VLOOKUP(N1555,Status[],2,FALSE)</f>
        <v>Full-Time</v>
      </c>
      <c r="J1555" s="7">
        <v>1028</v>
      </c>
      <c r="K1555">
        <v>18</v>
      </c>
      <c r="L1555">
        <v>2015</v>
      </c>
      <c r="M1555">
        <v>7</v>
      </c>
      <c r="N1555">
        <v>1</v>
      </c>
    </row>
    <row r="1556" spans="1:14" x14ac:dyDescent="0.25">
      <c r="A1556" t="s">
        <v>3781</v>
      </c>
      <c r="B1556" t="s">
        <v>119</v>
      </c>
      <c r="C1556" t="s">
        <v>42</v>
      </c>
      <c r="D1556" t="str">
        <f>VLOOKUP(J1556,Location[],2,FALSE)</f>
        <v>Las Vegas</v>
      </c>
      <c r="E1556" t="str">
        <f>VLOOKUP(J1556,Location[],3,FALSE)</f>
        <v> Nevada</v>
      </c>
      <c r="F1556" t="str">
        <f>VLOOKUP(K1556,Dept[],2,FALSE)</f>
        <v>Sales</v>
      </c>
      <c r="G1556" s="11">
        <f t="shared" si="24"/>
        <v>41760</v>
      </c>
      <c r="H1556" t="str">
        <f>VLOOKUP(N1556,Status[],2,FALSE)</f>
        <v>Full-Time</v>
      </c>
      <c r="J1556" s="7">
        <v>1028</v>
      </c>
      <c r="K1556">
        <v>22</v>
      </c>
      <c r="L1556">
        <v>2014</v>
      </c>
      <c r="M1556">
        <v>5</v>
      </c>
      <c r="N1556">
        <v>1</v>
      </c>
    </row>
    <row r="1557" spans="1:14" x14ac:dyDescent="0.25">
      <c r="A1557" t="s">
        <v>3782</v>
      </c>
      <c r="B1557" t="s">
        <v>767</v>
      </c>
      <c r="C1557" t="s">
        <v>42</v>
      </c>
      <c r="D1557" t="str">
        <f>VLOOKUP(J1557,Location[],2,FALSE)</f>
        <v>Corpus Christi</v>
      </c>
      <c r="E1557" t="str">
        <f>VLOOKUP(J1557,Location[],3,FALSE)</f>
        <v> Texas</v>
      </c>
      <c r="F1557" t="str">
        <f>VLOOKUP(K1557,Dept[],2,FALSE)</f>
        <v>Administration</v>
      </c>
      <c r="G1557" s="11">
        <f t="shared" si="24"/>
        <v>43070</v>
      </c>
      <c r="H1557" t="str">
        <f>VLOOKUP(N1557,Status[],2,FALSE)</f>
        <v>Full-Time</v>
      </c>
      <c r="J1557" s="7">
        <v>1059</v>
      </c>
      <c r="K1557">
        <v>12</v>
      </c>
      <c r="L1557">
        <v>2017</v>
      </c>
      <c r="M1557">
        <v>12</v>
      </c>
      <c r="N1557">
        <v>1</v>
      </c>
    </row>
    <row r="1558" spans="1:14" x14ac:dyDescent="0.25">
      <c r="A1558" t="s">
        <v>3783</v>
      </c>
      <c r="B1558" t="s">
        <v>993</v>
      </c>
      <c r="C1558" t="s">
        <v>42</v>
      </c>
      <c r="D1558" t="str">
        <f>VLOOKUP(J1558,Location[],2,FALSE)</f>
        <v>Memphis</v>
      </c>
      <c r="E1558" t="str">
        <f>VLOOKUP(J1558,Location[],3,FALSE)</f>
        <v> Tennessee</v>
      </c>
      <c r="F1558" t="str">
        <f>VLOOKUP(K1558,Dept[],2,FALSE)</f>
        <v>Finance</v>
      </c>
      <c r="G1558" s="11">
        <f t="shared" si="24"/>
        <v>44866</v>
      </c>
      <c r="H1558" t="str">
        <f>VLOOKUP(N1558,Status[],2,FALSE)</f>
        <v>Full-Time</v>
      </c>
      <c r="J1558" s="7">
        <v>1025</v>
      </c>
      <c r="K1558">
        <v>15</v>
      </c>
      <c r="L1558">
        <v>2022</v>
      </c>
      <c r="M1558">
        <v>11</v>
      </c>
      <c r="N1558">
        <v>1</v>
      </c>
    </row>
    <row r="1559" spans="1:14" x14ac:dyDescent="0.25">
      <c r="A1559" t="s">
        <v>3784</v>
      </c>
      <c r="B1559" t="s">
        <v>337</v>
      </c>
      <c r="C1559" t="s">
        <v>42</v>
      </c>
      <c r="D1559" t="str">
        <f>VLOOKUP(J1559,Location[],2,FALSE)</f>
        <v>Boston</v>
      </c>
      <c r="E1559" t="str">
        <f>VLOOKUP(J1559,Location[],3,FALSE)</f>
        <v> Massachusetts</v>
      </c>
      <c r="F1559" t="str">
        <f>VLOOKUP(K1559,Dept[],2,FALSE)</f>
        <v>Finance</v>
      </c>
      <c r="G1559" s="11">
        <f t="shared" si="24"/>
        <v>44166</v>
      </c>
      <c r="H1559" t="str">
        <f>VLOOKUP(N1559,Status[],2,FALSE)</f>
        <v>Part-Time</v>
      </c>
      <c r="J1559" s="7">
        <v>1021</v>
      </c>
      <c r="K1559">
        <v>15</v>
      </c>
      <c r="L1559">
        <v>2020</v>
      </c>
      <c r="M1559">
        <v>12</v>
      </c>
      <c r="N1559">
        <v>0</v>
      </c>
    </row>
    <row r="1560" spans="1:14" x14ac:dyDescent="0.25">
      <c r="A1560" t="s">
        <v>3785</v>
      </c>
      <c r="B1560" t="s">
        <v>1782</v>
      </c>
      <c r="C1560" t="s">
        <v>1783</v>
      </c>
      <c r="D1560" t="str">
        <f>VLOOKUP(J1560,Location[],2,FALSE)</f>
        <v>San Antonio</v>
      </c>
      <c r="E1560" t="str">
        <f>VLOOKUP(J1560,Location[],3,FALSE)</f>
        <v> Texas</v>
      </c>
      <c r="F1560" t="str">
        <f>VLOOKUP(K1560,Dept[],2,FALSE)</f>
        <v>Customer Support</v>
      </c>
      <c r="G1560" s="11">
        <f t="shared" si="24"/>
        <v>43952</v>
      </c>
      <c r="H1560" t="str">
        <f>VLOOKUP(N1560,Status[],2,FALSE)</f>
        <v>Full-Time</v>
      </c>
      <c r="J1560" s="7">
        <v>1007</v>
      </c>
      <c r="K1560">
        <v>14</v>
      </c>
      <c r="L1560">
        <v>2020</v>
      </c>
      <c r="M1560">
        <v>5</v>
      </c>
      <c r="N1560">
        <v>1</v>
      </c>
    </row>
    <row r="1561" spans="1:14" x14ac:dyDescent="0.25">
      <c r="A1561" t="s">
        <v>3786</v>
      </c>
      <c r="B1561" t="s">
        <v>345</v>
      </c>
      <c r="C1561" t="s">
        <v>1268</v>
      </c>
      <c r="D1561" t="str">
        <f>VLOOKUP(J1561,Location[],2,FALSE)</f>
        <v>Virginia Beach</v>
      </c>
      <c r="E1561" t="str">
        <f>VLOOKUP(J1561,Location[],3,FALSE)</f>
        <v> Virginia</v>
      </c>
      <c r="F1561" t="str">
        <f>VLOOKUP(K1561,Dept[],2,FALSE)</f>
        <v>Marketing</v>
      </c>
      <c r="G1561" s="11">
        <f t="shared" si="24"/>
        <v>41306</v>
      </c>
      <c r="H1561" t="str">
        <f>VLOOKUP(N1561,Status[],2,FALSE)</f>
        <v>Full-Time</v>
      </c>
      <c r="J1561" s="7">
        <v>1044</v>
      </c>
      <c r="K1561">
        <v>19</v>
      </c>
      <c r="L1561">
        <v>2013</v>
      </c>
      <c r="M1561">
        <v>2</v>
      </c>
      <c r="N1561">
        <v>1</v>
      </c>
    </row>
    <row r="1562" spans="1:14" x14ac:dyDescent="0.25">
      <c r="A1562" t="s">
        <v>3787</v>
      </c>
      <c r="B1562" t="s">
        <v>190</v>
      </c>
      <c r="C1562" t="s">
        <v>1284</v>
      </c>
      <c r="D1562" t="str">
        <f>VLOOKUP(J1562,Location[],2,FALSE)</f>
        <v>Philadelphia</v>
      </c>
      <c r="E1562" t="str">
        <f>VLOOKUP(J1562,Location[],3,FALSE)</f>
        <v> Pennsylvania</v>
      </c>
      <c r="F1562" t="str">
        <f>VLOOKUP(K1562,Dept[],2,FALSE)</f>
        <v>Legal</v>
      </c>
      <c r="G1562" s="11">
        <f t="shared" si="24"/>
        <v>41306</v>
      </c>
      <c r="H1562" t="str">
        <f>VLOOKUP(N1562,Status[],2,FALSE)</f>
        <v>Full-Time</v>
      </c>
      <c r="J1562" s="7">
        <v>1006</v>
      </c>
      <c r="K1562">
        <v>18</v>
      </c>
      <c r="L1562">
        <v>2013</v>
      </c>
      <c r="M1562">
        <v>2</v>
      </c>
      <c r="N1562">
        <v>1</v>
      </c>
    </row>
    <row r="1563" spans="1:14" x14ac:dyDescent="0.25">
      <c r="A1563" t="s">
        <v>3788</v>
      </c>
      <c r="B1563" t="s">
        <v>1462</v>
      </c>
      <c r="C1563" t="s">
        <v>1284</v>
      </c>
      <c r="D1563" t="str">
        <f>VLOOKUP(J1563,Location[],2,FALSE)</f>
        <v>Detroit</v>
      </c>
      <c r="E1563" t="str">
        <f>VLOOKUP(J1563,Location[],3,FALSE)</f>
        <v> Michigan</v>
      </c>
      <c r="F1563" t="str">
        <f>VLOOKUP(K1563,Dept[],2,FALSE)</f>
        <v>Finance</v>
      </c>
      <c r="G1563" s="11">
        <f t="shared" si="24"/>
        <v>41640</v>
      </c>
      <c r="H1563" t="str">
        <f>VLOOKUP(N1563,Status[],2,FALSE)</f>
        <v>Part-Time</v>
      </c>
      <c r="J1563" s="7">
        <v>1023</v>
      </c>
      <c r="K1563">
        <v>15</v>
      </c>
      <c r="L1563">
        <v>2014</v>
      </c>
      <c r="M1563">
        <v>1</v>
      </c>
      <c r="N1563">
        <v>0</v>
      </c>
    </row>
    <row r="1564" spans="1:14" x14ac:dyDescent="0.25">
      <c r="A1564" t="s">
        <v>3789</v>
      </c>
      <c r="B1564" t="s">
        <v>148</v>
      </c>
      <c r="C1564" t="s">
        <v>1284</v>
      </c>
      <c r="D1564" t="str">
        <f>VLOOKUP(J1564,Location[],2,FALSE)</f>
        <v>Los Angeles</v>
      </c>
      <c r="E1564" t="str">
        <f>VLOOKUP(J1564,Location[],3,FALSE)</f>
        <v> California</v>
      </c>
      <c r="F1564" t="str">
        <f>VLOOKUP(K1564,Dept[],2,FALSE)</f>
        <v>Administration</v>
      </c>
      <c r="G1564" s="11">
        <f t="shared" si="24"/>
        <v>43282</v>
      </c>
      <c r="H1564" t="str">
        <f>VLOOKUP(N1564,Status[],2,FALSE)</f>
        <v>Full-Time</v>
      </c>
      <c r="J1564" s="7">
        <v>1002</v>
      </c>
      <c r="K1564">
        <v>12</v>
      </c>
      <c r="L1564">
        <v>2018</v>
      </c>
      <c r="M1564">
        <v>7</v>
      </c>
      <c r="N1564">
        <v>1</v>
      </c>
    </row>
    <row r="1565" spans="1:14" x14ac:dyDescent="0.25">
      <c r="A1565" t="s">
        <v>3790</v>
      </c>
      <c r="B1565" t="s">
        <v>1635</v>
      </c>
      <c r="C1565" t="s">
        <v>1636</v>
      </c>
      <c r="D1565" t="str">
        <f>VLOOKUP(J1565,Location[],2,FALSE)</f>
        <v>Orlando</v>
      </c>
      <c r="E1565" t="str">
        <f>VLOOKUP(J1565,Location[],3,FALSE)</f>
        <v> Florida</v>
      </c>
      <c r="F1565" t="str">
        <f>VLOOKUP(K1565,Dept[],2,FALSE)</f>
        <v>Finance</v>
      </c>
      <c r="G1565" s="11">
        <f t="shared" si="24"/>
        <v>41061</v>
      </c>
      <c r="H1565" t="str">
        <f>VLOOKUP(N1565,Status[],2,FALSE)</f>
        <v>Full-Time</v>
      </c>
      <c r="J1565" s="7">
        <v>1072</v>
      </c>
      <c r="K1565">
        <v>15</v>
      </c>
      <c r="L1565">
        <v>2012</v>
      </c>
      <c r="M1565">
        <v>6</v>
      </c>
      <c r="N1565">
        <v>1</v>
      </c>
    </row>
    <row r="1566" spans="1:14" x14ac:dyDescent="0.25">
      <c r="A1566" t="s">
        <v>3791</v>
      </c>
      <c r="B1566" t="s">
        <v>1697</v>
      </c>
      <c r="C1566" t="s">
        <v>1636</v>
      </c>
      <c r="D1566" t="str">
        <f>VLOOKUP(J1566,Location[],2,FALSE)</f>
        <v>Toledo</v>
      </c>
      <c r="E1566" t="str">
        <f>VLOOKUP(J1566,Location[],3,FALSE)</f>
        <v> Ohio</v>
      </c>
      <c r="F1566" t="str">
        <f>VLOOKUP(K1566,Dept[],2,FALSE)</f>
        <v>Assessment</v>
      </c>
      <c r="G1566" s="11">
        <f t="shared" si="24"/>
        <v>40848</v>
      </c>
      <c r="H1566" t="str">
        <f>VLOOKUP(N1566,Status[],2,FALSE)</f>
        <v>Full-Time</v>
      </c>
      <c r="J1566" s="7">
        <v>1074</v>
      </c>
      <c r="K1566">
        <v>13</v>
      </c>
      <c r="L1566">
        <v>2011</v>
      </c>
      <c r="M1566">
        <v>11</v>
      </c>
      <c r="N1566">
        <v>1</v>
      </c>
    </row>
    <row r="1567" spans="1:14" x14ac:dyDescent="0.25">
      <c r="A1567" t="s">
        <v>3792</v>
      </c>
      <c r="B1567" t="s">
        <v>262</v>
      </c>
      <c r="C1567" t="s">
        <v>1175</v>
      </c>
      <c r="D1567" t="str">
        <f>VLOOKUP(J1567,Location[],2,FALSE)</f>
        <v>Las Vegas</v>
      </c>
      <c r="E1567" t="str">
        <f>VLOOKUP(J1567,Location[],3,FALSE)</f>
        <v> Nevada</v>
      </c>
      <c r="F1567" t="str">
        <f>VLOOKUP(K1567,Dept[],2,FALSE)</f>
        <v>IT</v>
      </c>
      <c r="G1567" s="11">
        <f t="shared" si="24"/>
        <v>43405</v>
      </c>
      <c r="H1567" t="str">
        <f>VLOOKUP(N1567,Status[],2,FALSE)</f>
        <v>Full-Time</v>
      </c>
      <c r="J1567" s="7">
        <v>1028</v>
      </c>
      <c r="K1567">
        <v>17</v>
      </c>
      <c r="L1567">
        <v>2018</v>
      </c>
      <c r="M1567">
        <v>11</v>
      </c>
      <c r="N1567">
        <v>1</v>
      </c>
    </row>
    <row r="1568" spans="1:14" x14ac:dyDescent="0.25">
      <c r="A1568" t="s">
        <v>3793</v>
      </c>
      <c r="B1568" t="s">
        <v>511</v>
      </c>
      <c r="C1568" t="s">
        <v>978</v>
      </c>
      <c r="D1568" t="str">
        <f>VLOOKUP(J1568,Location[],2,FALSE)</f>
        <v>Los Angeles</v>
      </c>
      <c r="E1568" t="str">
        <f>VLOOKUP(J1568,Location[],3,FALSE)</f>
        <v> California</v>
      </c>
      <c r="F1568" t="str">
        <f>VLOOKUP(K1568,Dept[],2,FALSE)</f>
        <v>Sales</v>
      </c>
      <c r="G1568" s="11">
        <f t="shared" si="24"/>
        <v>45017</v>
      </c>
      <c r="H1568" t="str">
        <f>VLOOKUP(N1568,Status[],2,FALSE)</f>
        <v>Full-Time</v>
      </c>
      <c r="J1568" s="7">
        <v>1002</v>
      </c>
      <c r="K1568">
        <v>22</v>
      </c>
      <c r="L1568">
        <v>2023</v>
      </c>
      <c r="M1568">
        <v>4</v>
      </c>
      <c r="N1568">
        <v>1</v>
      </c>
    </row>
    <row r="1569" spans="1:14" x14ac:dyDescent="0.25">
      <c r="A1569" t="s">
        <v>3794</v>
      </c>
      <c r="B1569" t="s">
        <v>19</v>
      </c>
      <c r="C1569" t="s">
        <v>282</v>
      </c>
      <c r="D1569" t="str">
        <f>VLOOKUP(J1569,Location[],2,FALSE)</f>
        <v>Nashville</v>
      </c>
      <c r="E1569" t="str">
        <f>VLOOKUP(J1569,Location[],3,FALSE)</f>
        <v> Tennessee</v>
      </c>
      <c r="F1569" t="str">
        <f>VLOOKUP(K1569,Dept[],2,FALSE)</f>
        <v>Assessment</v>
      </c>
      <c r="G1569" s="11">
        <f t="shared" si="24"/>
        <v>43983</v>
      </c>
      <c r="H1569" t="str">
        <f>VLOOKUP(N1569,Status[],2,FALSE)</f>
        <v>Full-Time</v>
      </c>
      <c r="J1569" s="7">
        <v>1024</v>
      </c>
      <c r="K1569">
        <v>13</v>
      </c>
      <c r="L1569">
        <v>2020</v>
      </c>
      <c r="M1569">
        <v>6</v>
      </c>
      <c r="N1569">
        <v>1</v>
      </c>
    </row>
    <row r="1570" spans="1:14" x14ac:dyDescent="0.25">
      <c r="A1570" t="s">
        <v>3795</v>
      </c>
      <c r="B1570" t="s">
        <v>891</v>
      </c>
      <c r="C1570" t="s">
        <v>892</v>
      </c>
      <c r="D1570" t="str">
        <f>VLOOKUP(J1570,Location[],2,FALSE)</f>
        <v>Chicago</v>
      </c>
      <c r="E1570" t="str">
        <f>VLOOKUP(J1570,Location[],3,FALSE)</f>
        <v> Illinois</v>
      </c>
      <c r="F1570" t="str">
        <f>VLOOKUP(K1570,Dept[],2,FALSE)</f>
        <v>Sales</v>
      </c>
      <c r="G1570" s="11">
        <f t="shared" si="24"/>
        <v>44501</v>
      </c>
      <c r="H1570" t="str">
        <f>VLOOKUP(N1570,Status[],2,FALSE)</f>
        <v>Full-Time</v>
      </c>
      <c r="J1570" s="7">
        <v>1003</v>
      </c>
      <c r="K1570">
        <v>22</v>
      </c>
      <c r="L1570">
        <v>2021</v>
      </c>
      <c r="M1570">
        <v>11</v>
      </c>
      <c r="N1570">
        <v>1</v>
      </c>
    </row>
    <row r="1571" spans="1:14" x14ac:dyDescent="0.25">
      <c r="A1571" t="s">
        <v>3796</v>
      </c>
      <c r="B1571" t="s">
        <v>1173</v>
      </c>
      <c r="C1571" t="s">
        <v>1990</v>
      </c>
      <c r="D1571" t="str">
        <f>VLOOKUP(J1571,Location[],2,FALSE)</f>
        <v>Los Angeles</v>
      </c>
      <c r="E1571" t="str">
        <f>VLOOKUP(J1571,Location[],3,FALSE)</f>
        <v> California</v>
      </c>
      <c r="F1571" t="str">
        <f>VLOOKUP(K1571,Dept[],2,FALSE)</f>
        <v>Administration</v>
      </c>
      <c r="G1571" s="11">
        <f t="shared" si="24"/>
        <v>44378</v>
      </c>
      <c r="H1571" t="str">
        <f>VLOOKUP(N1571,Status[],2,FALSE)</f>
        <v>Full-Time</v>
      </c>
      <c r="J1571" s="7">
        <v>1002</v>
      </c>
      <c r="K1571">
        <v>12</v>
      </c>
      <c r="L1571">
        <v>2021</v>
      </c>
      <c r="M1571">
        <v>7</v>
      </c>
      <c r="N1571">
        <v>1</v>
      </c>
    </row>
    <row r="1572" spans="1:14" x14ac:dyDescent="0.25">
      <c r="A1572" t="s">
        <v>3797</v>
      </c>
      <c r="B1572" t="s">
        <v>268</v>
      </c>
      <c r="C1572" t="s">
        <v>748</v>
      </c>
      <c r="D1572" t="str">
        <f>VLOOKUP(J1572,Location[],2,FALSE)</f>
        <v>Memphis</v>
      </c>
      <c r="E1572" t="str">
        <f>VLOOKUP(J1572,Location[],3,FALSE)</f>
        <v> Tennessee</v>
      </c>
      <c r="F1572" t="str">
        <f>VLOOKUP(K1572,Dept[],2,FALSE)</f>
        <v>Human Resources</v>
      </c>
      <c r="G1572" s="11">
        <f t="shared" si="24"/>
        <v>43344</v>
      </c>
      <c r="H1572" t="str">
        <f>VLOOKUP(N1572,Status[],2,FALSE)</f>
        <v>Full-Time</v>
      </c>
      <c r="J1572" s="7">
        <v>1025</v>
      </c>
      <c r="K1572">
        <v>16</v>
      </c>
      <c r="L1572">
        <v>2018</v>
      </c>
      <c r="M1572">
        <v>9</v>
      </c>
      <c r="N1572">
        <v>1</v>
      </c>
    </row>
    <row r="1573" spans="1:14" x14ac:dyDescent="0.25">
      <c r="A1573" t="s">
        <v>3798</v>
      </c>
      <c r="B1573" t="s">
        <v>357</v>
      </c>
      <c r="C1573" t="s">
        <v>358</v>
      </c>
      <c r="D1573" t="str">
        <f>VLOOKUP(J1573,Location[],2,FALSE)</f>
        <v>Arlington</v>
      </c>
      <c r="E1573" t="str">
        <f>VLOOKUP(J1573,Location[],3,FALSE)</f>
        <v> Texas</v>
      </c>
      <c r="F1573" t="str">
        <f>VLOOKUP(K1573,Dept[],2,FALSE)</f>
        <v>Customer Support</v>
      </c>
      <c r="G1573" s="11">
        <f t="shared" si="24"/>
        <v>41760</v>
      </c>
      <c r="H1573" t="str">
        <f>VLOOKUP(N1573,Status[],2,FALSE)</f>
        <v>Part-Time</v>
      </c>
      <c r="J1573" s="7">
        <v>1048</v>
      </c>
      <c r="K1573">
        <v>14</v>
      </c>
      <c r="L1573">
        <v>2014</v>
      </c>
      <c r="M1573">
        <v>5</v>
      </c>
      <c r="N1573">
        <v>0</v>
      </c>
    </row>
    <row r="1574" spans="1:14" x14ac:dyDescent="0.25">
      <c r="A1574" t="s">
        <v>3799</v>
      </c>
      <c r="B1574" t="s">
        <v>288</v>
      </c>
      <c r="C1574" t="s">
        <v>2012</v>
      </c>
      <c r="D1574" t="str">
        <f>VLOOKUP(J1574,Location[],2,FALSE)</f>
        <v>New Orleans</v>
      </c>
      <c r="E1574" t="str">
        <f>VLOOKUP(J1574,Location[],3,FALSE)</f>
        <v> Louisiana</v>
      </c>
      <c r="F1574" t="str">
        <f>VLOOKUP(K1574,Dept[],2,FALSE)</f>
        <v>Legal</v>
      </c>
      <c r="G1574" s="11">
        <f t="shared" si="24"/>
        <v>44682</v>
      </c>
      <c r="H1574" t="str">
        <f>VLOOKUP(N1574,Status[],2,FALSE)</f>
        <v>Part-Time</v>
      </c>
      <c r="J1574" s="7">
        <v>1049</v>
      </c>
      <c r="K1574">
        <v>18</v>
      </c>
      <c r="L1574">
        <v>2022</v>
      </c>
      <c r="M1574">
        <v>5</v>
      </c>
      <c r="N1574">
        <v>0</v>
      </c>
    </row>
    <row r="1575" spans="1:14" x14ac:dyDescent="0.25">
      <c r="A1575" t="s">
        <v>3800</v>
      </c>
      <c r="B1575" t="s">
        <v>1966</v>
      </c>
      <c r="C1575" t="s">
        <v>1993</v>
      </c>
      <c r="D1575" t="str">
        <f>VLOOKUP(J1575,Location[],2,FALSE)</f>
        <v>Los Angeles</v>
      </c>
      <c r="E1575" t="str">
        <f>VLOOKUP(J1575,Location[],3,FALSE)</f>
        <v> California</v>
      </c>
      <c r="F1575" t="str">
        <f>VLOOKUP(K1575,Dept[],2,FALSE)</f>
        <v>Legal</v>
      </c>
      <c r="G1575" s="11">
        <f t="shared" si="24"/>
        <v>44866</v>
      </c>
      <c r="H1575" t="str">
        <f>VLOOKUP(N1575,Status[],2,FALSE)</f>
        <v>Full-Time</v>
      </c>
      <c r="J1575" s="7">
        <v>1002</v>
      </c>
      <c r="K1575">
        <v>18</v>
      </c>
      <c r="L1575">
        <v>2022</v>
      </c>
      <c r="M1575">
        <v>11</v>
      </c>
      <c r="N1575">
        <v>1</v>
      </c>
    </row>
    <row r="1576" spans="1:14" x14ac:dyDescent="0.25">
      <c r="A1576" t="s">
        <v>3801</v>
      </c>
      <c r="B1576" t="s">
        <v>1417</v>
      </c>
      <c r="C1576" t="s">
        <v>1418</v>
      </c>
      <c r="D1576" t="str">
        <f>VLOOKUP(J1576,Location[],2,FALSE)</f>
        <v>Philadelphia</v>
      </c>
      <c r="E1576" t="str">
        <f>VLOOKUP(J1576,Location[],3,FALSE)</f>
        <v> Pennsylvania</v>
      </c>
      <c r="F1576" t="str">
        <f>VLOOKUP(K1576,Dept[],2,FALSE)</f>
        <v>Customer Support</v>
      </c>
      <c r="G1576" s="11">
        <f t="shared" si="24"/>
        <v>40695</v>
      </c>
      <c r="H1576" t="str">
        <f>VLOOKUP(N1576,Status[],2,FALSE)</f>
        <v>Full-Time</v>
      </c>
      <c r="J1576" s="7">
        <v>1006</v>
      </c>
      <c r="K1576">
        <v>14</v>
      </c>
      <c r="L1576">
        <v>2011</v>
      </c>
      <c r="M1576">
        <v>6</v>
      </c>
      <c r="N1576">
        <v>1</v>
      </c>
    </row>
    <row r="1577" spans="1:14" x14ac:dyDescent="0.25">
      <c r="A1577" t="s">
        <v>3802</v>
      </c>
      <c r="B1577" t="s">
        <v>1838</v>
      </c>
      <c r="C1577" t="s">
        <v>1936</v>
      </c>
      <c r="D1577" t="str">
        <f>VLOOKUP(J1577,Location[],2,FALSE)</f>
        <v>Bakersfield</v>
      </c>
      <c r="E1577" t="str">
        <f>VLOOKUP(J1577,Location[],3,FALSE)</f>
        <v> California</v>
      </c>
      <c r="F1577" t="str">
        <f>VLOOKUP(K1577,Dept[],2,FALSE)</f>
        <v>Accounting</v>
      </c>
      <c r="G1577" s="11">
        <f t="shared" si="24"/>
        <v>43770</v>
      </c>
      <c r="H1577" t="str">
        <f>VLOOKUP(N1577,Status[],2,FALSE)</f>
        <v>Full-Time</v>
      </c>
      <c r="J1577" s="7">
        <v>1053</v>
      </c>
      <c r="K1577">
        <v>11</v>
      </c>
      <c r="L1577">
        <v>2019</v>
      </c>
      <c r="M1577">
        <v>11</v>
      </c>
      <c r="N1577">
        <v>1</v>
      </c>
    </row>
    <row r="1578" spans="1:14" x14ac:dyDescent="0.25">
      <c r="A1578" t="s">
        <v>3803</v>
      </c>
      <c r="B1578" t="s">
        <v>1673</v>
      </c>
      <c r="C1578" t="s">
        <v>1179</v>
      </c>
      <c r="D1578" t="str">
        <f>VLOOKUP(J1578,Location[],2,FALSE)</f>
        <v>Orlando</v>
      </c>
      <c r="E1578" t="str">
        <f>VLOOKUP(J1578,Location[],3,FALSE)</f>
        <v> Florida</v>
      </c>
      <c r="F1578" t="str">
        <f>VLOOKUP(K1578,Dept[],2,FALSE)</f>
        <v>Administration</v>
      </c>
      <c r="G1578" s="11">
        <f t="shared" si="24"/>
        <v>44075</v>
      </c>
      <c r="H1578" t="str">
        <f>VLOOKUP(N1578,Status[],2,FALSE)</f>
        <v>Part-Time</v>
      </c>
      <c r="J1578" s="7">
        <v>1072</v>
      </c>
      <c r="K1578">
        <v>12</v>
      </c>
      <c r="L1578">
        <v>2020</v>
      </c>
      <c r="M1578">
        <v>9</v>
      </c>
      <c r="N1578">
        <v>0</v>
      </c>
    </row>
    <row r="1579" spans="1:14" x14ac:dyDescent="0.25">
      <c r="A1579" t="s">
        <v>3804</v>
      </c>
      <c r="B1579" t="s">
        <v>450</v>
      </c>
      <c r="C1579" t="s">
        <v>1179</v>
      </c>
      <c r="D1579" t="str">
        <f>VLOOKUP(J1579,Location[],2,FALSE)</f>
        <v>New Orleans</v>
      </c>
      <c r="E1579" t="str">
        <f>VLOOKUP(J1579,Location[],3,FALSE)</f>
        <v> Louisiana</v>
      </c>
      <c r="F1579" t="str">
        <f>VLOOKUP(K1579,Dept[],2,FALSE)</f>
        <v>Shipping</v>
      </c>
      <c r="G1579" s="11">
        <f t="shared" si="24"/>
        <v>42461</v>
      </c>
      <c r="H1579" t="str">
        <f>VLOOKUP(N1579,Status[],2,FALSE)</f>
        <v>Full-Time</v>
      </c>
      <c r="J1579" s="7">
        <v>1049</v>
      </c>
      <c r="K1579">
        <v>23</v>
      </c>
      <c r="L1579">
        <v>2016</v>
      </c>
      <c r="M1579">
        <v>4</v>
      </c>
      <c r="N1579">
        <v>1</v>
      </c>
    </row>
    <row r="1580" spans="1:14" x14ac:dyDescent="0.25">
      <c r="A1580" t="s">
        <v>3805</v>
      </c>
      <c r="B1580" t="s">
        <v>2085</v>
      </c>
      <c r="C1580" t="s">
        <v>1888</v>
      </c>
      <c r="D1580" t="str">
        <f>VLOOKUP(J1580,Location[],2,FALSE)</f>
        <v>Kansas City</v>
      </c>
      <c r="E1580" t="str">
        <f>VLOOKUP(J1580,Location[],3,FALSE)</f>
        <v> Missouri</v>
      </c>
      <c r="F1580" t="str">
        <f>VLOOKUP(K1580,Dept[],2,FALSE)</f>
        <v>Human Resources</v>
      </c>
      <c r="G1580" s="11">
        <f t="shared" si="24"/>
        <v>43678</v>
      </c>
      <c r="H1580" t="str">
        <f>VLOOKUP(N1580,Status[],2,FALSE)</f>
        <v>Full-Time</v>
      </c>
      <c r="J1580" s="7">
        <v>1037</v>
      </c>
      <c r="K1580">
        <v>16</v>
      </c>
      <c r="L1580">
        <v>2019</v>
      </c>
      <c r="M1580">
        <v>8</v>
      </c>
      <c r="N1580">
        <v>1</v>
      </c>
    </row>
    <row r="1581" spans="1:14" x14ac:dyDescent="0.25">
      <c r="A1581" t="s">
        <v>3806</v>
      </c>
      <c r="B1581" t="s">
        <v>578</v>
      </c>
      <c r="C1581" t="s">
        <v>1888</v>
      </c>
      <c r="D1581" t="str">
        <f>VLOOKUP(J1581,Location[],2,FALSE)</f>
        <v>Boston</v>
      </c>
      <c r="E1581" t="str">
        <f>VLOOKUP(J1581,Location[],3,FALSE)</f>
        <v> Massachusetts</v>
      </c>
      <c r="F1581" t="str">
        <f>VLOOKUP(K1581,Dept[],2,FALSE)</f>
        <v>Sales</v>
      </c>
      <c r="G1581" s="11">
        <f t="shared" si="24"/>
        <v>44682</v>
      </c>
      <c r="H1581" t="str">
        <f>VLOOKUP(N1581,Status[],2,FALSE)</f>
        <v>Full-Time</v>
      </c>
      <c r="J1581" s="7">
        <v>1021</v>
      </c>
      <c r="K1581">
        <v>22</v>
      </c>
      <c r="L1581">
        <v>2022</v>
      </c>
      <c r="M1581">
        <v>5</v>
      </c>
      <c r="N1581">
        <v>1</v>
      </c>
    </row>
    <row r="1582" spans="1:14" x14ac:dyDescent="0.25">
      <c r="A1582" t="s">
        <v>3807</v>
      </c>
      <c r="B1582" t="s">
        <v>450</v>
      </c>
      <c r="C1582" t="s">
        <v>451</v>
      </c>
      <c r="D1582" t="str">
        <f>VLOOKUP(J1582,Location[],2,FALSE)</f>
        <v>Nashville</v>
      </c>
      <c r="E1582" t="str">
        <f>VLOOKUP(J1582,Location[],3,FALSE)</f>
        <v> Tennessee</v>
      </c>
      <c r="F1582" t="str">
        <f>VLOOKUP(K1582,Dept[],2,FALSE)</f>
        <v>Sales</v>
      </c>
      <c r="G1582" s="11">
        <f t="shared" si="24"/>
        <v>43556</v>
      </c>
      <c r="H1582" t="str">
        <f>VLOOKUP(N1582,Status[],2,FALSE)</f>
        <v>Part-Time</v>
      </c>
      <c r="J1582" s="7">
        <v>1024</v>
      </c>
      <c r="K1582">
        <v>22</v>
      </c>
      <c r="L1582">
        <v>2019</v>
      </c>
      <c r="M1582">
        <v>4</v>
      </c>
      <c r="N1582">
        <v>0</v>
      </c>
    </row>
    <row r="1583" spans="1:14" x14ac:dyDescent="0.25">
      <c r="A1583" t="s">
        <v>3808</v>
      </c>
      <c r="B1583" t="s">
        <v>179</v>
      </c>
      <c r="C1583" t="s">
        <v>180</v>
      </c>
      <c r="D1583" t="str">
        <f>VLOOKUP(J1583,Location[],2,FALSE)</f>
        <v>Memphis</v>
      </c>
      <c r="E1583" t="str">
        <f>VLOOKUP(J1583,Location[],3,FALSE)</f>
        <v> Tennessee</v>
      </c>
      <c r="F1583" t="str">
        <f>VLOOKUP(K1583,Dept[],2,FALSE)</f>
        <v>Customer Support</v>
      </c>
      <c r="G1583" s="11">
        <f t="shared" si="24"/>
        <v>44409</v>
      </c>
      <c r="H1583" t="str">
        <f>VLOOKUP(N1583,Status[],2,FALSE)</f>
        <v>Full-Time</v>
      </c>
      <c r="J1583" s="7">
        <v>1025</v>
      </c>
      <c r="K1583">
        <v>14</v>
      </c>
      <c r="L1583">
        <v>2021</v>
      </c>
      <c r="M1583">
        <v>8</v>
      </c>
      <c r="N1583">
        <v>1</v>
      </c>
    </row>
    <row r="1584" spans="1:14" x14ac:dyDescent="0.25">
      <c r="A1584" t="s">
        <v>3809</v>
      </c>
      <c r="B1584" t="s">
        <v>851</v>
      </c>
      <c r="C1584" t="s">
        <v>1436</v>
      </c>
      <c r="D1584" t="str">
        <f>VLOOKUP(J1584,Location[],2,FALSE)</f>
        <v>Oakland</v>
      </c>
      <c r="E1584" t="str">
        <f>VLOOKUP(J1584,Location[],3,FALSE)</f>
        <v> California</v>
      </c>
      <c r="F1584" t="str">
        <f>VLOOKUP(K1584,Dept[],2,FALSE)</f>
        <v>Customer Support</v>
      </c>
      <c r="G1584" s="11">
        <f t="shared" si="24"/>
        <v>40756</v>
      </c>
      <c r="H1584" t="str">
        <f>VLOOKUP(N1584,Status[],2,FALSE)</f>
        <v>Full-Time</v>
      </c>
      <c r="J1584" s="7">
        <v>1045</v>
      </c>
      <c r="K1584">
        <v>14</v>
      </c>
      <c r="L1584">
        <v>2011</v>
      </c>
      <c r="M1584">
        <v>8</v>
      </c>
      <c r="N1584">
        <v>1</v>
      </c>
    </row>
    <row r="1585" spans="1:14" x14ac:dyDescent="0.25">
      <c r="A1585" t="s">
        <v>3810</v>
      </c>
      <c r="B1585" t="s">
        <v>262</v>
      </c>
      <c r="C1585" t="s">
        <v>1833</v>
      </c>
      <c r="D1585" t="str">
        <f>VLOOKUP(J1585,Location[],2,FALSE)</f>
        <v>Wichita</v>
      </c>
      <c r="E1585" t="str">
        <f>VLOOKUP(J1585,Location[],3,FALSE)</f>
        <v> Kansas</v>
      </c>
      <c r="F1585" t="str">
        <f>VLOOKUP(K1585,Dept[],2,FALSE)</f>
        <v>Sales</v>
      </c>
      <c r="G1585" s="11">
        <f t="shared" si="24"/>
        <v>43739</v>
      </c>
      <c r="H1585" t="str">
        <f>VLOOKUP(N1585,Status[],2,FALSE)</f>
        <v>Full-Time</v>
      </c>
      <c r="J1585" s="7">
        <v>1050</v>
      </c>
      <c r="K1585">
        <v>22</v>
      </c>
      <c r="L1585">
        <v>2019</v>
      </c>
      <c r="M1585">
        <v>10</v>
      </c>
      <c r="N1585">
        <v>1</v>
      </c>
    </row>
    <row r="1586" spans="1:14" x14ac:dyDescent="0.25">
      <c r="A1586" t="s">
        <v>3811</v>
      </c>
      <c r="B1586" t="s">
        <v>1166</v>
      </c>
      <c r="C1586" t="s">
        <v>1167</v>
      </c>
      <c r="D1586" t="str">
        <f>VLOOKUP(J1586,Location[],2,FALSE)</f>
        <v>Pittsburgh</v>
      </c>
      <c r="E1586" t="str">
        <f>VLOOKUP(J1586,Location[],3,FALSE)</f>
        <v> Pennsylvania</v>
      </c>
      <c r="F1586" t="str">
        <f>VLOOKUP(K1586,Dept[],2,FALSE)</f>
        <v>Finance</v>
      </c>
      <c r="G1586" s="11">
        <f t="shared" si="24"/>
        <v>43101</v>
      </c>
      <c r="H1586" t="str">
        <f>VLOOKUP(N1586,Status[],2,FALSE)</f>
        <v>Full-Time</v>
      </c>
      <c r="J1586" s="7">
        <v>1065</v>
      </c>
      <c r="K1586">
        <v>15</v>
      </c>
      <c r="L1586">
        <v>2018</v>
      </c>
      <c r="M1586">
        <v>1</v>
      </c>
      <c r="N1586">
        <v>1</v>
      </c>
    </row>
    <row r="1587" spans="1:14" x14ac:dyDescent="0.25">
      <c r="A1587" t="s">
        <v>3812</v>
      </c>
      <c r="B1587" t="s">
        <v>352</v>
      </c>
      <c r="C1587" t="s">
        <v>1487</v>
      </c>
      <c r="D1587" t="str">
        <f>VLOOKUP(J1587,Location[],2,FALSE)</f>
        <v>Charlotte</v>
      </c>
      <c r="E1587" t="str">
        <f>VLOOKUP(J1587,Location[],3,FALSE)</f>
        <v> North Carolina</v>
      </c>
      <c r="F1587" t="str">
        <f>VLOOKUP(K1587,Dept[],2,FALSE)</f>
        <v>Accounting</v>
      </c>
      <c r="G1587" s="11">
        <f t="shared" si="24"/>
        <v>45017</v>
      </c>
      <c r="H1587" t="str">
        <f>VLOOKUP(N1587,Status[],2,FALSE)</f>
        <v>Full-Time</v>
      </c>
      <c r="J1587" s="7">
        <v>1017</v>
      </c>
      <c r="K1587">
        <v>11</v>
      </c>
      <c r="L1587">
        <v>2023</v>
      </c>
      <c r="M1587">
        <v>4</v>
      </c>
      <c r="N1587">
        <v>1</v>
      </c>
    </row>
    <row r="1588" spans="1:14" x14ac:dyDescent="0.25">
      <c r="A1588" t="s">
        <v>3813</v>
      </c>
      <c r="B1588" t="s">
        <v>253</v>
      </c>
      <c r="C1588" t="s">
        <v>1350</v>
      </c>
      <c r="D1588" t="str">
        <f>VLOOKUP(J1588,Location[],2,FALSE)</f>
        <v>Tulsa</v>
      </c>
      <c r="E1588" t="str">
        <f>VLOOKUP(J1588,Location[],3,FALSE)</f>
        <v> Oklahoma</v>
      </c>
      <c r="F1588" t="str">
        <f>VLOOKUP(K1588,Dept[],2,FALSE)</f>
        <v>Assessment</v>
      </c>
      <c r="G1588" s="11">
        <f t="shared" si="24"/>
        <v>43221</v>
      </c>
      <c r="H1588" t="str">
        <f>VLOOKUP(N1588,Status[],2,FALSE)</f>
        <v>Full-Time</v>
      </c>
      <c r="J1588" s="7">
        <v>1047</v>
      </c>
      <c r="K1588">
        <v>13</v>
      </c>
      <c r="L1588">
        <v>2018</v>
      </c>
      <c r="M1588">
        <v>5</v>
      </c>
      <c r="N1588">
        <v>1</v>
      </c>
    </row>
    <row r="1589" spans="1:14" x14ac:dyDescent="0.25">
      <c r="A1589" t="s">
        <v>3814</v>
      </c>
      <c r="B1589" t="s">
        <v>248</v>
      </c>
      <c r="C1589" t="s">
        <v>1416</v>
      </c>
      <c r="D1589" t="str">
        <f>VLOOKUP(J1589,Location[],2,FALSE)</f>
        <v>Los Angeles</v>
      </c>
      <c r="E1589" t="str">
        <f>VLOOKUP(J1589,Location[],3,FALSE)</f>
        <v> California</v>
      </c>
      <c r="F1589" t="str">
        <f>VLOOKUP(K1589,Dept[],2,FALSE)</f>
        <v>Accounting</v>
      </c>
      <c r="G1589" s="11">
        <f t="shared" si="24"/>
        <v>40940</v>
      </c>
      <c r="H1589" t="str">
        <f>VLOOKUP(N1589,Status[],2,FALSE)</f>
        <v>Full-Time</v>
      </c>
      <c r="J1589" s="7">
        <v>1002</v>
      </c>
      <c r="K1589">
        <v>11</v>
      </c>
      <c r="L1589">
        <v>2012</v>
      </c>
      <c r="M1589">
        <v>2</v>
      </c>
      <c r="N1589">
        <v>1</v>
      </c>
    </row>
    <row r="1590" spans="1:14" x14ac:dyDescent="0.25">
      <c r="A1590" t="s">
        <v>3815</v>
      </c>
      <c r="B1590" t="s">
        <v>902</v>
      </c>
      <c r="C1590" t="s">
        <v>903</v>
      </c>
      <c r="D1590" t="str">
        <f>VLOOKUP(J1590,Location[],2,FALSE)</f>
        <v>El Paso</v>
      </c>
      <c r="E1590" t="str">
        <f>VLOOKUP(J1590,Location[],3,FALSE)</f>
        <v> Texas</v>
      </c>
      <c r="F1590" t="str">
        <f>VLOOKUP(K1590,Dept[],2,FALSE)</f>
        <v>Customer Support</v>
      </c>
      <c r="G1590" s="11">
        <f t="shared" si="24"/>
        <v>40878</v>
      </c>
      <c r="H1590" t="str">
        <f>VLOOKUP(N1590,Status[],2,FALSE)</f>
        <v>Full-Time</v>
      </c>
      <c r="J1590" s="7">
        <v>1022</v>
      </c>
      <c r="K1590">
        <v>14</v>
      </c>
      <c r="L1590">
        <v>2011</v>
      </c>
      <c r="M1590">
        <v>12</v>
      </c>
      <c r="N1590">
        <v>1</v>
      </c>
    </row>
    <row r="1591" spans="1:14" x14ac:dyDescent="0.25">
      <c r="A1591" t="s">
        <v>3816</v>
      </c>
      <c r="B1591" t="s">
        <v>307</v>
      </c>
      <c r="C1591" t="s">
        <v>1784</v>
      </c>
      <c r="D1591" t="str">
        <f>VLOOKUP(J1591,Location[],2,FALSE)</f>
        <v>Houston</v>
      </c>
      <c r="E1591" t="str">
        <f>VLOOKUP(J1591,Location[],3,FALSE)</f>
        <v> Texas</v>
      </c>
      <c r="F1591" t="str">
        <f>VLOOKUP(K1591,Dept[],2,FALSE)</f>
        <v>Administration</v>
      </c>
      <c r="G1591" s="11">
        <f t="shared" si="24"/>
        <v>43709</v>
      </c>
      <c r="H1591" t="str">
        <f>VLOOKUP(N1591,Status[],2,FALSE)</f>
        <v>Full-Time</v>
      </c>
      <c r="J1591" s="7">
        <v>1004</v>
      </c>
      <c r="K1591">
        <v>12</v>
      </c>
      <c r="L1591">
        <v>2019</v>
      </c>
      <c r="M1591">
        <v>9</v>
      </c>
      <c r="N1591">
        <v>1</v>
      </c>
    </row>
    <row r="1592" spans="1:14" x14ac:dyDescent="0.25">
      <c r="A1592" t="s">
        <v>3817</v>
      </c>
      <c r="B1592" t="s">
        <v>354</v>
      </c>
      <c r="C1592" t="s">
        <v>1469</v>
      </c>
      <c r="D1592" t="str">
        <f>VLOOKUP(J1592,Location[],2,FALSE)</f>
        <v>Fresno</v>
      </c>
      <c r="E1592" t="str">
        <f>VLOOKUP(J1592,Location[],3,FALSE)</f>
        <v> California</v>
      </c>
      <c r="F1592" t="str">
        <f>VLOOKUP(K1592,Dept[],2,FALSE)</f>
        <v>Administration</v>
      </c>
      <c r="G1592" s="11">
        <f t="shared" si="24"/>
        <v>42826</v>
      </c>
      <c r="H1592" t="str">
        <f>VLOOKUP(N1592,Status[],2,FALSE)</f>
        <v>Full-Time</v>
      </c>
      <c r="J1592" s="7">
        <v>1034</v>
      </c>
      <c r="K1592">
        <v>12</v>
      </c>
      <c r="L1592">
        <v>2017</v>
      </c>
      <c r="M1592">
        <v>4</v>
      </c>
      <c r="N1592">
        <v>1</v>
      </c>
    </row>
    <row r="1593" spans="1:14" x14ac:dyDescent="0.25">
      <c r="A1593" t="s">
        <v>3818</v>
      </c>
      <c r="B1593" t="s">
        <v>1195</v>
      </c>
      <c r="C1593" t="s">
        <v>1599</v>
      </c>
      <c r="D1593" t="str">
        <f>VLOOKUP(J1593,Location[],2,FALSE)</f>
        <v>Sacramento</v>
      </c>
      <c r="E1593" t="str">
        <f>VLOOKUP(J1593,Location[],3,FALSE)</f>
        <v> California</v>
      </c>
      <c r="F1593" t="str">
        <f>VLOOKUP(K1593,Dept[],2,FALSE)</f>
        <v>Customer Support</v>
      </c>
      <c r="G1593" s="11">
        <f t="shared" si="24"/>
        <v>40695</v>
      </c>
      <c r="H1593" t="str">
        <f>VLOOKUP(N1593,Status[],2,FALSE)</f>
        <v>Part-Time</v>
      </c>
      <c r="J1593" s="7">
        <v>1035</v>
      </c>
      <c r="K1593">
        <v>14</v>
      </c>
      <c r="L1593">
        <v>2011</v>
      </c>
      <c r="M1593">
        <v>6</v>
      </c>
      <c r="N1593">
        <v>0</v>
      </c>
    </row>
    <row r="1594" spans="1:14" x14ac:dyDescent="0.25">
      <c r="A1594" t="s">
        <v>3819</v>
      </c>
      <c r="B1594" t="s">
        <v>39</v>
      </c>
      <c r="C1594" t="s">
        <v>40</v>
      </c>
      <c r="D1594" t="str">
        <f>VLOOKUP(J1594,Location[],2,FALSE)</f>
        <v>Chicago</v>
      </c>
      <c r="E1594" t="str">
        <f>VLOOKUP(J1594,Location[],3,FALSE)</f>
        <v> Illinois</v>
      </c>
      <c r="F1594" t="str">
        <f>VLOOKUP(K1594,Dept[],2,FALSE)</f>
        <v>Legal</v>
      </c>
      <c r="G1594" s="11">
        <f t="shared" si="24"/>
        <v>42217</v>
      </c>
      <c r="H1594" t="str">
        <f>VLOOKUP(N1594,Status[],2,FALSE)</f>
        <v>Full-Time</v>
      </c>
      <c r="J1594" s="7">
        <v>1003</v>
      </c>
      <c r="K1594">
        <v>18</v>
      </c>
      <c r="L1594">
        <v>2015</v>
      </c>
      <c r="M1594">
        <v>8</v>
      </c>
      <c r="N1594">
        <v>1</v>
      </c>
    </row>
    <row r="1595" spans="1:14" x14ac:dyDescent="0.25">
      <c r="A1595" t="s">
        <v>3820</v>
      </c>
      <c r="B1595" t="s">
        <v>321</v>
      </c>
      <c r="C1595" t="s">
        <v>1330</v>
      </c>
      <c r="D1595" t="str">
        <f>VLOOKUP(J1595,Location[],2,FALSE)</f>
        <v>Arlington</v>
      </c>
      <c r="E1595" t="str">
        <f>VLOOKUP(J1595,Location[],3,FALSE)</f>
        <v> Texas</v>
      </c>
      <c r="F1595" t="str">
        <f>VLOOKUP(K1595,Dept[],2,FALSE)</f>
        <v>Administration</v>
      </c>
      <c r="G1595" s="11">
        <f t="shared" si="24"/>
        <v>43709</v>
      </c>
      <c r="H1595" t="str">
        <f>VLOOKUP(N1595,Status[],2,FALSE)</f>
        <v>Full-Time</v>
      </c>
      <c r="J1595" s="7">
        <v>1048</v>
      </c>
      <c r="K1595">
        <v>12</v>
      </c>
      <c r="L1595">
        <v>2019</v>
      </c>
      <c r="M1595">
        <v>9</v>
      </c>
      <c r="N1595">
        <v>1</v>
      </c>
    </row>
    <row r="1596" spans="1:14" x14ac:dyDescent="0.25">
      <c r="A1596" t="s">
        <v>3821</v>
      </c>
      <c r="B1596" t="s">
        <v>880</v>
      </c>
      <c r="C1596" t="s">
        <v>881</v>
      </c>
      <c r="D1596" t="str">
        <f>VLOOKUP(J1596,Location[],2,FALSE)</f>
        <v>Tucson</v>
      </c>
      <c r="E1596" t="str">
        <f>VLOOKUP(J1596,Location[],3,FALSE)</f>
        <v> Arizona</v>
      </c>
      <c r="F1596" t="str">
        <f>VLOOKUP(K1596,Dept[],2,FALSE)</f>
        <v>Administration</v>
      </c>
      <c r="G1596" s="11">
        <f t="shared" si="24"/>
        <v>40725</v>
      </c>
      <c r="H1596" t="str">
        <f>VLOOKUP(N1596,Status[],2,FALSE)</f>
        <v>Part-Time</v>
      </c>
      <c r="J1596" s="7">
        <v>1033</v>
      </c>
      <c r="K1596">
        <v>12</v>
      </c>
      <c r="L1596">
        <v>2011</v>
      </c>
      <c r="M1596">
        <v>7</v>
      </c>
      <c r="N1596">
        <v>0</v>
      </c>
    </row>
    <row r="1597" spans="1:14" x14ac:dyDescent="0.25">
      <c r="A1597" t="s">
        <v>3822</v>
      </c>
      <c r="B1597" t="s">
        <v>1225</v>
      </c>
      <c r="C1597" t="s">
        <v>881</v>
      </c>
      <c r="D1597" t="str">
        <f>VLOOKUP(J1597,Location[],2,FALSE)</f>
        <v>San Diego</v>
      </c>
      <c r="E1597" t="str">
        <f>VLOOKUP(J1597,Location[],3,FALSE)</f>
        <v> California</v>
      </c>
      <c r="F1597" t="str">
        <f>VLOOKUP(K1597,Dept[],2,FALSE)</f>
        <v>Assessment</v>
      </c>
      <c r="G1597" s="11">
        <f t="shared" si="24"/>
        <v>41244</v>
      </c>
      <c r="H1597" t="str">
        <f>VLOOKUP(N1597,Status[],2,FALSE)</f>
        <v>Full-Time</v>
      </c>
      <c r="J1597" s="7">
        <v>1008</v>
      </c>
      <c r="K1597">
        <v>13</v>
      </c>
      <c r="L1597">
        <v>2012</v>
      </c>
      <c r="M1597">
        <v>12</v>
      </c>
      <c r="N1597">
        <v>1</v>
      </c>
    </row>
    <row r="1598" spans="1:14" x14ac:dyDescent="0.25">
      <c r="A1598" t="s">
        <v>3823</v>
      </c>
      <c r="B1598" t="s">
        <v>336</v>
      </c>
      <c r="C1598" t="s">
        <v>1873</v>
      </c>
      <c r="D1598" t="str">
        <f>VLOOKUP(J1598,Location[],2,FALSE)</f>
        <v>Los Angeles</v>
      </c>
      <c r="E1598" t="str">
        <f>VLOOKUP(J1598,Location[],3,FALSE)</f>
        <v> California</v>
      </c>
      <c r="F1598" t="str">
        <f>VLOOKUP(K1598,Dept[],2,FALSE)</f>
        <v>Shipping</v>
      </c>
      <c r="G1598" s="11">
        <f t="shared" si="24"/>
        <v>45108</v>
      </c>
      <c r="H1598" t="str">
        <f>VLOOKUP(N1598,Status[],2,FALSE)</f>
        <v>Part-Time</v>
      </c>
      <c r="J1598" s="7">
        <v>1002</v>
      </c>
      <c r="K1598">
        <v>23</v>
      </c>
      <c r="L1598">
        <v>2023</v>
      </c>
      <c r="M1598">
        <v>7</v>
      </c>
      <c r="N1598">
        <v>0</v>
      </c>
    </row>
    <row r="1599" spans="1:14" x14ac:dyDescent="0.25">
      <c r="A1599" t="s">
        <v>3824</v>
      </c>
      <c r="B1599" t="s">
        <v>198</v>
      </c>
      <c r="C1599" t="s">
        <v>260</v>
      </c>
      <c r="D1599" t="str">
        <f>VLOOKUP(J1599,Location[],2,FALSE)</f>
        <v>Washington, D.C.</v>
      </c>
      <c r="E1599" t="str">
        <f>VLOOKUP(J1599,Location[],3,FALSE)</f>
        <v> District of Columbia</v>
      </c>
      <c r="F1599" t="str">
        <f>VLOOKUP(K1599,Dept[],2,FALSE)</f>
        <v>Legal</v>
      </c>
      <c r="G1599" s="11">
        <f t="shared" si="24"/>
        <v>41913</v>
      </c>
      <c r="H1599" t="str">
        <f>VLOOKUP(N1599,Status[],2,FALSE)</f>
        <v>Full-Time</v>
      </c>
      <c r="J1599" s="7">
        <v>1020</v>
      </c>
      <c r="K1599">
        <v>18</v>
      </c>
      <c r="L1599">
        <v>2014</v>
      </c>
      <c r="M1599">
        <v>10</v>
      </c>
      <c r="N1599">
        <v>1</v>
      </c>
    </row>
    <row r="1600" spans="1:14" x14ac:dyDescent="0.25">
      <c r="A1600" t="s">
        <v>3825</v>
      </c>
      <c r="B1600" t="s">
        <v>1611</v>
      </c>
      <c r="C1600" t="s">
        <v>2089</v>
      </c>
      <c r="D1600" t="str">
        <f>VLOOKUP(J1600,Location[],2,FALSE)</f>
        <v>Chicago</v>
      </c>
      <c r="E1600" t="str">
        <f>VLOOKUP(J1600,Location[],3,FALSE)</f>
        <v> Illinois</v>
      </c>
      <c r="F1600" t="str">
        <f>VLOOKUP(K1600,Dept[],2,FALSE)</f>
        <v>Media</v>
      </c>
      <c r="G1600" s="11">
        <f t="shared" si="24"/>
        <v>43101</v>
      </c>
      <c r="H1600" t="str">
        <f>VLOOKUP(N1600,Status[],2,FALSE)</f>
        <v>Full-Time</v>
      </c>
      <c r="J1600" s="7">
        <v>1003</v>
      </c>
      <c r="K1600">
        <v>20</v>
      </c>
      <c r="L1600">
        <v>2018</v>
      </c>
      <c r="M1600">
        <v>1</v>
      </c>
      <c r="N1600">
        <v>1</v>
      </c>
    </row>
    <row r="1601" spans="1:14" x14ac:dyDescent="0.25">
      <c r="A1601" t="s">
        <v>3826</v>
      </c>
      <c r="B1601" t="s">
        <v>1269</v>
      </c>
      <c r="C1601" t="s">
        <v>868</v>
      </c>
      <c r="D1601" t="str">
        <f>VLOOKUP(J1601,Location[],2,FALSE)</f>
        <v>Los Angeles</v>
      </c>
      <c r="E1601" t="str">
        <f>VLOOKUP(J1601,Location[],3,FALSE)</f>
        <v> California</v>
      </c>
      <c r="F1601" t="str">
        <f>VLOOKUP(K1601,Dept[],2,FALSE)</f>
        <v>Media</v>
      </c>
      <c r="G1601" s="11">
        <f t="shared" si="24"/>
        <v>45108</v>
      </c>
      <c r="H1601" t="str">
        <f>VLOOKUP(N1601,Status[],2,FALSE)</f>
        <v>Full-Time</v>
      </c>
      <c r="J1601" s="7">
        <v>1002</v>
      </c>
      <c r="K1601">
        <v>20</v>
      </c>
      <c r="L1601">
        <v>2023</v>
      </c>
      <c r="M1601">
        <v>7</v>
      </c>
      <c r="N1601">
        <v>1</v>
      </c>
    </row>
    <row r="1602" spans="1:14" x14ac:dyDescent="0.25">
      <c r="A1602" t="s">
        <v>3827</v>
      </c>
      <c r="B1602" t="s">
        <v>339</v>
      </c>
      <c r="C1602" t="s">
        <v>868</v>
      </c>
      <c r="D1602" t="str">
        <f>VLOOKUP(J1602,Location[],2,FALSE)</f>
        <v>Miami</v>
      </c>
      <c r="E1602" t="str">
        <f>VLOOKUP(J1602,Location[],3,FALSE)</f>
        <v> Florida</v>
      </c>
      <c r="F1602" t="str">
        <f>VLOOKUP(K1602,Dept[],2,FALSE)</f>
        <v>Customer Support</v>
      </c>
      <c r="G1602" s="11">
        <f t="shared" si="24"/>
        <v>43466</v>
      </c>
      <c r="H1602" t="str">
        <f>VLOOKUP(N1602,Status[],2,FALSE)</f>
        <v>Full-Time</v>
      </c>
      <c r="J1602" s="7">
        <v>1043</v>
      </c>
      <c r="K1602">
        <v>14</v>
      </c>
      <c r="L1602">
        <v>2019</v>
      </c>
      <c r="M1602">
        <v>1</v>
      </c>
      <c r="N1602">
        <v>1</v>
      </c>
    </row>
    <row r="1603" spans="1:14" x14ac:dyDescent="0.25">
      <c r="A1603" t="s">
        <v>3828</v>
      </c>
      <c r="B1603" t="s">
        <v>1399</v>
      </c>
      <c r="C1603" t="s">
        <v>868</v>
      </c>
      <c r="D1603" t="str">
        <f>VLOOKUP(J1603,Location[],2,FALSE)</f>
        <v>Stockton</v>
      </c>
      <c r="E1603" t="str">
        <f>VLOOKUP(J1603,Location[],3,FALSE)</f>
        <v> California</v>
      </c>
      <c r="F1603" t="str">
        <f>VLOOKUP(K1603,Dept[],2,FALSE)</f>
        <v>Accounting</v>
      </c>
      <c r="G1603" s="11">
        <f t="shared" si="24"/>
        <v>44958</v>
      </c>
      <c r="H1603" t="str">
        <f>VLOOKUP(N1603,Status[],2,FALSE)</f>
        <v>Full-Time</v>
      </c>
      <c r="J1603" s="7">
        <v>1061</v>
      </c>
      <c r="K1603">
        <v>11</v>
      </c>
      <c r="L1603">
        <v>2023</v>
      </c>
      <c r="M1603">
        <v>2</v>
      </c>
      <c r="N1603">
        <v>1</v>
      </c>
    </row>
    <row r="1604" spans="1:14" x14ac:dyDescent="0.25">
      <c r="A1604" t="s">
        <v>3829</v>
      </c>
      <c r="B1604" t="s">
        <v>617</v>
      </c>
      <c r="C1604" t="s">
        <v>868</v>
      </c>
      <c r="D1604" t="str">
        <f>VLOOKUP(J1604,Location[],2,FALSE)</f>
        <v>Santa Ana</v>
      </c>
      <c r="E1604" t="str">
        <f>VLOOKUP(J1604,Location[],3,FALSE)</f>
        <v> California</v>
      </c>
      <c r="F1604" t="str">
        <f>VLOOKUP(K1604,Dept[],2,FALSE)</f>
        <v>Administration</v>
      </c>
      <c r="G1604" s="11">
        <f t="shared" si="24"/>
        <v>41730</v>
      </c>
      <c r="H1604" t="str">
        <f>VLOOKUP(N1604,Status[],2,FALSE)</f>
        <v>Full-Time</v>
      </c>
      <c r="J1604" s="7">
        <v>1057</v>
      </c>
      <c r="K1604">
        <v>12</v>
      </c>
      <c r="L1604">
        <v>2014</v>
      </c>
      <c r="M1604">
        <v>4</v>
      </c>
      <c r="N1604">
        <v>1</v>
      </c>
    </row>
    <row r="1605" spans="1:14" x14ac:dyDescent="0.25">
      <c r="A1605" t="s">
        <v>3830</v>
      </c>
      <c r="B1605" t="s">
        <v>1350</v>
      </c>
      <c r="C1605" t="s">
        <v>868</v>
      </c>
      <c r="D1605" t="str">
        <f>VLOOKUP(J1605,Location[],2,FALSE)</f>
        <v>Dallas</v>
      </c>
      <c r="E1605" t="str">
        <f>VLOOKUP(J1605,Location[],3,FALSE)</f>
        <v> Texas</v>
      </c>
      <c r="F1605" t="str">
        <f>VLOOKUP(K1605,Dept[],2,FALSE)</f>
        <v>Human Resources</v>
      </c>
      <c r="G1605" s="11">
        <f t="shared" ref="G1605:G1668" si="25">DATE(L1605,M1605,1)</f>
        <v>44927</v>
      </c>
      <c r="H1605" t="str">
        <f>VLOOKUP(N1605,Status[],2,FALSE)</f>
        <v>Full-Time</v>
      </c>
      <c r="J1605" s="7">
        <v>1009</v>
      </c>
      <c r="K1605">
        <v>16</v>
      </c>
      <c r="L1605">
        <v>2023</v>
      </c>
      <c r="M1605">
        <v>1</v>
      </c>
      <c r="N1605">
        <v>1</v>
      </c>
    </row>
    <row r="1606" spans="1:14" x14ac:dyDescent="0.25">
      <c r="A1606" t="s">
        <v>3831</v>
      </c>
      <c r="B1606" t="s">
        <v>280</v>
      </c>
      <c r="C1606" t="s">
        <v>1361</v>
      </c>
      <c r="D1606" t="str">
        <f>VLOOKUP(J1606,Location[],2,FALSE)</f>
        <v>Las Vegas</v>
      </c>
      <c r="E1606" t="str">
        <f>VLOOKUP(J1606,Location[],3,FALSE)</f>
        <v> Nevada</v>
      </c>
      <c r="F1606" t="str">
        <f>VLOOKUP(K1606,Dept[],2,FALSE)</f>
        <v>Assessment</v>
      </c>
      <c r="G1606" s="11">
        <f t="shared" si="25"/>
        <v>40695</v>
      </c>
      <c r="H1606" t="str">
        <f>VLOOKUP(N1606,Status[],2,FALSE)</f>
        <v>Full-Time</v>
      </c>
      <c r="J1606" s="7">
        <v>1028</v>
      </c>
      <c r="K1606">
        <v>13</v>
      </c>
      <c r="L1606">
        <v>2011</v>
      </c>
      <c r="M1606">
        <v>6</v>
      </c>
      <c r="N1606">
        <v>1</v>
      </c>
    </row>
    <row r="1607" spans="1:14" x14ac:dyDescent="0.25">
      <c r="A1607" t="s">
        <v>3832</v>
      </c>
      <c r="B1607" t="s">
        <v>1846</v>
      </c>
      <c r="C1607" t="s">
        <v>1361</v>
      </c>
      <c r="D1607" t="str">
        <f>VLOOKUP(J1607,Location[],2,FALSE)</f>
        <v>Wichita</v>
      </c>
      <c r="E1607" t="str">
        <f>VLOOKUP(J1607,Location[],3,FALSE)</f>
        <v> Kansas</v>
      </c>
      <c r="F1607" t="str">
        <f>VLOOKUP(K1607,Dept[],2,FALSE)</f>
        <v>Media</v>
      </c>
      <c r="G1607" s="11">
        <f t="shared" si="25"/>
        <v>41061</v>
      </c>
      <c r="H1607" t="str">
        <f>VLOOKUP(N1607,Status[],2,FALSE)</f>
        <v>Full-Time</v>
      </c>
      <c r="J1607" s="7">
        <v>1050</v>
      </c>
      <c r="K1607">
        <v>20</v>
      </c>
      <c r="L1607">
        <v>2012</v>
      </c>
      <c r="M1607">
        <v>6</v>
      </c>
      <c r="N1607">
        <v>1</v>
      </c>
    </row>
    <row r="1608" spans="1:14" x14ac:dyDescent="0.25">
      <c r="A1608" t="s">
        <v>3833</v>
      </c>
      <c r="B1608" t="s">
        <v>1350</v>
      </c>
      <c r="C1608" t="s">
        <v>1361</v>
      </c>
      <c r="D1608" t="str">
        <f>VLOOKUP(J1608,Location[],2,FALSE)</f>
        <v>Dallas</v>
      </c>
      <c r="E1608" t="str">
        <f>VLOOKUP(J1608,Location[],3,FALSE)</f>
        <v> Texas</v>
      </c>
      <c r="F1608" t="str">
        <f>VLOOKUP(K1608,Dept[],2,FALSE)</f>
        <v>R&amp;D</v>
      </c>
      <c r="G1608" s="11">
        <f t="shared" si="25"/>
        <v>41699</v>
      </c>
      <c r="H1608" t="str">
        <f>VLOOKUP(N1608,Status[],2,FALSE)</f>
        <v>Full-Time</v>
      </c>
      <c r="J1608" s="7">
        <v>1009</v>
      </c>
      <c r="K1608">
        <v>21</v>
      </c>
      <c r="L1608">
        <v>2014</v>
      </c>
      <c r="M1608">
        <v>3</v>
      </c>
      <c r="N1608">
        <v>1</v>
      </c>
    </row>
    <row r="1609" spans="1:14" x14ac:dyDescent="0.25">
      <c r="A1609" t="s">
        <v>3834</v>
      </c>
      <c r="B1609" t="s">
        <v>248</v>
      </c>
      <c r="C1609" t="s">
        <v>1192</v>
      </c>
      <c r="D1609" t="str">
        <f>VLOOKUP(J1609,Location[],2,FALSE)</f>
        <v>Washington, D.C.</v>
      </c>
      <c r="E1609" t="str">
        <f>VLOOKUP(J1609,Location[],3,FALSE)</f>
        <v> District of Columbia</v>
      </c>
      <c r="F1609" t="str">
        <f>VLOOKUP(K1609,Dept[],2,FALSE)</f>
        <v>Administration</v>
      </c>
      <c r="G1609" s="11">
        <f t="shared" si="25"/>
        <v>40787</v>
      </c>
      <c r="H1609" t="str">
        <f>VLOOKUP(N1609,Status[],2,FALSE)</f>
        <v>Full-Time</v>
      </c>
      <c r="J1609" s="7">
        <v>1020</v>
      </c>
      <c r="K1609">
        <v>12</v>
      </c>
      <c r="L1609">
        <v>2011</v>
      </c>
      <c r="M1609">
        <v>9</v>
      </c>
      <c r="N1609">
        <v>1</v>
      </c>
    </row>
    <row r="1610" spans="1:14" x14ac:dyDescent="0.25">
      <c r="A1610" t="s">
        <v>3835</v>
      </c>
      <c r="B1610" t="s">
        <v>1151</v>
      </c>
      <c r="C1610" t="s">
        <v>1534</v>
      </c>
      <c r="D1610" t="str">
        <f>VLOOKUP(J1610,Location[],2,FALSE)</f>
        <v>Los Angeles</v>
      </c>
      <c r="E1610" t="str">
        <f>VLOOKUP(J1610,Location[],3,FALSE)</f>
        <v> California</v>
      </c>
      <c r="F1610" t="str">
        <f>VLOOKUP(K1610,Dept[],2,FALSE)</f>
        <v>Customer Support</v>
      </c>
      <c r="G1610" s="11">
        <f t="shared" si="25"/>
        <v>40664</v>
      </c>
      <c r="H1610" t="str">
        <f>VLOOKUP(N1610,Status[],2,FALSE)</f>
        <v>Part-Time</v>
      </c>
      <c r="J1610" s="7">
        <v>1002</v>
      </c>
      <c r="K1610">
        <v>14</v>
      </c>
      <c r="L1610">
        <v>2011</v>
      </c>
      <c r="M1610">
        <v>5</v>
      </c>
      <c r="N1610">
        <v>0</v>
      </c>
    </row>
    <row r="1611" spans="1:14" x14ac:dyDescent="0.25">
      <c r="A1611" t="s">
        <v>3836</v>
      </c>
      <c r="B1611" t="s">
        <v>339</v>
      </c>
      <c r="C1611" t="s">
        <v>1548</v>
      </c>
      <c r="D1611" t="str">
        <f>VLOOKUP(J1611,Location[],2,FALSE)</f>
        <v>Mesa</v>
      </c>
      <c r="E1611" t="str">
        <f>VLOOKUP(J1611,Location[],3,FALSE)</f>
        <v> Arizona</v>
      </c>
      <c r="F1611" t="str">
        <f>VLOOKUP(K1611,Dept[],2,FALSE)</f>
        <v>Administration</v>
      </c>
      <c r="G1611" s="11">
        <f t="shared" si="25"/>
        <v>40940</v>
      </c>
      <c r="H1611" t="str">
        <f>VLOOKUP(N1611,Status[],2,FALSE)</f>
        <v>Full-Time</v>
      </c>
      <c r="J1611" s="7">
        <v>1036</v>
      </c>
      <c r="K1611">
        <v>12</v>
      </c>
      <c r="L1611">
        <v>2012</v>
      </c>
      <c r="M1611">
        <v>2</v>
      </c>
      <c r="N1611">
        <v>1</v>
      </c>
    </row>
    <row r="1612" spans="1:14" x14ac:dyDescent="0.25">
      <c r="A1612" t="s">
        <v>3837</v>
      </c>
      <c r="B1612" t="s">
        <v>108</v>
      </c>
      <c r="C1612" t="s">
        <v>1461</v>
      </c>
      <c r="D1612" t="str">
        <f>VLOOKUP(J1612,Location[],2,FALSE)</f>
        <v>Jacksonville</v>
      </c>
      <c r="E1612" t="str">
        <f>VLOOKUP(J1612,Location[],3,FALSE)</f>
        <v> Florida</v>
      </c>
      <c r="F1612" t="str">
        <f>VLOOKUP(K1612,Dept[],2,FALSE)</f>
        <v>Customer Support</v>
      </c>
      <c r="G1612" s="11">
        <f t="shared" si="25"/>
        <v>40544</v>
      </c>
      <c r="H1612" t="str">
        <f>VLOOKUP(N1612,Status[],2,FALSE)</f>
        <v>Full-Time</v>
      </c>
      <c r="J1612" s="7">
        <v>1012</v>
      </c>
      <c r="K1612">
        <v>14</v>
      </c>
      <c r="L1612">
        <v>2011</v>
      </c>
      <c r="M1612">
        <v>1</v>
      </c>
      <c r="N1612">
        <v>1</v>
      </c>
    </row>
    <row r="1613" spans="1:14" x14ac:dyDescent="0.25">
      <c r="A1613" t="s">
        <v>3838</v>
      </c>
      <c r="B1613" t="s">
        <v>1300</v>
      </c>
      <c r="C1613" t="s">
        <v>1301</v>
      </c>
      <c r="D1613" t="str">
        <f>VLOOKUP(J1613,Location[],2,FALSE)</f>
        <v>Los Angeles</v>
      </c>
      <c r="E1613" t="str">
        <f>VLOOKUP(J1613,Location[],3,FALSE)</f>
        <v> California</v>
      </c>
      <c r="F1613" t="str">
        <f>VLOOKUP(K1613,Dept[],2,FALSE)</f>
        <v>Customer Support</v>
      </c>
      <c r="G1613" s="11">
        <f t="shared" si="25"/>
        <v>43586</v>
      </c>
      <c r="H1613" t="str">
        <f>VLOOKUP(N1613,Status[],2,FALSE)</f>
        <v>Part-Time</v>
      </c>
      <c r="J1613" s="7">
        <v>1002</v>
      </c>
      <c r="K1613">
        <v>14</v>
      </c>
      <c r="L1613">
        <v>2019</v>
      </c>
      <c r="M1613">
        <v>5</v>
      </c>
      <c r="N1613">
        <v>0</v>
      </c>
    </row>
    <row r="1614" spans="1:14" x14ac:dyDescent="0.25">
      <c r="A1614" t="s">
        <v>3839</v>
      </c>
      <c r="B1614" t="s">
        <v>253</v>
      </c>
      <c r="C1614" t="s">
        <v>273</v>
      </c>
      <c r="D1614" t="str">
        <f>VLOOKUP(J1614,Location[],2,FALSE)</f>
        <v>Milwaukee</v>
      </c>
      <c r="E1614" t="str">
        <f>VLOOKUP(J1614,Location[],3,FALSE)</f>
        <v> Wisconsin</v>
      </c>
      <c r="F1614" t="str">
        <f>VLOOKUP(K1614,Dept[],2,FALSE)</f>
        <v>Finance</v>
      </c>
      <c r="G1614" s="11">
        <f t="shared" si="25"/>
        <v>41334</v>
      </c>
      <c r="H1614" t="str">
        <f>VLOOKUP(N1614,Status[],2,FALSE)</f>
        <v>Full-Time</v>
      </c>
      <c r="J1614" s="7">
        <v>1031</v>
      </c>
      <c r="K1614">
        <v>15</v>
      </c>
      <c r="L1614">
        <v>2013</v>
      </c>
      <c r="M1614">
        <v>3</v>
      </c>
      <c r="N1614">
        <v>1</v>
      </c>
    </row>
    <row r="1615" spans="1:14" x14ac:dyDescent="0.25">
      <c r="A1615" t="s">
        <v>3840</v>
      </c>
      <c r="B1615" t="s">
        <v>878</v>
      </c>
      <c r="C1615" t="s">
        <v>1371</v>
      </c>
      <c r="D1615" t="str">
        <f>VLOOKUP(J1615,Location[],2,FALSE)</f>
        <v>San Francisco</v>
      </c>
      <c r="E1615" t="str">
        <f>VLOOKUP(J1615,Location[],3,FALSE)</f>
        <v> California</v>
      </c>
      <c r="F1615" t="str">
        <f>VLOOKUP(K1615,Dept[],2,FALSE)</f>
        <v>Administration</v>
      </c>
      <c r="G1615" s="11">
        <f t="shared" si="25"/>
        <v>44531</v>
      </c>
      <c r="H1615" t="str">
        <f>VLOOKUP(N1615,Status[],2,FALSE)</f>
        <v>Full-Time</v>
      </c>
      <c r="J1615" s="7">
        <v>1013</v>
      </c>
      <c r="K1615">
        <v>12</v>
      </c>
      <c r="L1615">
        <v>2021</v>
      </c>
      <c r="M1615">
        <v>12</v>
      </c>
      <c r="N1615">
        <v>1</v>
      </c>
    </row>
    <row r="1616" spans="1:14" x14ac:dyDescent="0.25">
      <c r="A1616" t="s">
        <v>3841</v>
      </c>
      <c r="B1616" t="s">
        <v>307</v>
      </c>
      <c r="C1616" t="s">
        <v>1701</v>
      </c>
      <c r="D1616" t="str">
        <f>VLOOKUP(J1616,Location[],2,FALSE)</f>
        <v>New York City</v>
      </c>
      <c r="E1616" t="str">
        <f>VLOOKUP(J1616,Location[],3,FALSE)</f>
        <v> New York</v>
      </c>
      <c r="F1616" t="str">
        <f>VLOOKUP(K1616,Dept[],2,FALSE)</f>
        <v>Customer Support</v>
      </c>
      <c r="G1616" s="11">
        <f t="shared" si="25"/>
        <v>41487</v>
      </c>
      <c r="H1616" t="str">
        <f>VLOOKUP(N1616,Status[],2,FALSE)</f>
        <v>Full-Time</v>
      </c>
      <c r="J1616" s="7">
        <v>1001</v>
      </c>
      <c r="K1616">
        <v>14</v>
      </c>
      <c r="L1616">
        <v>2013</v>
      </c>
      <c r="M1616">
        <v>8</v>
      </c>
      <c r="N1616">
        <v>1</v>
      </c>
    </row>
    <row r="1617" spans="1:14" x14ac:dyDescent="0.25">
      <c r="A1617" t="s">
        <v>3842</v>
      </c>
      <c r="B1617" t="s">
        <v>826</v>
      </c>
      <c r="C1617" t="s">
        <v>975</v>
      </c>
      <c r="D1617" t="str">
        <f>VLOOKUP(J1617,Location[],2,FALSE)</f>
        <v>Anaheim</v>
      </c>
      <c r="E1617" t="str">
        <f>VLOOKUP(J1617,Location[],3,FALSE)</f>
        <v> California</v>
      </c>
      <c r="F1617" t="str">
        <f>VLOOKUP(K1617,Dept[],2,FALSE)</f>
        <v>Assessment</v>
      </c>
      <c r="G1617" s="11">
        <f t="shared" si="25"/>
        <v>43221</v>
      </c>
      <c r="H1617" t="str">
        <f>VLOOKUP(N1617,Status[],2,FALSE)</f>
        <v>Part-Time</v>
      </c>
      <c r="J1617" s="7">
        <v>1055</v>
      </c>
      <c r="K1617">
        <v>13</v>
      </c>
      <c r="L1617">
        <v>2018</v>
      </c>
      <c r="M1617">
        <v>5</v>
      </c>
      <c r="N1617">
        <v>0</v>
      </c>
    </row>
    <row r="1618" spans="1:14" x14ac:dyDescent="0.25">
      <c r="A1618" t="s">
        <v>3843</v>
      </c>
      <c r="B1618" t="s">
        <v>469</v>
      </c>
      <c r="C1618" t="s">
        <v>1924</v>
      </c>
      <c r="D1618" t="str">
        <f>VLOOKUP(J1618,Location[],2,FALSE)</f>
        <v>Riverside</v>
      </c>
      <c r="E1618" t="str">
        <f>VLOOKUP(J1618,Location[],3,FALSE)</f>
        <v> California</v>
      </c>
      <c r="F1618" t="str">
        <f>VLOOKUP(K1618,Dept[],2,FALSE)</f>
        <v>IT</v>
      </c>
      <c r="G1618" s="11">
        <f t="shared" si="25"/>
        <v>41244</v>
      </c>
      <c r="H1618" t="str">
        <f>VLOOKUP(N1618,Status[],2,FALSE)</f>
        <v>Full-Time</v>
      </c>
      <c r="J1618" s="7">
        <v>1058</v>
      </c>
      <c r="K1618">
        <v>17</v>
      </c>
      <c r="L1618">
        <v>2012</v>
      </c>
      <c r="M1618">
        <v>12</v>
      </c>
      <c r="N1618">
        <v>1</v>
      </c>
    </row>
    <row r="1619" spans="1:14" x14ac:dyDescent="0.25">
      <c r="A1619" t="s">
        <v>3844</v>
      </c>
      <c r="B1619" t="s">
        <v>1358</v>
      </c>
      <c r="C1619" t="s">
        <v>1359</v>
      </c>
      <c r="D1619" t="str">
        <f>VLOOKUP(J1619,Location[],2,FALSE)</f>
        <v>San Diego</v>
      </c>
      <c r="E1619" t="str">
        <f>VLOOKUP(J1619,Location[],3,FALSE)</f>
        <v> California</v>
      </c>
      <c r="F1619" t="str">
        <f>VLOOKUP(K1619,Dept[],2,FALSE)</f>
        <v>Finance</v>
      </c>
      <c r="G1619" s="11">
        <f t="shared" si="25"/>
        <v>41974</v>
      </c>
      <c r="H1619" t="str">
        <f>VLOOKUP(N1619,Status[],2,FALSE)</f>
        <v>Full-Time</v>
      </c>
      <c r="J1619" s="7">
        <v>1008</v>
      </c>
      <c r="K1619">
        <v>15</v>
      </c>
      <c r="L1619">
        <v>2014</v>
      </c>
      <c r="M1619">
        <v>12</v>
      </c>
      <c r="N1619">
        <v>1</v>
      </c>
    </row>
    <row r="1620" spans="1:14" x14ac:dyDescent="0.25">
      <c r="A1620" t="s">
        <v>3845</v>
      </c>
      <c r="B1620" t="s">
        <v>7</v>
      </c>
      <c r="C1620" t="s">
        <v>261</v>
      </c>
      <c r="D1620" t="str">
        <f>VLOOKUP(J1620,Location[],2,FALSE)</f>
        <v>Arlington</v>
      </c>
      <c r="E1620" t="str">
        <f>VLOOKUP(J1620,Location[],3,FALSE)</f>
        <v> Texas</v>
      </c>
      <c r="F1620" t="str">
        <f>VLOOKUP(K1620,Dept[],2,FALSE)</f>
        <v>Human Resources</v>
      </c>
      <c r="G1620" s="11">
        <f t="shared" si="25"/>
        <v>43191</v>
      </c>
      <c r="H1620" t="str">
        <f>VLOOKUP(N1620,Status[],2,FALSE)</f>
        <v>Full-Time</v>
      </c>
      <c r="J1620" s="7">
        <v>1048</v>
      </c>
      <c r="K1620">
        <v>16</v>
      </c>
      <c r="L1620">
        <v>2018</v>
      </c>
      <c r="M1620">
        <v>4</v>
      </c>
      <c r="N1620">
        <v>1</v>
      </c>
    </row>
    <row r="1621" spans="1:14" x14ac:dyDescent="0.25">
      <c r="A1621" t="s">
        <v>3846</v>
      </c>
      <c r="B1621" t="s">
        <v>408</v>
      </c>
      <c r="C1621" t="s">
        <v>261</v>
      </c>
      <c r="D1621" t="str">
        <f>VLOOKUP(J1621,Location[],2,FALSE)</f>
        <v>San Diego</v>
      </c>
      <c r="E1621" t="str">
        <f>VLOOKUP(J1621,Location[],3,FALSE)</f>
        <v> California</v>
      </c>
      <c r="F1621" t="str">
        <f>VLOOKUP(K1621,Dept[],2,FALSE)</f>
        <v>Marketing</v>
      </c>
      <c r="G1621" s="11">
        <f t="shared" si="25"/>
        <v>43922</v>
      </c>
      <c r="H1621" t="str">
        <f>VLOOKUP(N1621,Status[],2,FALSE)</f>
        <v>Full-Time</v>
      </c>
      <c r="J1621" s="7">
        <v>1008</v>
      </c>
      <c r="K1621">
        <v>19</v>
      </c>
      <c r="L1621">
        <v>2020</v>
      </c>
      <c r="M1621">
        <v>4</v>
      </c>
      <c r="N1621">
        <v>1</v>
      </c>
    </row>
    <row r="1622" spans="1:14" x14ac:dyDescent="0.25">
      <c r="A1622" t="s">
        <v>3847</v>
      </c>
      <c r="B1622" t="s">
        <v>384</v>
      </c>
      <c r="C1622" t="s">
        <v>261</v>
      </c>
      <c r="D1622" t="str">
        <f>VLOOKUP(J1622,Location[],2,FALSE)</f>
        <v>San Diego</v>
      </c>
      <c r="E1622" t="str">
        <f>VLOOKUP(J1622,Location[],3,FALSE)</f>
        <v> California</v>
      </c>
      <c r="F1622" t="str">
        <f>VLOOKUP(K1622,Dept[],2,FALSE)</f>
        <v>Legal</v>
      </c>
      <c r="G1622" s="11">
        <f t="shared" si="25"/>
        <v>41000</v>
      </c>
      <c r="H1622" t="str">
        <f>VLOOKUP(N1622,Status[],2,FALSE)</f>
        <v>Full-Time</v>
      </c>
      <c r="J1622" s="7">
        <v>1008</v>
      </c>
      <c r="K1622">
        <v>18</v>
      </c>
      <c r="L1622">
        <v>2012</v>
      </c>
      <c r="M1622">
        <v>4</v>
      </c>
      <c r="N1622">
        <v>1</v>
      </c>
    </row>
    <row r="1623" spans="1:14" x14ac:dyDescent="0.25">
      <c r="A1623" t="s">
        <v>3848</v>
      </c>
      <c r="B1623" t="s">
        <v>339</v>
      </c>
      <c r="C1623" t="s">
        <v>261</v>
      </c>
      <c r="D1623" t="str">
        <f>VLOOKUP(J1623,Location[],2,FALSE)</f>
        <v>Anaheim</v>
      </c>
      <c r="E1623" t="str">
        <f>VLOOKUP(J1623,Location[],3,FALSE)</f>
        <v> California</v>
      </c>
      <c r="F1623" t="str">
        <f>VLOOKUP(K1623,Dept[],2,FALSE)</f>
        <v>Administration</v>
      </c>
      <c r="G1623" s="11">
        <f t="shared" si="25"/>
        <v>41122</v>
      </c>
      <c r="H1623" t="str">
        <f>VLOOKUP(N1623,Status[],2,FALSE)</f>
        <v>Part-Time</v>
      </c>
      <c r="J1623" s="7">
        <v>1055</v>
      </c>
      <c r="K1623">
        <v>12</v>
      </c>
      <c r="L1623">
        <v>2012</v>
      </c>
      <c r="M1623">
        <v>8</v>
      </c>
      <c r="N1623">
        <v>0</v>
      </c>
    </row>
    <row r="1624" spans="1:14" x14ac:dyDescent="0.25">
      <c r="A1624" t="s">
        <v>3849</v>
      </c>
      <c r="B1624" t="s">
        <v>1737</v>
      </c>
      <c r="C1624" t="s">
        <v>261</v>
      </c>
      <c r="D1624" t="str">
        <f>VLOOKUP(J1624,Location[],2,FALSE)</f>
        <v>Indianapolis</v>
      </c>
      <c r="E1624" t="str">
        <f>VLOOKUP(J1624,Location[],3,FALSE)</f>
        <v> Indiana</v>
      </c>
      <c r="F1624" t="str">
        <f>VLOOKUP(K1624,Dept[],2,FALSE)</f>
        <v>Legal</v>
      </c>
      <c r="G1624" s="11">
        <f t="shared" si="25"/>
        <v>43647</v>
      </c>
      <c r="H1624" t="str">
        <f>VLOOKUP(N1624,Status[],2,FALSE)</f>
        <v>Part-Time</v>
      </c>
      <c r="J1624" s="7">
        <v>1016</v>
      </c>
      <c r="K1624">
        <v>18</v>
      </c>
      <c r="L1624">
        <v>2019</v>
      </c>
      <c r="M1624">
        <v>7</v>
      </c>
      <c r="N1624">
        <v>0</v>
      </c>
    </row>
    <row r="1625" spans="1:14" x14ac:dyDescent="0.25">
      <c r="A1625" t="s">
        <v>3850</v>
      </c>
      <c r="B1625" t="s">
        <v>855</v>
      </c>
      <c r="C1625" t="s">
        <v>261</v>
      </c>
      <c r="D1625" t="str">
        <f>VLOOKUP(J1625,Location[],2,FALSE)</f>
        <v>Phoenix</v>
      </c>
      <c r="E1625" t="str">
        <f>VLOOKUP(J1625,Location[],3,FALSE)</f>
        <v> Arizona</v>
      </c>
      <c r="F1625" t="str">
        <f>VLOOKUP(K1625,Dept[],2,FALSE)</f>
        <v>R&amp;D</v>
      </c>
      <c r="G1625" s="11">
        <f t="shared" si="25"/>
        <v>44501</v>
      </c>
      <c r="H1625" t="str">
        <f>VLOOKUP(N1625,Status[],2,FALSE)</f>
        <v>Full-Time</v>
      </c>
      <c r="J1625" s="7">
        <v>1005</v>
      </c>
      <c r="K1625">
        <v>21</v>
      </c>
      <c r="L1625">
        <v>2021</v>
      </c>
      <c r="M1625">
        <v>11</v>
      </c>
      <c r="N1625">
        <v>1</v>
      </c>
    </row>
    <row r="1626" spans="1:14" x14ac:dyDescent="0.25">
      <c r="A1626" t="s">
        <v>3851</v>
      </c>
      <c r="B1626" t="s">
        <v>83</v>
      </c>
      <c r="C1626" t="s">
        <v>261</v>
      </c>
      <c r="D1626" t="str">
        <f>VLOOKUP(J1626,Location[],2,FALSE)</f>
        <v>New York City</v>
      </c>
      <c r="E1626" t="str">
        <f>VLOOKUP(J1626,Location[],3,FALSE)</f>
        <v> New York</v>
      </c>
      <c r="F1626" t="str">
        <f>VLOOKUP(K1626,Dept[],2,FALSE)</f>
        <v>Customer Support</v>
      </c>
      <c r="G1626" s="11">
        <f t="shared" si="25"/>
        <v>44166</v>
      </c>
      <c r="H1626" t="str">
        <f>VLOOKUP(N1626,Status[],2,FALSE)</f>
        <v>Full-Time</v>
      </c>
      <c r="J1626" s="7">
        <v>1001</v>
      </c>
      <c r="K1626">
        <v>14</v>
      </c>
      <c r="L1626">
        <v>2020</v>
      </c>
      <c r="M1626">
        <v>12</v>
      </c>
      <c r="N1626">
        <v>1</v>
      </c>
    </row>
    <row r="1627" spans="1:14" x14ac:dyDescent="0.25">
      <c r="A1627" t="s">
        <v>3852</v>
      </c>
      <c r="B1627" t="s">
        <v>253</v>
      </c>
      <c r="C1627" t="s">
        <v>1628</v>
      </c>
      <c r="D1627" t="str">
        <f>VLOOKUP(J1627,Location[],2,FALSE)</f>
        <v>Newark</v>
      </c>
      <c r="E1627" t="str">
        <f>VLOOKUP(J1627,Location[],3,FALSE)</f>
        <v> New Jersey</v>
      </c>
      <c r="F1627" t="str">
        <f>VLOOKUP(K1627,Dept[],2,FALSE)</f>
        <v>Shipping</v>
      </c>
      <c r="G1627" s="11">
        <f t="shared" si="25"/>
        <v>43922</v>
      </c>
      <c r="H1627" t="str">
        <f>VLOOKUP(N1627,Status[],2,FALSE)</f>
        <v>Full-Time</v>
      </c>
      <c r="J1627" s="7">
        <v>1070</v>
      </c>
      <c r="K1627">
        <v>23</v>
      </c>
      <c r="L1627">
        <v>2020</v>
      </c>
      <c r="M1627">
        <v>4</v>
      </c>
      <c r="N1627">
        <v>1</v>
      </c>
    </row>
    <row r="1628" spans="1:14" x14ac:dyDescent="0.25">
      <c r="A1628" t="s">
        <v>3853</v>
      </c>
      <c r="B1628" t="s">
        <v>186</v>
      </c>
      <c r="C1628" t="s">
        <v>932</v>
      </c>
      <c r="D1628" t="str">
        <f>VLOOKUP(J1628,Location[],2,FALSE)</f>
        <v>Lincoln</v>
      </c>
      <c r="E1628" t="str">
        <f>VLOOKUP(J1628,Location[],3,FALSE)</f>
        <v> Nebraska</v>
      </c>
      <c r="F1628" t="str">
        <f>VLOOKUP(K1628,Dept[],2,FALSE)</f>
        <v>Customer Support</v>
      </c>
      <c r="G1628" s="11">
        <f t="shared" si="25"/>
        <v>40909</v>
      </c>
      <c r="H1628" t="str">
        <f>VLOOKUP(N1628,Status[],2,FALSE)</f>
        <v>Full-Time</v>
      </c>
      <c r="J1628" s="7">
        <v>1071</v>
      </c>
      <c r="K1628">
        <v>14</v>
      </c>
      <c r="L1628">
        <v>2012</v>
      </c>
      <c r="M1628">
        <v>1</v>
      </c>
      <c r="N1628">
        <v>1</v>
      </c>
    </row>
    <row r="1629" spans="1:14" x14ac:dyDescent="0.25">
      <c r="A1629" t="s">
        <v>3854</v>
      </c>
      <c r="B1629" t="s">
        <v>1721</v>
      </c>
      <c r="C1629" t="s">
        <v>1733</v>
      </c>
      <c r="D1629" t="str">
        <f>VLOOKUP(J1629,Location[],2,FALSE)</f>
        <v>Scottsdale</v>
      </c>
      <c r="E1629" t="str">
        <f>VLOOKUP(J1629,Location[],3,FALSE)</f>
        <v> Arizona</v>
      </c>
      <c r="F1629" t="str">
        <f>VLOOKUP(K1629,Dept[],2,FALSE)</f>
        <v>Customer Support</v>
      </c>
      <c r="G1629" s="11">
        <f t="shared" si="25"/>
        <v>40725</v>
      </c>
      <c r="H1629" t="str">
        <f>VLOOKUP(N1629,Status[],2,FALSE)</f>
        <v>Part-Time</v>
      </c>
      <c r="J1629" s="7">
        <v>1085</v>
      </c>
      <c r="K1629">
        <v>14</v>
      </c>
      <c r="L1629">
        <v>2011</v>
      </c>
      <c r="M1629">
        <v>7</v>
      </c>
      <c r="N1629">
        <v>0</v>
      </c>
    </row>
    <row r="1630" spans="1:14" x14ac:dyDescent="0.25">
      <c r="A1630" t="s">
        <v>3855</v>
      </c>
      <c r="B1630" t="s">
        <v>1419</v>
      </c>
      <c r="C1630" t="s">
        <v>1420</v>
      </c>
      <c r="D1630" t="str">
        <f>VLOOKUP(J1630,Location[],2,FALSE)</f>
        <v>Oklahoma City</v>
      </c>
      <c r="E1630" t="str">
        <f>VLOOKUP(J1630,Location[],3,FALSE)</f>
        <v> Oklahoma</v>
      </c>
      <c r="F1630" t="str">
        <f>VLOOKUP(K1630,Dept[],2,FALSE)</f>
        <v>Human Resources</v>
      </c>
      <c r="G1630" s="11">
        <f t="shared" si="25"/>
        <v>40725</v>
      </c>
      <c r="H1630" t="str">
        <f>VLOOKUP(N1630,Status[],2,FALSE)</f>
        <v>Full-Time</v>
      </c>
      <c r="J1630" s="7">
        <v>1027</v>
      </c>
      <c r="K1630">
        <v>16</v>
      </c>
      <c r="L1630">
        <v>2011</v>
      </c>
      <c r="M1630">
        <v>7</v>
      </c>
      <c r="N1630">
        <v>1</v>
      </c>
    </row>
    <row r="1631" spans="1:14" x14ac:dyDescent="0.25">
      <c r="A1631" t="s">
        <v>3856</v>
      </c>
      <c r="B1631" t="s">
        <v>95</v>
      </c>
      <c r="C1631" t="s">
        <v>1420</v>
      </c>
      <c r="D1631" t="str">
        <f>VLOOKUP(J1631,Location[],2,FALSE)</f>
        <v>San Jose</v>
      </c>
      <c r="E1631" t="str">
        <f>VLOOKUP(J1631,Location[],3,FALSE)</f>
        <v> California</v>
      </c>
      <c r="F1631" t="str">
        <f>VLOOKUP(K1631,Dept[],2,FALSE)</f>
        <v>Assessment</v>
      </c>
      <c r="G1631" s="11">
        <f t="shared" si="25"/>
        <v>41426</v>
      </c>
      <c r="H1631" t="str">
        <f>VLOOKUP(N1631,Status[],2,FALSE)</f>
        <v>Full-Time</v>
      </c>
      <c r="J1631" s="7">
        <v>1010</v>
      </c>
      <c r="K1631">
        <v>13</v>
      </c>
      <c r="L1631">
        <v>2013</v>
      </c>
      <c r="M1631">
        <v>6</v>
      </c>
      <c r="N1631">
        <v>1</v>
      </c>
    </row>
    <row r="1632" spans="1:14" x14ac:dyDescent="0.25">
      <c r="A1632" t="s">
        <v>3857</v>
      </c>
      <c r="B1632" t="s">
        <v>1572</v>
      </c>
      <c r="C1632" t="s">
        <v>1573</v>
      </c>
      <c r="D1632" t="str">
        <f>VLOOKUP(J1632,Location[],2,FALSE)</f>
        <v>Dallas</v>
      </c>
      <c r="E1632" t="str">
        <f>VLOOKUP(J1632,Location[],3,FALSE)</f>
        <v> Texas</v>
      </c>
      <c r="F1632" t="str">
        <f>VLOOKUP(K1632,Dept[],2,FALSE)</f>
        <v>Accounting</v>
      </c>
      <c r="G1632" s="11">
        <f t="shared" si="25"/>
        <v>43009</v>
      </c>
      <c r="H1632" t="str">
        <f>VLOOKUP(N1632,Status[],2,FALSE)</f>
        <v>Full-Time</v>
      </c>
      <c r="J1632" s="7">
        <v>1009</v>
      </c>
      <c r="K1632">
        <v>11</v>
      </c>
      <c r="L1632">
        <v>2017</v>
      </c>
      <c r="M1632">
        <v>10</v>
      </c>
      <c r="N1632">
        <v>1</v>
      </c>
    </row>
    <row r="1633" spans="1:14" x14ac:dyDescent="0.25">
      <c r="A1633" t="s">
        <v>3858</v>
      </c>
      <c r="B1633" t="s">
        <v>1156</v>
      </c>
      <c r="C1633" t="s">
        <v>1157</v>
      </c>
      <c r="D1633" t="str">
        <f>VLOOKUP(J1633,Location[],2,FALSE)</f>
        <v>Wichita</v>
      </c>
      <c r="E1633" t="str">
        <f>VLOOKUP(J1633,Location[],3,FALSE)</f>
        <v> Kansas</v>
      </c>
      <c r="F1633" t="str">
        <f>VLOOKUP(K1633,Dept[],2,FALSE)</f>
        <v>Customer Support</v>
      </c>
      <c r="G1633" s="11">
        <f t="shared" si="25"/>
        <v>41609</v>
      </c>
      <c r="H1633" t="str">
        <f>VLOOKUP(N1633,Status[],2,FALSE)</f>
        <v>Full-Time</v>
      </c>
      <c r="J1633" s="7">
        <v>1050</v>
      </c>
      <c r="K1633">
        <v>14</v>
      </c>
      <c r="L1633">
        <v>2013</v>
      </c>
      <c r="M1633">
        <v>12</v>
      </c>
      <c r="N1633">
        <v>1</v>
      </c>
    </row>
    <row r="1634" spans="1:14" x14ac:dyDescent="0.25">
      <c r="A1634" t="s">
        <v>3859</v>
      </c>
      <c r="B1634" t="s">
        <v>897</v>
      </c>
      <c r="C1634" t="s">
        <v>898</v>
      </c>
      <c r="D1634" t="str">
        <f>VLOOKUP(J1634,Location[],2,FALSE)</f>
        <v>San Diego</v>
      </c>
      <c r="E1634" t="str">
        <f>VLOOKUP(J1634,Location[],3,FALSE)</f>
        <v> California</v>
      </c>
      <c r="F1634" t="str">
        <f>VLOOKUP(K1634,Dept[],2,FALSE)</f>
        <v>Administration</v>
      </c>
      <c r="G1634" s="11">
        <f t="shared" si="25"/>
        <v>43070</v>
      </c>
      <c r="H1634" t="str">
        <f>VLOOKUP(N1634,Status[],2,FALSE)</f>
        <v>Full-Time</v>
      </c>
      <c r="J1634" s="7">
        <v>1008</v>
      </c>
      <c r="K1634">
        <v>12</v>
      </c>
      <c r="L1634">
        <v>2017</v>
      </c>
      <c r="M1634">
        <v>12</v>
      </c>
      <c r="N1634">
        <v>1</v>
      </c>
    </row>
    <row r="1635" spans="1:14" x14ac:dyDescent="0.25">
      <c r="A1635" t="s">
        <v>3860</v>
      </c>
      <c r="B1635" t="s">
        <v>681</v>
      </c>
      <c r="C1635" t="s">
        <v>1515</v>
      </c>
      <c r="D1635" t="str">
        <f>VLOOKUP(J1635,Location[],2,FALSE)</f>
        <v>San Diego</v>
      </c>
      <c r="E1635" t="str">
        <f>VLOOKUP(J1635,Location[],3,FALSE)</f>
        <v> California</v>
      </c>
      <c r="F1635" t="str">
        <f>VLOOKUP(K1635,Dept[],2,FALSE)</f>
        <v>Accounting</v>
      </c>
      <c r="G1635" s="11">
        <f t="shared" si="25"/>
        <v>44562</v>
      </c>
      <c r="H1635" t="str">
        <f>VLOOKUP(N1635,Status[],2,FALSE)</f>
        <v>Full-Time</v>
      </c>
      <c r="J1635" s="7">
        <v>1008</v>
      </c>
      <c r="K1635">
        <v>11</v>
      </c>
      <c r="L1635">
        <v>2022</v>
      </c>
      <c r="M1635">
        <v>1</v>
      </c>
      <c r="N1635">
        <v>1</v>
      </c>
    </row>
    <row r="1636" spans="1:14" x14ac:dyDescent="0.25">
      <c r="A1636" t="s">
        <v>3861</v>
      </c>
      <c r="B1636" t="s">
        <v>916</v>
      </c>
      <c r="C1636" t="s">
        <v>1110</v>
      </c>
      <c r="D1636" t="str">
        <f>VLOOKUP(J1636,Location[],2,FALSE)</f>
        <v>Tampa</v>
      </c>
      <c r="E1636" t="str">
        <f>VLOOKUP(J1636,Location[],3,FALSE)</f>
        <v> Florida</v>
      </c>
      <c r="F1636" t="str">
        <f>VLOOKUP(K1636,Dept[],2,FALSE)</f>
        <v>Human Resources</v>
      </c>
      <c r="G1636" s="11">
        <f t="shared" si="25"/>
        <v>44866</v>
      </c>
      <c r="H1636" t="str">
        <f>VLOOKUP(N1636,Status[],2,FALSE)</f>
        <v>Full-Time</v>
      </c>
      <c r="J1636" s="7">
        <v>1052</v>
      </c>
      <c r="K1636">
        <v>16</v>
      </c>
      <c r="L1636">
        <v>2022</v>
      </c>
      <c r="M1636">
        <v>11</v>
      </c>
      <c r="N1636">
        <v>1</v>
      </c>
    </row>
    <row r="1637" spans="1:14" x14ac:dyDescent="0.25">
      <c r="A1637" t="s">
        <v>3862</v>
      </c>
      <c r="B1637" t="s">
        <v>1209</v>
      </c>
      <c r="C1637" t="s">
        <v>1110</v>
      </c>
      <c r="D1637" t="str">
        <f>VLOOKUP(J1637,Location[],2,FALSE)</f>
        <v>Greensboro</v>
      </c>
      <c r="E1637" t="str">
        <f>VLOOKUP(J1637,Location[],3,FALSE)</f>
        <v> North Carolina</v>
      </c>
      <c r="F1637" t="str">
        <f>VLOOKUP(K1637,Dept[],2,FALSE)</f>
        <v>Sales</v>
      </c>
      <c r="G1637" s="11">
        <f t="shared" si="25"/>
        <v>40969</v>
      </c>
      <c r="H1637" t="str">
        <f>VLOOKUP(N1637,Status[],2,FALSE)</f>
        <v>Full-Time</v>
      </c>
      <c r="J1637" s="7">
        <v>1068</v>
      </c>
      <c r="K1637">
        <v>22</v>
      </c>
      <c r="L1637">
        <v>2012</v>
      </c>
      <c r="M1637">
        <v>3</v>
      </c>
      <c r="N1637">
        <v>1</v>
      </c>
    </row>
    <row r="1638" spans="1:14" x14ac:dyDescent="0.25">
      <c r="A1638" t="s">
        <v>3863</v>
      </c>
      <c r="B1638" t="s">
        <v>175</v>
      </c>
      <c r="C1638" t="s">
        <v>176</v>
      </c>
      <c r="D1638" t="str">
        <f>VLOOKUP(J1638,Location[],2,FALSE)</f>
        <v>New York City</v>
      </c>
      <c r="E1638" t="str">
        <f>VLOOKUP(J1638,Location[],3,FALSE)</f>
        <v> New York</v>
      </c>
      <c r="F1638" t="str">
        <f>VLOOKUP(K1638,Dept[],2,FALSE)</f>
        <v>Customer Support</v>
      </c>
      <c r="G1638" s="11">
        <f t="shared" si="25"/>
        <v>44743</v>
      </c>
      <c r="H1638" t="str">
        <f>VLOOKUP(N1638,Status[],2,FALSE)</f>
        <v>Full-Time</v>
      </c>
      <c r="J1638" s="7">
        <v>1001</v>
      </c>
      <c r="K1638">
        <v>14</v>
      </c>
      <c r="L1638">
        <v>2022</v>
      </c>
      <c r="M1638">
        <v>7</v>
      </c>
      <c r="N1638">
        <v>1</v>
      </c>
    </row>
    <row r="1639" spans="1:14" x14ac:dyDescent="0.25">
      <c r="A1639" t="s">
        <v>3864</v>
      </c>
      <c r="B1639" t="s">
        <v>980</v>
      </c>
      <c r="C1639" t="s">
        <v>96</v>
      </c>
      <c r="D1639" t="str">
        <f>VLOOKUP(J1639,Location[],2,FALSE)</f>
        <v>Albuquerque</v>
      </c>
      <c r="E1639" t="str">
        <f>VLOOKUP(J1639,Location[],3,FALSE)</f>
        <v> New Mexico</v>
      </c>
      <c r="F1639" t="str">
        <f>VLOOKUP(K1639,Dept[],2,FALSE)</f>
        <v>Finance</v>
      </c>
      <c r="G1639" s="11">
        <f t="shared" si="25"/>
        <v>41122</v>
      </c>
      <c r="H1639" t="str">
        <f>VLOOKUP(N1639,Status[],2,FALSE)</f>
        <v>Full-Time</v>
      </c>
      <c r="J1639" s="7">
        <v>1032</v>
      </c>
      <c r="K1639">
        <v>15</v>
      </c>
      <c r="L1639">
        <v>2012</v>
      </c>
      <c r="M1639">
        <v>8</v>
      </c>
      <c r="N1639">
        <v>1</v>
      </c>
    </row>
    <row r="1640" spans="1:14" x14ac:dyDescent="0.25">
      <c r="A1640" t="s">
        <v>3865</v>
      </c>
      <c r="B1640" t="s">
        <v>95</v>
      </c>
      <c r="C1640" t="s">
        <v>96</v>
      </c>
      <c r="D1640" t="str">
        <f>VLOOKUP(J1640,Location[],2,FALSE)</f>
        <v>Anaheim</v>
      </c>
      <c r="E1640" t="str">
        <f>VLOOKUP(J1640,Location[],3,FALSE)</f>
        <v> California</v>
      </c>
      <c r="F1640" t="str">
        <f>VLOOKUP(K1640,Dept[],2,FALSE)</f>
        <v>Customer Support</v>
      </c>
      <c r="G1640" s="11">
        <f t="shared" si="25"/>
        <v>44075</v>
      </c>
      <c r="H1640" t="str">
        <f>VLOOKUP(N1640,Status[],2,FALSE)</f>
        <v>Full-Time</v>
      </c>
      <c r="J1640" s="7">
        <v>1055</v>
      </c>
      <c r="K1640">
        <v>14</v>
      </c>
      <c r="L1640">
        <v>2020</v>
      </c>
      <c r="M1640">
        <v>9</v>
      </c>
      <c r="N1640">
        <v>1</v>
      </c>
    </row>
    <row r="1641" spans="1:14" x14ac:dyDescent="0.25">
      <c r="A1641" t="s">
        <v>3866</v>
      </c>
      <c r="B1641" t="s">
        <v>27</v>
      </c>
      <c r="C1641" t="s">
        <v>96</v>
      </c>
      <c r="D1641" t="str">
        <f>VLOOKUP(J1641,Location[],2,FALSE)</f>
        <v>Louisville</v>
      </c>
      <c r="E1641" t="str">
        <f>VLOOKUP(J1641,Location[],3,FALSE)</f>
        <v> Kentucky</v>
      </c>
      <c r="F1641" t="str">
        <f>VLOOKUP(K1641,Dept[],2,FALSE)</f>
        <v>Finance</v>
      </c>
      <c r="G1641" s="11">
        <f t="shared" si="25"/>
        <v>41974</v>
      </c>
      <c r="H1641" t="str">
        <f>VLOOKUP(N1641,Status[],2,FALSE)</f>
        <v>Full-Time</v>
      </c>
      <c r="J1641" s="7">
        <v>1029</v>
      </c>
      <c r="K1641">
        <v>15</v>
      </c>
      <c r="L1641">
        <v>2014</v>
      </c>
      <c r="M1641">
        <v>12</v>
      </c>
      <c r="N1641">
        <v>1</v>
      </c>
    </row>
    <row r="1642" spans="1:14" x14ac:dyDescent="0.25">
      <c r="A1642" t="s">
        <v>3867</v>
      </c>
      <c r="B1642" t="s">
        <v>108</v>
      </c>
      <c r="C1642" t="s">
        <v>96</v>
      </c>
      <c r="D1642" t="str">
        <f>VLOOKUP(J1642,Location[],2,FALSE)</f>
        <v>Jacksonville</v>
      </c>
      <c r="E1642" t="str">
        <f>VLOOKUP(J1642,Location[],3,FALSE)</f>
        <v> Florida</v>
      </c>
      <c r="F1642" t="str">
        <f>VLOOKUP(K1642,Dept[],2,FALSE)</f>
        <v>Marketing</v>
      </c>
      <c r="G1642" s="11">
        <f t="shared" si="25"/>
        <v>43952</v>
      </c>
      <c r="H1642" t="str">
        <f>VLOOKUP(N1642,Status[],2,FALSE)</f>
        <v>Full-Time</v>
      </c>
      <c r="J1642" s="7">
        <v>1012</v>
      </c>
      <c r="K1642">
        <v>19</v>
      </c>
      <c r="L1642">
        <v>2020</v>
      </c>
      <c r="M1642">
        <v>5</v>
      </c>
      <c r="N1642">
        <v>1</v>
      </c>
    </row>
    <row r="1643" spans="1:14" x14ac:dyDescent="0.25">
      <c r="A1643" t="s">
        <v>3868</v>
      </c>
      <c r="B1643" t="s">
        <v>575</v>
      </c>
      <c r="C1643" t="s">
        <v>576</v>
      </c>
      <c r="D1643" t="str">
        <f>VLOOKUP(J1643,Location[],2,FALSE)</f>
        <v>Newark</v>
      </c>
      <c r="E1643" t="str">
        <f>VLOOKUP(J1643,Location[],3,FALSE)</f>
        <v> New Jersey</v>
      </c>
      <c r="F1643" t="str">
        <f>VLOOKUP(K1643,Dept[],2,FALSE)</f>
        <v>Marketing</v>
      </c>
      <c r="G1643" s="11">
        <f t="shared" si="25"/>
        <v>43800</v>
      </c>
      <c r="H1643" t="str">
        <f>VLOOKUP(N1643,Status[],2,FALSE)</f>
        <v>Full-Time</v>
      </c>
      <c r="J1643" s="7">
        <v>1070</v>
      </c>
      <c r="K1643">
        <v>19</v>
      </c>
      <c r="L1643">
        <v>2019</v>
      </c>
      <c r="M1643">
        <v>12</v>
      </c>
      <c r="N1643">
        <v>1</v>
      </c>
    </row>
    <row r="1644" spans="1:14" x14ac:dyDescent="0.25">
      <c r="A1644" t="s">
        <v>3869</v>
      </c>
      <c r="B1644" t="s">
        <v>1498</v>
      </c>
      <c r="C1644" t="s">
        <v>67</v>
      </c>
      <c r="D1644" t="str">
        <f>VLOOKUP(J1644,Location[],2,FALSE)</f>
        <v>Detroit</v>
      </c>
      <c r="E1644" t="str">
        <f>VLOOKUP(J1644,Location[],3,FALSE)</f>
        <v> Michigan</v>
      </c>
      <c r="F1644" t="str">
        <f>VLOOKUP(K1644,Dept[],2,FALSE)</f>
        <v>Accounting</v>
      </c>
      <c r="G1644" s="11">
        <f t="shared" si="25"/>
        <v>41791</v>
      </c>
      <c r="H1644" t="str">
        <f>VLOOKUP(N1644,Status[],2,FALSE)</f>
        <v>Full-Time</v>
      </c>
      <c r="J1644" s="7">
        <v>1023</v>
      </c>
      <c r="K1644">
        <v>11</v>
      </c>
      <c r="L1644">
        <v>2014</v>
      </c>
      <c r="M1644">
        <v>6</v>
      </c>
      <c r="N1644">
        <v>1</v>
      </c>
    </row>
    <row r="1645" spans="1:14" x14ac:dyDescent="0.25">
      <c r="A1645" t="s">
        <v>3870</v>
      </c>
      <c r="B1645" t="s">
        <v>973</v>
      </c>
      <c r="C1645" t="s">
        <v>52</v>
      </c>
      <c r="D1645" t="str">
        <f>VLOOKUP(J1645,Location[],2,FALSE)</f>
        <v>Fort Wayne</v>
      </c>
      <c r="E1645" t="str">
        <f>VLOOKUP(J1645,Location[],3,FALSE)</f>
        <v> Indiana</v>
      </c>
      <c r="F1645" t="str">
        <f>VLOOKUP(K1645,Dept[],2,FALSE)</f>
        <v>Media</v>
      </c>
      <c r="G1645" s="11">
        <f t="shared" si="25"/>
        <v>44866</v>
      </c>
      <c r="H1645" t="str">
        <f>VLOOKUP(N1645,Status[],2,FALSE)</f>
        <v>Part-Time</v>
      </c>
      <c r="J1645" s="7">
        <v>1078</v>
      </c>
      <c r="K1645">
        <v>20</v>
      </c>
      <c r="L1645">
        <v>2022</v>
      </c>
      <c r="M1645">
        <v>11</v>
      </c>
      <c r="N1645">
        <v>0</v>
      </c>
    </row>
    <row r="1646" spans="1:14" x14ac:dyDescent="0.25">
      <c r="A1646" t="s">
        <v>3871</v>
      </c>
      <c r="B1646" t="s">
        <v>51</v>
      </c>
      <c r="C1646" t="s">
        <v>52</v>
      </c>
      <c r="D1646" t="str">
        <f>VLOOKUP(J1646,Location[],2,FALSE)</f>
        <v>Baltimore</v>
      </c>
      <c r="E1646" t="str">
        <f>VLOOKUP(J1646,Location[],3,FALSE)</f>
        <v> Maryland</v>
      </c>
      <c r="F1646" t="str">
        <f>VLOOKUP(K1646,Dept[],2,FALSE)</f>
        <v>Administration</v>
      </c>
      <c r="G1646" s="11">
        <f t="shared" si="25"/>
        <v>42125</v>
      </c>
      <c r="H1646" t="str">
        <f>VLOOKUP(N1646,Status[],2,FALSE)</f>
        <v>Full-Time</v>
      </c>
      <c r="J1646" s="7">
        <v>1030</v>
      </c>
      <c r="K1646">
        <v>12</v>
      </c>
      <c r="L1646">
        <v>2015</v>
      </c>
      <c r="M1646">
        <v>5</v>
      </c>
      <c r="N1646">
        <v>1</v>
      </c>
    </row>
    <row r="1647" spans="1:14" x14ac:dyDescent="0.25">
      <c r="A1647" t="s">
        <v>3872</v>
      </c>
      <c r="B1647" t="s">
        <v>83</v>
      </c>
      <c r="C1647" t="s">
        <v>52</v>
      </c>
      <c r="D1647" t="str">
        <f>VLOOKUP(J1647,Location[],2,FALSE)</f>
        <v>Las Vegas</v>
      </c>
      <c r="E1647" t="str">
        <f>VLOOKUP(J1647,Location[],3,FALSE)</f>
        <v> Nevada</v>
      </c>
      <c r="F1647" t="str">
        <f>VLOOKUP(K1647,Dept[],2,FALSE)</f>
        <v>Human Resources</v>
      </c>
      <c r="G1647" s="11">
        <f t="shared" si="25"/>
        <v>44835</v>
      </c>
      <c r="H1647" t="str">
        <f>VLOOKUP(N1647,Status[],2,FALSE)</f>
        <v>Full-Time</v>
      </c>
      <c r="J1647" s="7">
        <v>1028</v>
      </c>
      <c r="K1647">
        <v>16</v>
      </c>
      <c r="L1647">
        <v>2022</v>
      </c>
      <c r="M1647">
        <v>10</v>
      </c>
      <c r="N1647">
        <v>1</v>
      </c>
    </row>
    <row r="1648" spans="1:14" x14ac:dyDescent="0.25">
      <c r="A1648" t="s">
        <v>3873</v>
      </c>
      <c r="B1648" t="s">
        <v>466</v>
      </c>
      <c r="C1648" t="s">
        <v>52</v>
      </c>
      <c r="D1648" t="str">
        <f>VLOOKUP(J1648,Location[],2,FALSE)</f>
        <v>Los Angeles</v>
      </c>
      <c r="E1648" t="str">
        <f>VLOOKUP(J1648,Location[],3,FALSE)</f>
        <v> California</v>
      </c>
      <c r="F1648" t="str">
        <f>VLOOKUP(K1648,Dept[],2,FALSE)</f>
        <v>Sales</v>
      </c>
      <c r="G1648" s="11">
        <f t="shared" si="25"/>
        <v>42675</v>
      </c>
      <c r="H1648" t="str">
        <f>VLOOKUP(N1648,Status[],2,FALSE)</f>
        <v>Full-Time</v>
      </c>
      <c r="J1648" s="7">
        <v>1002</v>
      </c>
      <c r="K1648">
        <v>22</v>
      </c>
      <c r="L1648">
        <v>2016</v>
      </c>
      <c r="M1648">
        <v>11</v>
      </c>
      <c r="N1648">
        <v>1</v>
      </c>
    </row>
    <row r="1649" spans="1:14" x14ac:dyDescent="0.25">
      <c r="A1649" t="s">
        <v>3874</v>
      </c>
      <c r="B1649" t="s">
        <v>768</v>
      </c>
      <c r="C1649" t="s">
        <v>769</v>
      </c>
      <c r="D1649" t="str">
        <f>VLOOKUP(J1649,Location[],2,FALSE)</f>
        <v>Los Angeles</v>
      </c>
      <c r="E1649" t="str">
        <f>VLOOKUP(J1649,Location[],3,FALSE)</f>
        <v> California</v>
      </c>
      <c r="F1649" t="str">
        <f>VLOOKUP(K1649,Dept[],2,FALSE)</f>
        <v>Administration</v>
      </c>
      <c r="G1649" s="11">
        <f t="shared" si="25"/>
        <v>44562</v>
      </c>
      <c r="H1649" t="str">
        <f>VLOOKUP(N1649,Status[],2,FALSE)</f>
        <v>Full-Time</v>
      </c>
      <c r="J1649" s="7">
        <v>1002</v>
      </c>
      <c r="K1649">
        <v>12</v>
      </c>
      <c r="L1649">
        <v>2022</v>
      </c>
      <c r="M1649">
        <v>1</v>
      </c>
      <c r="N1649">
        <v>1</v>
      </c>
    </row>
    <row r="1650" spans="1:14" x14ac:dyDescent="0.25">
      <c r="A1650" t="s">
        <v>3875</v>
      </c>
      <c r="B1650" t="s">
        <v>1362</v>
      </c>
      <c r="C1650" t="s">
        <v>769</v>
      </c>
      <c r="D1650" t="str">
        <f>VLOOKUP(J1650,Location[],2,FALSE)</f>
        <v>New York City</v>
      </c>
      <c r="E1650" t="str">
        <f>VLOOKUP(J1650,Location[],3,FALSE)</f>
        <v> New York</v>
      </c>
      <c r="F1650" t="str">
        <f>VLOOKUP(K1650,Dept[],2,FALSE)</f>
        <v>Assessment</v>
      </c>
      <c r="G1650" s="11">
        <f t="shared" si="25"/>
        <v>41883</v>
      </c>
      <c r="H1650" t="str">
        <f>VLOOKUP(N1650,Status[],2,FALSE)</f>
        <v>Full-Time</v>
      </c>
      <c r="J1650" s="7">
        <v>1001</v>
      </c>
      <c r="K1650">
        <v>13</v>
      </c>
      <c r="L1650">
        <v>2014</v>
      </c>
      <c r="M1650">
        <v>9</v>
      </c>
      <c r="N1650">
        <v>1</v>
      </c>
    </row>
    <row r="1651" spans="1:14" x14ac:dyDescent="0.25">
      <c r="A1651" t="s">
        <v>3876</v>
      </c>
      <c r="B1651" t="s">
        <v>790</v>
      </c>
      <c r="C1651" t="s">
        <v>1287</v>
      </c>
      <c r="D1651" t="str">
        <f>VLOOKUP(J1651,Location[],2,FALSE)</f>
        <v>Phoenix</v>
      </c>
      <c r="E1651" t="str">
        <f>VLOOKUP(J1651,Location[],3,FALSE)</f>
        <v> Arizona</v>
      </c>
      <c r="F1651" t="str">
        <f>VLOOKUP(K1651,Dept[],2,FALSE)</f>
        <v>Administration</v>
      </c>
      <c r="G1651" s="11">
        <f t="shared" si="25"/>
        <v>44409</v>
      </c>
      <c r="H1651" t="str">
        <f>VLOOKUP(N1651,Status[],2,FALSE)</f>
        <v>Full-Time</v>
      </c>
      <c r="J1651" s="7">
        <v>1005</v>
      </c>
      <c r="K1651">
        <v>12</v>
      </c>
      <c r="L1651">
        <v>2021</v>
      </c>
      <c r="M1651">
        <v>8</v>
      </c>
      <c r="N1651">
        <v>1</v>
      </c>
    </row>
    <row r="1652" spans="1:14" x14ac:dyDescent="0.25">
      <c r="A1652" t="s">
        <v>3877</v>
      </c>
      <c r="B1652" t="s">
        <v>747</v>
      </c>
      <c r="C1652" t="s">
        <v>996</v>
      </c>
      <c r="D1652" t="str">
        <f>VLOOKUP(J1652,Location[],2,FALSE)</f>
        <v>St. Petersburg</v>
      </c>
      <c r="E1652" t="str">
        <f>VLOOKUP(J1652,Location[],3,FALSE)</f>
        <v> Florida</v>
      </c>
      <c r="F1652" t="str">
        <f>VLOOKUP(K1652,Dept[],2,FALSE)</f>
        <v>Administration</v>
      </c>
      <c r="G1652" s="11">
        <f t="shared" si="25"/>
        <v>41974</v>
      </c>
      <c r="H1652" t="str">
        <f>VLOOKUP(N1652,Status[],2,FALSE)</f>
        <v>Full-Time</v>
      </c>
      <c r="J1652" s="7">
        <v>1079</v>
      </c>
      <c r="K1652">
        <v>12</v>
      </c>
      <c r="L1652">
        <v>2014</v>
      </c>
      <c r="M1652">
        <v>12</v>
      </c>
      <c r="N1652">
        <v>1</v>
      </c>
    </row>
    <row r="1653" spans="1:14" x14ac:dyDescent="0.25">
      <c r="A1653" t="s">
        <v>3878</v>
      </c>
      <c r="B1653" t="s">
        <v>253</v>
      </c>
      <c r="C1653" t="s">
        <v>996</v>
      </c>
      <c r="D1653" t="str">
        <f>VLOOKUP(J1653,Location[],2,FALSE)</f>
        <v>El Paso</v>
      </c>
      <c r="E1653" t="str">
        <f>VLOOKUP(J1653,Location[],3,FALSE)</f>
        <v> Texas</v>
      </c>
      <c r="F1653" t="str">
        <f>VLOOKUP(K1653,Dept[],2,FALSE)</f>
        <v>Customer Support</v>
      </c>
      <c r="G1653" s="11">
        <f t="shared" si="25"/>
        <v>42856</v>
      </c>
      <c r="H1653" t="str">
        <f>VLOOKUP(N1653,Status[],2,FALSE)</f>
        <v>Part-Time</v>
      </c>
      <c r="J1653" s="7">
        <v>1022</v>
      </c>
      <c r="K1653">
        <v>14</v>
      </c>
      <c r="L1653">
        <v>2017</v>
      </c>
      <c r="M1653">
        <v>5</v>
      </c>
      <c r="N1653">
        <v>0</v>
      </c>
    </row>
    <row r="1654" spans="1:14" x14ac:dyDescent="0.25">
      <c r="A1654" t="s">
        <v>3879</v>
      </c>
      <c r="B1654" t="s">
        <v>270</v>
      </c>
      <c r="C1654" t="s">
        <v>1395</v>
      </c>
      <c r="D1654" t="str">
        <f>VLOOKUP(J1654,Location[],2,FALSE)</f>
        <v>San Jose</v>
      </c>
      <c r="E1654" t="str">
        <f>VLOOKUP(J1654,Location[],3,FALSE)</f>
        <v> California</v>
      </c>
      <c r="F1654" t="str">
        <f>VLOOKUP(K1654,Dept[],2,FALSE)</f>
        <v>Legal</v>
      </c>
      <c r="G1654" s="11">
        <f t="shared" si="25"/>
        <v>42036</v>
      </c>
      <c r="H1654" t="str">
        <f>VLOOKUP(N1654,Status[],2,FALSE)</f>
        <v>Full-Time</v>
      </c>
      <c r="J1654" s="7">
        <v>1010</v>
      </c>
      <c r="K1654">
        <v>18</v>
      </c>
      <c r="L1654">
        <v>2015</v>
      </c>
      <c r="M1654">
        <v>2</v>
      </c>
      <c r="N1654">
        <v>1</v>
      </c>
    </row>
    <row r="1655" spans="1:14" x14ac:dyDescent="0.25">
      <c r="A1655" t="s">
        <v>3880</v>
      </c>
      <c r="B1655" t="s">
        <v>131</v>
      </c>
      <c r="C1655" t="s">
        <v>132</v>
      </c>
      <c r="D1655" t="str">
        <f>VLOOKUP(J1655,Location[],2,FALSE)</f>
        <v>Laredo</v>
      </c>
      <c r="E1655" t="str">
        <f>VLOOKUP(J1655,Location[],3,FALSE)</f>
        <v> Texas</v>
      </c>
      <c r="F1655" t="str">
        <f>VLOOKUP(K1655,Dept[],2,FALSE)</f>
        <v>Shipping</v>
      </c>
      <c r="G1655" s="11">
        <f t="shared" si="25"/>
        <v>41275</v>
      </c>
      <c r="H1655" t="str">
        <f>VLOOKUP(N1655,Status[],2,FALSE)</f>
        <v>Full-Time</v>
      </c>
      <c r="J1655" s="7">
        <v>1080</v>
      </c>
      <c r="K1655">
        <v>23</v>
      </c>
      <c r="L1655">
        <v>2013</v>
      </c>
      <c r="M1655">
        <v>1</v>
      </c>
      <c r="N1655">
        <v>1</v>
      </c>
    </row>
    <row r="1656" spans="1:14" x14ac:dyDescent="0.25">
      <c r="A1656" t="s">
        <v>3881</v>
      </c>
      <c r="B1656" t="s">
        <v>23</v>
      </c>
      <c r="C1656" t="s">
        <v>24</v>
      </c>
      <c r="D1656" t="str">
        <f>VLOOKUP(J1656,Location[],2,FALSE)</f>
        <v>Chicago</v>
      </c>
      <c r="E1656" t="str">
        <f>VLOOKUP(J1656,Location[],3,FALSE)</f>
        <v> Illinois</v>
      </c>
      <c r="F1656" t="str">
        <f>VLOOKUP(K1656,Dept[],2,FALSE)</f>
        <v>Finance</v>
      </c>
      <c r="G1656" s="11">
        <f t="shared" si="25"/>
        <v>42948</v>
      </c>
      <c r="H1656" t="str">
        <f>VLOOKUP(N1656,Status[],2,FALSE)</f>
        <v>Full-Time</v>
      </c>
      <c r="J1656" s="7">
        <v>1003</v>
      </c>
      <c r="K1656">
        <v>15</v>
      </c>
      <c r="L1656">
        <v>2017</v>
      </c>
      <c r="M1656">
        <v>8</v>
      </c>
      <c r="N1656">
        <v>1</v>
      </c>
    </row>
    <row r="1657" spans="1:14" x14ac:dyDescent="0.25">
      <c r="A1657" t="s">
        <v>2454</v>
      </c>
      <c r="B1657" t="s">
        <v>47</v>
      </c>
      <c r="C1657" t="s">
        <v>228</v>
      </c>
      <c r="D1657" t="str">
        <f>VLOOKUP(J1657,Location[],2,FALSE)</f>
        <v>Chandler</v>
      </c>
      <c r="E1657" t="str">
        <f>VLOOKUP(J1657,Location[],3,FALSE)</f>
        <v> Arizona</v>
      </c>
      <c r="F1657" t="str">
        <f>VLOOKUP(K1657,Dept[],2,FALSE)</f>
        <v>Marketing</v>
      </c>
      <c r="G1657" s="11">
        <f t="shared" si="25"/>
        <v>42917</v>
      </c>
      <c r="H1657" t="str">
        <f>VLOOKUP(N1657,Status[],2,FALSE)</f>
        <v>Full-Time</v>
      </c>
      <c r="J1657" s="7">
        <v>1084</v>
      </c>
      <c r="K1657">
        <v>19</v>
      </c>
      <c r="L1657">
        <v>2017</v>
      </c>
      <c r="M1657">
        <v>7</v>
      </c>
      <c r="N1657">
        <v>1</v>
      </c>
    </row>
    <row r="1658" spans="1:14" x14ac:dyDescent="0.25">
      <c r="A1658" t="s">
        <v>3882</v>
      </c>
      <c r="B1658" t="s">
        <v>77</v>
      </c>
      <c r="C1658" t="s">
        <v>78</v>
      </c>
      <c r="D1658" t="str">
        <f>VLOOKUP(J1658,Location[],2,FALSE)</f>
        <v>Memphis</v>
      </c>
      <c r="E1658" t="str">
        <f>VLOOKUP(J1658,Location[],3,FALSE)</f>
        <v> Tennessee</v>
      </c>
      <c r="F1658" t="str">
        <f>VLOOKUP(K1658,Dept[],2,FALSE)</f>
        <v>IT</v>
      </c>
      <c r="G1658" s="11">
        <f t="shared" si="25"/>
        <v>42430</v>
      </c>
      <c r="H1658" t="str">
        <f>VLOOKUP(N1658,Status[],2,FALSE)</f>
        <v>Full-Time</v>
      </c>
      <c r="J1658" s="7">
        <v>1025</v>
      </c>
      <c r="K1658">
        <v>17</v>
      </c>
      <c r="L1658">
        <v>2016</v>
      </c>
      <c r="M1658">
        <v>3</v>
      </c>
      <c r="N1658">
        <v>1</v>
      </c>
    </row>
    <row r="1659" spans="1:14" x14ac:dyDescent="0.25">
      <c r="A1659" t="s">
        <v>3883</v>
      </c>
      <c r="B1659" t="s">
        <v>250</v>
      </c>
      <c r="C1659" t="s">
        <v>2079</v>
      </c>
      <c r="D1659" t="str">
        <f>VLOOKUP(J1659,Location[],2,FALSE)</f>
        <v>Chicago</v>
      </c>
      <c r="E1659" t="str">
        <f>VLOOKUP(J1659,Location[],3,FALSE)</f>
        <v> Illinois</v>
      </c>
      <c r="F1659" t="str">
        <f>VLOOKUP(K1659,Dept[],2,FALSE)</f>
        <v>IT</v>
      </c>
      <c r="G1659" s="11">
        <f t="shared" si="25"/>
        <v>42522</v>
      </c>
      <c r="H1659" t="str">
        <f>VLOOKUP(N1659,Status[],2,FALSE)</f>
        <v>Full-Time</v>
      </c>
      <c r="J1659" s="7">
        <v>1003</v>
      </c>
      <c r="K1659">
        <v>17</v>
      </c>
      <c r="L1659">
        <v>2016</v>
      </c>
      <c r="M1659">
        <v>6</v>
      </c>
      <c r="N1659">
        <v>1</v>
      </c>
    </row>
    <row r="1660" spans="1:14" x14ac:dyDescent="0.25">
      <c r="A1660" t="s">
        <v>3884</v>
      </c>
      <c r="B1660" t="s">
        <v>337</v>
      </c>
      <c r="C1660" t="s">
        <v>555</v>
      </c>
      <c r="D1660" t="str">
        <f>VLOOKUP(J1660,Location[],2,FALSE)</f>
        <v>Los Angeles</v>
      </c>
      <c r="E1660" t="str">
        <f>VLOOKUP(J1660,Location[],3,FALSE)</f>
        <v> California</v>
      </c>
      <c r="F1660" t="str">
        <f>VLOOKUP(K1660,Dept[],2,FALSE)</f>
        <v>Finance</v>
      </c>
      <c r="G1660" s="11">
        <f t="shared" si="25"/>
        <v>40575</v>
      </c>
      <c r="H1660" t="str">
        <f>VLOOKUP(N1660,Status[],2,FALSE)</f>
        <v>Full-Time</v>
      </c>
      <c r="J1660" s="7">
        <v>1002</v>
      </c>
      <c r="K1660">
        <v>15</v>
      </c>
      <c r="L1660">
        <v>2011</v>
      </c>
      <c r="M1660">
        <v>2</v>
      </c>
      <c r="N1660">
        <v>1</v>
      </c>
    </row>
    <row r="1661" spans="1:14" x14ac:dyDescent="0.25">
      <c r="A1661" t="s">
        <v>3885</v>
      </c>
      <c r="B1661" t="s">
        <v>313</v>
      </c>
      <c r="C1661" t="s">
        <v>1856</v>
      </c>
      <c r="D1661" t="str">
        <f>VLOOKUP(J1661,Location[],2,FALSE)</f>
        <v>Philadelphia</v>
      </c>
      <c r="E1661" t="str">
        <f>VLOOKUP(J1661,Location[],3,FALSE)</f>
        <v> Pennsylvania</v>
      </c>
      <c r="F1661" t="str">
        <f>VLOOKUP(K1661,Dept[],2,FALSE)</f>
        <v>Finance</v>
      </c>
      <c r="G1661" s="11">
        <f t="shared" si="25"/>
        <v>45139</v>
      </c>
      <c r="H1661" t="str">
        <f>VLOOKUP(N1661,Status[],2,FALSE)</f>
        <v>Full-Time</v>
      </c>
      <c r="J1661" s="7">
        <v>1006</v>
      </c>
      <c r="K1661">
        <v>15</v>
      </c>
      <c r="L1661">
        <v>2023</v>
      </c>
      <c r="M1661">
        <v>8</v>
      </c>
      <c r="N1661">
        <v>1</v>
      </c>
    </row>
    <row r="1662" spans="1:14" x14ac:dyDescent="0.25">
      <c r="A1662" t="s">
        <v>3886</v>
      </c>
      <c r="B1662" t="s">
        <v>749</v>
      </c>
      <c r="C1662" t="s">
        <v>750</v>
      </c>
      <c r="D1662" t="str">
        <f>VLOOKUP(J1662,Location[],2,FALSE)</f>
        <v>New York City</v>
      </c>
      <c r="E1662" t="str">
        <f>VLOOKUP(J1662,Location[],3,FALSE)</f>
        <v> New York</v>
      </c>
      <c r="F1662" t="str">
        <f>VLOOKUP(K1662,Dept[],2,FALSE)</f>
        <v>Marketing</v>
      </c>
      <c r="G1662" s="11">
        <f t="shared" si="25"/>
        <v>44440</v>
      </c>
      <c r="H1662" t="str">
        <f>VLOOKUP(N1662,Status[],2,FALSE)</f>
        <v>Full-Time</v>
      </c>
      <c r="J1662" s="7">
        <v>1001</v>
      </c>
      <c r="K1662">
        <v>19</v>
      </c>
      <c r="L1662">
        <v>2021</v>
      </c>
      <c r="M1662">
        <v>9</v>
      </c>
      <c r="N1662">
        <v>1</v>
      </c>
    </row>
    <row r="1663" spans="1:14" x14ac:dyDescent="0.25">
      <c r="A1663" t="s">
        <v>3887</v>
      </c>
      <c r="B1663" t="s">
        <v>77</v>
      </c>
      <c r="C1663" t="s">
        <v>1073</v>
      </c>
      <c r="D1663" t="str">
        <f>VLOOKUP(J1663,Location[],2,FALSE)</f>
        <v>San Antonio</v>
      </c>
      <c r="E1663" t="str">
        <f>VLOOKUP(J1663,Location[],3,FALSE)</f>
        <v> Texas</v>
      </c>
      <c r="F1663" t="str">
        <f>VLOOKUP(K1663,Dept[],2,FALSE)</f>
        <v>Assessment</v>
      </c>
      <c r="G1663" s="11">
        <f t="shared" si="25"/>
        <v>43862</v>
      </c>
      <c r="H1663" t="str">
        <f>VLOOKUP(N1663,Status[],2,FALSE)</f>
        <v>Full-Time</v>
      </c>
      <c r="J1663" s="7">
        <v>1007</v>
      </c>
      <c r="K1663">
        <v>13</v>
      </c>
      <c r="L1663">
        <v>2020</v>
      </c>
      <c r="M1663">
        <v>2</v>
      </c>
      <c r="N1663">
        <v>1</v>
      </c>
    </row>
    <row r="1664" spans="1:14" x14ac:dyDescent="0.25">
      <c r="A1664" t="s">
        <v>3888</v>
      </c>
      <c r="B1664" t="s">
        <v>1797</v>
      </c>
      <c r="C1664" t="s">
        <v>320</v>
      </c>
      <c r="D1664" t="str">
        <f>VLOOKUP(J1664,Location[],2,FALSE)</f>
        <v>Los Angeles</v>
      </c>
      <c r="E1664" t="str">
        <f>VLOOKUP(J1664,Location[],3,FALSE)</f>
        <v> California</v>
      </c>
      <c r="F1664" t="str">
        <f>VLOOKUP(K1664,Dept[],2,FALSE)</f>
        <v>Finance</v>
      </c>
      <c r="G1664" s="11">
        <f t="shared" si="25"/>
        <v>44317</v>
      </c>
      <c r="H1664" t="str">
        <f>VLOOKUP(N1664,Status[],2,FALSE)</f>
        <v>Full-Time</v>
      </c>
      <c r="J1664" s="7">
        <v>1002</v>
      </c>
      <c r="K1664">
        <v>15</v>
      </c>
      <c r="L1664">
        <v>2021</v>
      </c>
      <c r="M1664">
        <v>5</v>
      </c>
      <c r="N1664">
        <v>1</v>
      </c>
    </row>
    <row r="1665" spans="1:14" x14ac:dyDescent="0.25">
      <c r="A1665" t="s">
        <v>3889</v>
      </c>
      <c r="B1665" t="s">
        <v>319</v>
      </c>
      <c r="C1665" t="s">
        <v>320</v>
      </c>
      <c r="D1665" t="str">
        <f>VLOOKUP(J1665,Location[],2,FALSE)</f>
        <v>Dallas</v>
      </c>
      <c r="E1665" t="str">
        <f>VLOOKUP(J1665,Location[],3,FALSE)</f>
        <v> Texas</v>
      </c>
      <c r="F1665" t="str">
        <f>VLOOKUP(K1665,Dept[],2,FALSE)</f>
        <v>Accounting</v>
      </c>
      <c r="G1665" s="11">
        <f t="shared" si="25"/>
        <v>43770</v>
      </c>
      <c r="H1665" t="str">
        <f>VLOOKUP(N1665,Status[],2,FALSE)</f>
        <v>Full-Time</v>
      </c>
      <c r="J1665" s="7">
        <v>1009</v>
      </c>
      <c r="K1665">
        <v>11</v>
      </c>
      <c r="L1665">
        <v>2019</v>
      </c>
      <c r="M1665">
        <v>11</v>
      </c>
      <c r="N1665">
        <v>1</v>
      </c>
    </row>
    <row r="1666" spans="1:14" x14ac:dyDescent="0.25">
      <c r="A1666" t="s">
        <v>3890</v>
      </c>
      <c r="B1666" t="s">
        <v>1830</v>
      </c>
      <c r="C1666" t="s">
        <v>1831</v>
      </c>
      <c r="D1666" t="str">
        <f>VLOOKUP(J1666,Location[],2,FALSE)</f>
        <v>Washington, D.C.</v>
      </c>
      <c r="E1666" t="str">
        <f>VLOOKUP(J1666,Location[],3,FALSE)</f>
        <v> District of Columbia</v>
      </c>
      <c r="F1666" t="str">
        <f>VLOOKUP(K1666,Dept[],2,FALSE)</f>
        <v>Media</v>
      </c>
      <c r="G1666" s="11">
        <f t="shared" si="25"/>
        <v>42005</v>
      </c>
      <c r="H1666" t="str">
        <f>VLOOKUP(N1666,Status[],2,FALSE)</f>
        <v>Full-Time</v>
      </c>
      <c r="J1666" s="7">
        <v>1020</v>
      </c>
      <c r="K1666">
        <v>20</v>
      </c>
      <c r="L1666">
        <v>2015</v>
      </c>
      <c r="M1666">
        <v>1</v>
      </c>
      <c r="N1666">
        <v>1</v>
      </c>
    </row>
    <row r="1667" spans="1:14" x14ac:dyDescent="0.25">
      <c r="A1667" t="s">
        <v>3891</v>
      </c>
      <c r="B1667" t="s">
        <v>1112</v>
      </c>
      <c r="C1667" t="s">
        <v>850</v>
      </c>
      <c r="D1667" t="str">
        <f>VLOOKUP(J1667,Location[],2,FALSE)</f>
        <v>Portland</v>
      </c>
      <c r="E1667" t="str">
        <f>VLOOKUP(J1667,Location[],3,FALSE)</f>
        <v> Oregon</v>
      </c>
      <c r="F1667" t="str">
        <f>VLOOKUP(K1667,Dept[],2,FALSE)</f>
        <v>Assessment</v>
      </c>
      <c r="G1667" s="11">
        <f t="shared" si="25"/>
        <v>43922</v>
      </c>
      <c r="H1667" t="str">
        <f>VLOOKUP(N1667,Status[],2,FALSE)</f>
        <v>Part-Time</v>
      </c>
      <c r="J1667" s="7">
        <v>1026</v>
      </c>
      <c r="K1667">
        <v>13</v>
      </c>
      <c r="L1667">
        <v>2020</v>
      </c>
      <c r="M1667">
        <v>4</v>
      </c>
      <c r="N1667">
        <v>0</v>
      </c>
    </row>
    <row r="1668" spans="1:14" x14ac:dyDescent="0.25">
      <c r="A1668" t="s">
        <v>3892</v>
      </c>
      <c r="B1668" t="s">
        <v>766</v>
      </c>
      <c r="C1668" t="s">
        <v>850</v>
      </c>
      <c r="D1668" t="str">
        <f>VLOOKUP(J1668,Location[],2,FALSE)</f>
        <v>Austin</v>
      </c>
      <c r="E1668" t="str">
        <f>VLOOKUP(J1668,Location[],3,FALSE)</f>
        <v> Texas</v>
      </c>
      <c r="F1668" t="str">
        <f>VLOOKUP(K1668,Dept[],2,FALSE)</f>
        <v>Administration</v>
      </c>
      <c r="G1668" s="11">
        <f t="shared" si="25"/>
        <v>43678</v>
      </c>
      <c r="H1668" t="str">
        <f>VLOOKUP(N1668,Status[],2,FALSE)</f>
        <v>Part-Time</v>
      </c>
      <c r="J1668" s="7">
        <v>1011</v>
      </c>
      <c r="K1668">
        <v>12</v>
      </c>
      <c r="L1668">
        <v>2019</v>
      </c>
      <c r="M1668">
        <v>8</v>
      </c>
      <c r="N1668">
        <v>0</v>
      </c>
    </row>
    <row r="1669" spans="1:14" x14ac:dyDescent="0.25">
      <c r="A1669" t="s">
        <v>3893</v>
      </c>
      <c r="B1669" t="s">
        <v>941</v>
      </c>
      <c r="C1669" t="s">
        <v>850</v>
      </c>
      <c r="D1669" t="str">
        <f>VLOOKUP(J1669,Location[],2,FALSE)</f>
        <v>Dallas</v>
      </c>
      <c r="E1669" t="str">
        <f>VLOOKUP(J1669,Location[],3,FALSE)</f>
        <v> Texas</v>
      </c>
      <c r="F1669" t="str">
        <f>VLOOKUP(K1669,Dept[],2,FALSE)</f>
        <v>Human Resources</v>
      </c>
      <c r="G1669" s="11">
        <f t="shared" ref="G1669:G1732" si="26">DATE(L1669,M1669,1)</f>
        <v>43739</v>
      </c>
      <c r="H1669" t="str">
        <f>VLOOKUP(N1669,Status[],2,FALSE)</f>
        <v>Full-Time</v>
      </c>
      <c r="J1669" s="7">
        <v>1009</v>
      </c>
      <c r="K1669">
        <v>16</v>
      </c>
      <c r="L1669">
        <v>2019</v>
      </c>
      <c r="M1669">
        <v>10</v>
      </c>
      <c r="N1669">
        <v>1</v>
      </c>
    </row>
    <row r="1670" spans="1:14" x14ac:dyDescent="0.25">
      <c r="A1670" t="s">
        <v>3894</v>
      </c>
      <c r="B1670" t="s">
        <v>98</v>
      </c>
      <c r="C1670" t="s">
        <v>850</v>
      </c>
      <c r="D1670" t="str">
        <f>VLOOKUP(J1670,Location[],2,FALSE)</f>
        <v>Charlotte</v>
      </c>
      <c r="E1670" t="str">
        <f>VLOOKUP(J1670,Location[],3,FALSE)</f>
        <v> North Carolina</v>
      </c>
      <c r="F1670" t="str">
        <f>VLOOKUP(K1670,Dept[],2,FALSE)</f>
        <v>Assessment</v>
      </c>
      <c r="G1670" s="11">
        <f t="shared" si="26"/>
        <v>42644</v>
      </c>
      <c r="H1670" t="str">
        <f>VLOOKUP(N1670,Status[],2,FALSE)</f>
        <v>Full-Time</v>
      </c>
      <c r="J1670" s="7">
        <v>1017</v>
      </c>
      <c r="K1670">
        <v>13</v>
      </c>
      <c r="L1670">
        <v>2016</v>
      </c>
      <c r="M1670">
        <v>10</v>
      </c>
      <c r="N1670">
        <v>1</v>
      </c>
    </row>
    <row r="1671" spans="1:14" x14ac:dyDescent="0.25">
      <c r="A1671" t="s">
        <v>3895</v>
      </c>
      <c r="B1671" t="s">
        <v>1445</v>
      </c>
      <c r="C1671" t="s">
        <v>2025</v>
      </c>
      <c r="D1671" t="str">
        <f>VLOOKUP(J1671,Location[],2,FALSE)</f>
        <v>Boston</v>
      </c>
      <c r="E1671" t="str">
        <f>VLOOKUP(J1671,Location[],3,FALSE)</f>
        <v> Massachusetts</v>
      </c>
      <c r="F1671" t="str">
        <f>VLOOKUP(K1671,Dept[],2,FALSE)</f>
        <v>Customer Support</v>
      </c>
      <c r="G1671" s="11">
        <f t="shared" si="26"/>
        <v>42401</v>
      </c>
      <c r="H1671" t="str">
        <f>VLOOKUP(N1671,Status[],2,FALSE)</f>
        <v>Full-Time</v>
      </c>
      <c r="J1671" s="7">
        <v>1021</v>
      </c>
      <c r="K1671">
        <v>14</v>
      </c>
      <c r="L1671">
        <v>2016</v>
      </c>
      <c r="M1671">
        <v>2</v>
      </c>
      <c r="N1671">
        <v>1</v>
      </c>
    </row>
    <row r="1672" spans="1:14" x14ac:dyDescent="0.25">
      <c r="A1672" t="s">
        <v>3896</v>
      </c>
      <c r="B1672" t="s">
        <v>951</v>
      </c>
      <c r="C1672" t="s">
        <v>1527</v>
      </c>
      <c r="D1672" t="str">
        <f>VLOOKUP(J1672,Location[],2,FALSE)</f>
        <v>Glendale</v>
      </c>
      <c r="E1672" t="str">
        <f>VLOOKUP(J1672,Location[],3,FALSE)</f>
        <v> Arizona</v>
      </c>
      <c r="F1672" t="str">
        <f>VLOOKUP(K1672,Dept[],2,FALSE)</f>
        <v>Customer Support</v>
      </c>
      <c r="G1672" s="11">
        <f t="shared" si="26"/>
        <v>44348</v>
      </c>
      <c r="H1672" t="str">
        <f>VLOOKUP(N1672,Status[],2,FALSE)</f>
        <v>Part-Time</v>
      </c>
      <c r="J1672" s="7">
        <v>1087</v>
      </c>
      <c r="K1672">
        <v>14</v>
      </c>
      <c r="L1672">
        <v>2021</v>
      </c>
      <c r="M1672">
        <v>6</v>
      </c>
      <c r="N1672">
        <v>0</v>
      </c>
    </row>
    <row r="1673" spans="1:14" x14ac:dyDescent="0.25">
      <c r="A1673" t="s">
        <v>3897</v>
      </c>
      <c r="B1673" t="s">
        <v>347</v>
      </c>
      <c r="C1673" t="s">
        <v>1275</v>
      </c>
      <c r="D1673" t="str">
        <f>VLOOKUP(J1673,Location[],2,FALSE)</f>
        <v>San Antonio</v>
      </c>
      <c r="E1673" t="str">
        <f>VLOOKUP(J1673,Location[],3,FALSE)</f>
        <v> Texas</v>
      </c>
      <c r="F1673" t="str">
        <f>VLOOKUP(K1673,Dept[],2,FALSE)</f>
        <v>Administration</v>
      </c>
      <c r="G1673" s="11">
        <f t="shared" si="26"/>
        <v>41760</v>
      </c>
      <c r="H1673" t="str">
        <f>VLOOKUP(N1673,Status[],2,FALSE)</f>
        <v>Full-Time</v>
      </c>
      <c r="J1673" s="7">
        <v>1007</v>
      </c>
      <c r="K1673">
        <v>12</v>
      </c>
      <c r="L1673">
        <v>2014</v>
      </c>
      <c r="M1673">
        <v>5</v>
      </c>
      <c r="N1673">
        <v>1</v>
      </c>
    </row>
    <row r="1674" spans="1:14" x14ac:dyDescent="0.25">
      <c r="A1674" t="s">
        <v>3898</v>
      </c>
      <c r="B1674" t="s">
        <v>290</v>
      </c>
      <c r="C1674" t="s">
        <v>1475</v>
      </c>
      <c r="D1674" t="str">
        <f>VLOOKUP(J1674,Location[],2,FALSE)</f>
        <v>Chula Vista</v>
      </c>
      <c r="E1674" t="str">
        <f>VLOOKUP(J1674,Location[],3,FALSE)</f>
        <v> California</v>
      </c>
      <c r="F1674" t="str">
        <f>VLOOKUP(K1674,Dept[],2,FALSE)</f>
        <v>Sales</v>
      </c>
      <c r="G1674" s="11">
        <f t="shared" si="26"/>
        <v>44621</v>
      </c>
      <c r="H1674" t="str">
        <f>VLOOKUP(N1674,Status[],2,FALSE)</f>
        <v>Full-Time</v>
      </c>
      <c r="J1674" s="7">
        <v>1076</v>
      </c>
      <c r="K1674">
        <v>22</v>
      </c>
      <c r="L1674">
        <v>2022</v>
      </c>
      <c r="M1674">
        <v>3</v>
      </c>
      <c r="N1674">
        <v>1</v>
      </c>
    </row>
    <row r="1675" spans="1:14" x14ac:dyDescent="0.25">
      <c r="A1675" t="s">
        <v>3899</v>
      </c>
      <c r="B1675" t="s">
        <v>202</v>
      </c>
      <c r="C1675" t="s">
        <v>1479</v>
      </c>
      <c r="D1675" t="str">
        <f>VLOOKUP(J1675,Location[],2,FALSE)</f>
        <v>Durham</v>
      </c>
      <c r="E1675" t="str">
        <f>VLOOKUP(J1675,Location[],3,FALSE)</f>
        <v> North Carolina</v>
      </c>
      <c r="F1675" t="str">
        <f>VLOOKUP(K1675,Dept[],2,FALSE)</f>
        <v>Assessment</v>
      </c>
      <c r="G1675" s="11">
        <f t="shared" si="26"/>
        <v>43556</v>
      </c>
      <c r="H1675" t="str">
        <f>VLOOKUP(N1675,Status[],2,FALSE)</f>
        <v>Part-Time</v>
      </c>
      <c r="J1675" s="7">
        <v>1077</v>
      </c>
      <c r="K1675">
        <v>13</v>
      </c>
      <c r="L1675">
        <v>2019</v>
      </c>
      <c r="M1675">
        <v>4</v>
      </c>
      <c r="N1675">
        <v>0</v>
      </c>
    </row>
    <row r="1676" spans="1:14" x14ac:dyDescent="0.25">
      <c r="A1676" t="s">
        <v>3900</v>
      </c>
      <c r="B1676" t="s">
        <v>1799</v>
      </c>
      <c r="C1676" t="s">
        <v>1800</v>
      </c>
      <c r="D1676" t="str">
        <f>VLOOKUP(J1676,Location[],2,FALSE)</f>
        <v>Austin</v>
      </c>
      <c r="E1676" t="str">
        <f>VLOOKUP(J1676,Location[],3,FALSE)</f>
        <v> Texas</v>
      </c>
      <c r="F1676" t="str">
        <f>VLOOKUP(K1676,Dept[],2,FALSE)</f>
        <v>Sales</v>
      </c>
      <c r="G1676" s="11">
        <f t="shared" si="26"/>
        <v>43952</v>
      </c>
      <c r="H1676" t="str">
        <f>VLOOKUP(N1676,Status[],2,FALSE)</f>
        <v>Full-Time</v>
      </c>
      <c r="J1676" s="7">
        <v>1011</v>
      </c>
      <c r="K1676">
        <v>22</v>
      </c>
      <c r="L1676">
        <v>2020</v>
      </c>
      <c r="M1676">
        <v>5</v>
      </c>
      <c r="N1676">
        <v>1</v>
      </c>
    </row>
    <row r="1677" spans="1:14" x14ac:dyDescent="0.25">
      <c r="A1677" t="s">
        <v>3901</v>
      </c>
      <c r="B1677" t="s">
        <v>29</v>
      </c>
      <c r="C1677" t="s">
        <v>1604</v>
      </c>
      <c r="D1677" t="str">
        <f>VLOOKUP(J1677,Location[],2,FALSE)</f>
        <v>Omaha</v>
      </c>
      <c r="E1677" t="str">
        <f>VLOOKUP(J1677,Location[],3,FALSE)</f>
        <v> Nebraska</v>
      </c>
      <c r="F1677" t="str">
        <f>VLOOKUP(K1677,Dept[],2,FALSE)</f>
        <v>Finance</v>
      </c>
      <c r="G1677" s="11">
        <f t="shared" si="26"/>
        <v>44440</v>
      </c>
      <c r="H1677" t="str">
        <f>VLOOKUP(N1677,Status[],2,FALSE)</f>
        <v>Full-Time</v>
      </c>
      <c r="J1677" s="7">
        <v>1040</v>
      </c>
      <c r="K1677">
        <v>15</v>
      </c>
      <c r="L1677">
        <v>2021</v>
      </c>
      <c r="M1677">
        <v>9</v>
      </c>
      <c r="N1677">
        <v>1</v>
      </c>
    </row>
    <row r="1678" spans="1:14" x14ac:dyDescent="0.25">
      <c r="A1678" t="s">
        <v>3902</v>
      </c>
      <c r="B1678" t="s">
        <v>453</v>
      </c>
      <c r="C1678" t="s">
        <v>759</v>
      </c>
      <c r="D1678" t="str">
        <f>VLOOKUP(J1678,Location[],2,FALSE)</f>
        <v>Henderson</v>
      </c>
      <c r="E1678" t="str">
        <f>VLOOKUP(J1678,Location[],3,FALSE)</f>
        <v> Nevada</v>
      </c>
      <c r="F1678" t="str">
        <f>VLOOKUP(K1678,Dept[],2,FALSE)</f>
        <v>Assessment</v>
      </c>
      <c r="G1678" s="11">
        <f t="shared" si="26"/>
        <v>41791</v>
      </c>
      <c r="H1678" t="str">
        <f>VLOOKUP(N1678,Status[],2,FALSE)</f>
        <v>Full-Time</v>
      </c>
      <c r="J1678" s="7">
        <v>1064</v>
      </c>
      <c r="K1678">
        <v>13</v>
      </c>
      <c r="L1678">
        <v>2014</v>
      </c>
      <c r="M1678">
        <v>6</v>
      </c>
      <c r="N1678">
        <v>1</v>
      </c>
    </row>
    <row r="1679" spans="1:14" x14ac:dyDescent="0.25">
      <c r="A1679" t="s">
        <v>3903</v>
      </c>
      <c r="B1679" t="s">
        <v>593</v>
      </c>
      <c r="C1679" t="s">
        <v>759</v>
      </c>
      <c r="D1679" t="str">
        <f>VLOOKUP(J1679,Location[],2,FALSE)</f>
        <v>Houston</v>
      </c>
      <c r="E1679" t="str">
        <f>VLOOKUP(J1679,Location[],3,FALSE)</f>
        <v> Texas</v>
      </c>
      <c r="F1679" t="str">
        <f>VLOOKUP(K1679,Dept[],2,FALSE)</f>
        <v>Human Resources</v>
      </c>
      <c r="G1679" s="11">
        <f t="shared" si="26"/>
        <v>40575</v>
      </c>
      <c r="H1679" t="str">
        <f>VLOOKUP(N1679,Status[],2,FALSE)</f>
        <v>Full-Time</v>
      </c>
      <c r="J1679" s="7">
        <v>1004</v>
      </c>
      <c r="K1679">
        <v>16</v>
      </c>
      <c r="L1679">
        <v>2011</v>
      </c>
      <c r="M1679">
        <v>2</v>
      </c>
      <c r="N1679">
        <v>1</v>
      </c>
    </row>
    <row r="1680" spans="1:14" x14ac:dyDescent="0.25">
      <c r="A1680" t="s">
        <v>3904</v>
      </c>
      <c r="B1680" t="s">
        <v>253</v>
      </c>
      <c r="C1680" t="s">
        <v>1965</v>
      </c>
      <c r="D1680" t="str">
        <f>VLOOKUP(J1680,Location[],2,FALSE)</f>
        <v>Jersey City</v>
      </c>
      <c r="E1680" t="str">
        <f>VLOOKUP(J1680,Location[],3,FALSE)</f>
        <v> New Jersey</v>
      </c>
      <c r="F1680" t="str">
        <f>VLOOKUP(K1680,Dept[],2,FALSE)</f>
        <v>Sales</v>
      </c>
      <c r="G1680" s="11">
        <f t="shared" si="26"/>
        <v>41153</v>
      </c>
      <c r="H1680" t="str">
        <f>VLOOKUP(N1680,Status[],2,FALSE)</f>
        <v>Part-Time</v>
      </c>
      <c r="J1680" s="7">
        <v>1075</v>
      </c>
      <c r="K1680">
        <v>22</v>
      </c>
      <c r="L1680">
        <v>2012</v>
      </c>
      <c r="M1680">
        <v>9</v>
      </c>
      <c r="N1680">
        <v>0</v>
      </c>
    </row>
    <row r="1681" spans="1:14" x14ac:dyDescent="0.25">
      <c r="A1681" t="s">
        <v>3905</v>
      </c>
      <c r="B1681" t="s">
        <v>450</v>
      </c>
      <c r="C1681" t="s">
        <v>816</v>
      </c>
      <c r="D1681" t="str">
        <f>VLOOKUP(J1681,Location[],2,FALSE)</f>
        <v>Fresno</v>
      </c>
      <c r="E1681" t="str">
        <f>VLOOKUP(J1681,Location[],3,FALSE)</f>
        <v> California</v>
      </c>
      <c r="F1681" t="str">
        <f>VLOOKUP(K1681,Dept[],2,FALSE)</f>
        <v>Human Resources</v>
      </c>
      <c r="G1681" s="11">
        <f t="shared" si="26"/>
        <v>42583</v>
      </c>
      <c r="H1681" t="str">
        <f>VLOOKUP(N1681,Status[],2,FALSE)</f>
        <v>Full-Time</v>
      </c>
      <c r="J1681" s="7">
        <v>1034</v>
      </c>
      <c r="K1681">
        <v>16</v>
      </c>
      <c r="L1681">
        <v>2016</v>
      </c>
      <c r="M1681">
        <v>8</v>
      </c>
      <c r="N1681">
        <v>1</v>
      </c>
    </row>
    <row r="1682" spans="1:14" x14ac:dyDescent="0.25">
      <c r="A1682" t="s">
        <v>3906</v>
      </c>
      <c r="B1682" t="s">
        <v>1101</v>
      </c>
      <c r="C1682" t="s">
        <v>1102</v>
      </c>
      <c r="D1682" t="str">
        <f>VLOOKUP(J1682,Location[],2,FALSE)</f>
        <v>Durham</v>
      </c>
      <c r="E1682" t="str">
        <f>VLOOKUP(J1682,Location[],3,FALSE)</f>
        <v> North Carolina</v>
      </c>
      <c r="F1682" t="str">
        <f>VLOOKUP(K1682,Dept[],2,FALSE)</f>
        <v>Media</v>
      </c>
      <c r="G1682" s="11">
        <f t="shared" si="26"/>
        <v>41183</v>
      </c>
      <c r="H1682" t="str">
        <f>VLOOKUP(N1682,Status[],2,FALSE)</f>
        <v>Full-Time</v>
      </c>
      <c r="J1682" s="7">
        <v>1077</v>
      </c>
      <c r="K1682">
        <v>20</v>
      </c>
      <c r="L1682">
        <v>2012</v>
      </c>
      <c r="M1682">
        <v>10</v>
      </c>
      <c r="N1682">
        <v>1</v>
      </c>
    </row>
    <row r="1683" spans="1:14" x14ac:dyDescent="0.25">
      <c r="A1683" t="s">
        <v>3907</v>
      </c>
      <c r="B1683" t="s">
        <v>85</v>
      </c>
      <c r="C1683" t="s">
        <v>1422</v>
      </c>
      <c r="D1683" t="str">
        <f>VLOOKUP(J1683,Location[],2,FALSE)</f>
        <v>El Paso</v>
      </c>
      <c r="E1683" t="str">
        <f>VLOOKUP(J1683,Location[],3,FALSE)</f>
        <v> Texas</v>
      </c>
      <c r="F1683" t="str">
        <f>VLOOKUP(K1683,Dept[],2,FALSE)</f>
        <v>Legal</v>
      </c>
      <c r="G1683" s="11">
        <f t="shared" si="26"/>
        <v>41456</v>
      </c>
      <c r="H1683" t="str">
        <f>VLOOKUP(N1683,Status[],2,FALSE)</f>
        <v>Full-Time</v>
      </c>
      <c r="J1683" s="7">
        <v>1022</v>
      </c>
      <c r="K1683">
        <v>18</v>
      </c>
      <c r="L1683">
        <v>2013</v>
      </c>
      <c r="M1683">
        <v>7</v>
      </c>
      <c r="N1683">
        <v>1</v>
      </c>
    </row>
    <row r="1684" spans="1:14" x14ac:dyDescent="0.25">
      <c r="A1684" t="s">
        <v>3908</v>
      </c>
      <c r="B1684" t="s">
        <v>19</v>
      </c>
      <c r="C1684" t="s">
        <v>506</v>
      </c>
      <c r="D1684" t="str">
        <f>VLOOKUP(J1684,Location[],2,FALSE)</f>
        <v>Boston</v>
      </c>
      <c r="E1684" t="str">
        <f>VLOOKUP(J1684,Location[],3,FALSE)</f>
        <v> Massachusetts</v>
      </c>
      <c r="F1684" t="str">
        <f>VLOOKUP(K1684,Dept[],2,FALSE)</f>
        <v>Finance</v>
      </c>
      <c r="G1684" s="11">
        <f t="shared" si="26"/>
        <v>43313</v>
      </c>
      <c r="H1684" t="str">
        <f>VLOOKUP(N1684,Status[],2,FALSE)</f>
        <v>Full-Time</v>
      </c>
      <c r="J1684" s="7">
        <v>1021</v>
      </c>
      <c r="K1684">
        <v>15</v>
      </c>
      <c r="L1684">
        <v>2018</v>
      </c>
      <c r="M1684">
        <v>8</v>
      </c>
      <c r="N1684">
        <v>1</v>
      </c>
    </row>
    <row r="1685" spans="1:14" x14ac:dyDescent="0.25">
      <c r="A1685" t="s">
        <v>3909</v>
      </c>
      <c r="B1685" t="s">
        <v>181</v>
      </c>
      <c r="C1685" t="s">
        <v>62</v>
      </c>
      <c r="D1685" t="str">
        <f>VLOOKUP(J1685,Location[],2,FALSE)</f>
        <v>Glendale</v>
      </c>
      <c r="E1685" t="str">
        <f>VLOOKUP(J1685,Location[],3,FALSE)</f>
        <v> Arizona</v>
      </c>
      <c r="F1685" t="str">
        <f>VLOOKUP(K1685,Dept[],2,FALSE)</f>
        <v>Administration</v>
      </c>
      <c r="G1685" s="11">
        <f t="shared" si="26"/>
        <v>41699</v>
      </c>
      <c r="H1685" t="str">
        <f>VLOOKUP(N1685,Status[],2,FALSE)</f>
        <v>Full-Time</v>
      </c>
      <c r="J1685" s="7">
        <v>1087</v>
      </c>
      <c r="K1685">
        <v>12</v>
      </c>
      <c r="L1685">
        <v>2014</v>
      </c>
      <c r="M1685">
        <v>3</v>
      </c>
      <c r="N1685">
        <v>1</v>
      </c>
    </row>
    <row r="1686" spans="1:14" x14ac:dyDescent="0.25">
      <c r="A1686" t="s">
        <v>3910</v>
      </c>
      <c r="B1686" t="s">
        <v>292</v>
      </c>
      <c r="C1686" t="s">
        <v>62</v>
      </c>
      <c r="D1686" t="str">
        <f>VLOOKUP(J1686,Location[],2,FALSE)</f>
        <v>San Diego</v>
      </c>
      <c r="E1686" t="str">
        <f>VLOOKUP(J1686,Location[],3,FALSE)</f>
        <v> California</v>
      </c>
      <c r="F1686" t="str">
        <f>VLOOKUP(K1686,Dept[],2,FALSE)</f>
        <v>Assessment</v>
      </c>
      <c r="G1686" s="11">
        <f t="shared" si="26"/>
        <v>41913</v>
      </c>
      <c r="H1686" t="str">
        <f>VLOOKUP(N1686,Status[],2,FALSE)</f>
        <v>Full-Time</v>
      </c>
      <c r="J1686" s="7">
        <v>1008</v>
      </c>
      <c r="K1686">
        <v>13</v>
      </c>
      <c r="L1686">
        <v>2014</v>
      </c>
      <c r="M1686">
        <v>10</v>
      </c>
      <c r="N1686">
        <v>1</v>
      </c>
    </row>
    <row r="1687" spans="1:14" x14ac:dyDescent="0.25">
      <c r="A1687" t="s">
        <v>3911</v>
      </c>
      <c r="B1687" t="s">
        <v>326</v>
      </c>
      <c r="C1687" t="s">
        <v>62</v>
      </c>
      <c r="D1687" t="str">
        <f>VLOOKUP(J1687,Location[],2,FALSE)</f>
        <v>Louisville</v>
      </c>
      <c r="E1687" t="str">
        <f>VLOOKUP(J1687,Location[],3,FALSE)</f>
        <v> Kentucky</v>
      </c>
      <c r="F1687" t="str">
        <f>VLOOKUP(K1687,Dept[],2,FALSE)</f>
        <v>Administration</v>
      </c>
      <c r="G1687" s="11">
        <f t="shared" si="26"/>
        <v>43952</v>
      </c>
      <c r="H1687" t="str">
        <f>VLOOKUP(N1687,Status[],2,FALSE)</f>
        <v>Full-Time</v>
      </c>
      <c r="J1687" s="7">
        <v>1029</v>
      </c>
      <c r="K1687">
        <v>12</v>
      </c>
      <c r="L1687">
        <v>2020</v>
      </c>
      <c r="M1687">
        <v>5</v>
      </c>
      <c r="N1687">
        <v>1</v>
      </c>
    </row>
    <row r="1688" spans="1:14" x14ac:dyDescent="0.25">
      <c r="A1688" t="s">
        <v>3912</v>
      </c>
      <c r="B1688" t="s">
        <v>1917</v>
      </c>
      <c r="C1688" t="s">
        <v>62</v>
      </c>
      <c r="D1688" t="str">
        <f>VLOOKUP(J1688,Location[],2,FALSE)</f>
        <v>New York City</v>
      </c>
      <c r="E1688" t="str">
        <f>VLOOKUP(J1688,Location[],3,FALSE)</f>
        <v> New York</v>
      </c>
      <c r="F1688" t="str">
        <f>VLOOKUP(K1688,Dept[],2,FALSE)</f>
        <v>Media</v>
      </c>
      <c r="G1688" s="11">
        <f t="shared" si="26"/>
        <v>41821</v>
      </c>
      <c r="H1688" t="str">
        <f>VLOOKUP(N1688,Status[],2,FALSE)</f>
        <v>Full-Time</v>
      </c>
      <c r="J1688" s="7">
        <v>1001</v>
      </c>
      <c r="K1688">
        <v>20</v>
      </c>
      <c r="L1688">
        <v>2014</v>
      </c>
      <c r="M1688">
        <v>7</v>
      </c>
      <c r="N1688">
        <v>1</v>
      </c>
    </row>
    <row r="1689" spans="1:14" x14ac:dyDescent="0.25">
      <c r="A1689" t="s">
        <v>3913</v>
      </c>
      <c r="B1689" t="s">
        <v>2047</v>
      </c>
      <c r="C1689" t="s">
        <v>62</v>
      </c>
      <c r="D1689" t="str">
        <f>VLOOKUP(J1689,Location[],2,FALSE)</f>
        <v>Las Vegas</v>
      </c>
      <c r="E1689" t="str">
        <f>VLOOKUP(J1689,Location[],3,FALSE)</f>
        <v> Nevada</v>
      </c>
      <c r="F1689" t="str">
        <f>VLOOKUP(K1689,Dept[],2,FALSE)</f>
        <v>Customer Support</v>
      </c>
      <c r="G1689" s="11">
        <f t="shared" si="26"/>
        <v>40634</v>
      </c>
      <c r="H1689" t="str">
        <f>VLOOKUP(N1689,Status[],2,FALSE)</f>
        <v>Part-Time</v>
      </c>
      <c r="J1689" s="7">
        <v>1028</v>
      </c>
      <c r="K1689">
        <v>14</v>
      </c>
      <c r="L1689">
        <v>2011</v>
      </c>
      <c r="M1689">
        <v>4</v>
      </c>
      <c r="N1689">
        <v>0</v>
      </c>
    </row>
    <row r="1690" spans="1:14" x14ac:dyDescent="0.25">
      <c r="A1690" t="s">
        <v>2641</v>
      </c>
      <c r="B1690" t="s">
        <v>61</v>
      </c>
      <c r="C1690" t="s">
        <v>62</v>
      </c>
      <c r="D1690" t="str">
        <f>VLOOKUP(J1690,Location[],2,FALSE)</f>
        <v>New York City</v>
      </c>
      <c r="E1690" t="str">
        <f>VLOOKUP(J1690,Location[],3,FALSE)</f>
        <v> New York</v>
      </c>
      <c r="F1690" t="str">
        <f>VLOOKUP(K1690,Dept[],2,FALSE)</f>
        <v>Accounting</v>
      </c>
      <c r="G1690" s="11">
        <f t="shared" si="26"/>
        <v>44409</v>
      </c>
      <c r="H1690" t="str">
        <f>VLOOKUP(N1690,Status[],2,FALSE)</f>
        <v>Full-Time</v>
      </c>
      <c r="J1690" s="7">
        <v>1001</v>
      </c>
      <c r="K1690">
        <v>11</v>
      </c>
      <c r="L1690">
        <v>2021</v>
      </c>
      <c r="M1690">
        <v>8</v>
      </c>
      <c r="N1690">
        <v>1</v>
      </c>
    </row>
    <row r="1691" spans="1:14" x14ac:dyDescent="0.25">
      <c r="A1691" t="s">
        <v>3914</v>
      </c>
      <c r="B1691" t="s">
        <v>61</v>
      </c>
      <c r="C1691" t="s">
        <v>62</v>
      </c>
      <c r="D1691" t="str">
        <f>VLOOKUP(J1691,Location[],2,FALSE)</f>
        <v>Seattle</v>
      </c>
      <c r="E1691" t="str">
        <f>VLOOKUP(J1691,Location[],3,FALSE)</f>
        <v> Washington</v>
      </c>
      <c r="F1691" t="str">
        <f>VLOOKUP(K1691,Dept[],2,FALSE)</f>
        <v>Sales</v>
      </c>
      <c r="G1691" s="11">
        <f t="shared" si="26"/>
        <v>42430</v>
      </c>
      <c r="H1691" t="str">
        <f>VLOOKUP(N1691,Status[],2,FALSE)</f>
        <v>Full-Time</v>
      </c>
      <c r="J1691" s="7">
        <v>1018</v>
      </c>
      <c r="K1691">
        <v>22</v>
      </c>
      <c r="L1691">
        <v>2016</v>
      </c>
      <c r="M1691">
        <v>3</v>
      </c>
      <c r="N1691">
        <v>1</v>
      </c>
    </row>
    <row r="1692" spans="1:14" x14ac:dyDescent="0.25">
      <c r="A1692" t="s">
        <v>3915</v>
      </c>
      <c r="B1692" t="s">
        <v>71</v>
      </c>
      <c r="C1692" t="s">
        <v>62</v>
      </c>
      <c r="D1692" t="str">
        <f>VLOOKUP(J1692,Location[],2,FALSE)</f>
        <v>Mesa</v>
      </c>
      <c r="E1692" t="str">
        <f>VLOOKUP(J1692,Location[],3,FALSE)</f>
        <v> Arizona</v>
      </c>
      <c r="F1692" t="str">
        <f>VLOOKUP(K1692,Dept[],2,FALSE)</f>
        <v>Marketing</v>
      </c>
      <c r="G1692" s="11">
        <f t="shared" si="26"/>
        <v>43831</v>
      </c>
      <c r="H1692" t="str">
        <f>VLOOKUP(N1692,Status[],2,FALSE)</f>
        <v>Full-Time</v>
      </c>
      <c r="J1692" s="7">
        <v>1036</v>
      </c>
      <c r="K1692">
        <v>19</v>
      </c>
      <c r="L1692">
        <v>2020</v>
      </c>
      <c r="M1692">
        <v>1</v>
      </c>
      <c r="N1692">
        <v>1</v>
      </c>
    </row>
    <row r="1693" spans="1:14" x14ac:dyDescent="0.25">
      <c r="A1693" t="s">
        <v>3916</v>
      </c>
      <c r="B1693" t="s">
        <v>307</v>
      </c>
      <c r="C1693" t="s">
        <v>62</v>
      </c>
      <c r="D1693" t="str">
        <f>VLOOKUP(J1693,Location[],2,FALSE)</f>
        <v>Charlotte</v>
      </c>
      <c r="E1693" t="str">
        <f>VLOOKUP(J1693,Location[],3,FALSE)</f>
        <v> North Carolina</v>
      </c>
      <c r="F1693" t="str">
        <f>VLOOKUP(K1693,Dept[],2,FALSE)</f>
        <v>Sales</v>
      </c>
      <c r="G1693" s="11">
        <f t="shared" si="26"/>
        <v>40940</v>
      </c>
      <c r="H1693" t="str">
        <f>VLOOKUP(N1693,Status[],2,FALSE)</f>
        <v>Full-Time</v>
      </c>
      <c r="J1693" s="7">
        <v>1017</v>
      </c>
      <c r="K1693">
        <v>22</v>
      </c>
      <c r="L1693">
        <v>2012</v>
      </c>
      <c r="M1693">
        <v>2</v>
      </c>
      <c r="N1693">
        <v>1</v>
      </c>
    </row>
    <row r="1694" spans="1:14" x14ac:dyDescent="0.25">
      <c r="A1694" t="s">
        <v>3917</v>
      </c>
      <c r="B1694" t="s">
        <v>108</v>
      </c>
      <c r="C1694" t="s">
        <v>62</v>
      </c>
      <c r="D1694" t="str">
        <f>VLOOKUP(J1694,Location[],2,FALSE)</f>
        <v>Houston</v>
      </c>
      <c r="E1694" t="str">
        <f>VLOOKUP(J1694,Location[],3,FALSE)</f>
        <v> Texas</v>
      </c>
      <c r="F1694" t="str">
        <f>VLOOKUP(K1694,Dept[],2,FALSE)</f>
        <v>Administration</v>
      </c>
      <c r="G1694" s="11">
        <f t="shared" si="26"/>
        <v>44013</v>
      </c>
      <c r="H1694" t="str">
        <f>VLOOKUP(N1694,Status[],2,FALSE)</f>
        <v>Full-Time</v>
      </c>
      <c r="J1694" s="7">
        <v>1004</v>
      </c>
      <c r="K1694">
        <v>12</v>
      </c>
      <c r="L1694">
        <v>2020</v>
      </c>
      <c r="M1694">
        <v>7</v>
      </c>
      <c r="N1694">
        <v>1</v>
      </c>
    </row>
    <row r="1695" spans="1:14" x14ac:dyDescent="0.25">
      <c r="A1695" t="s">
        <v>3918</v>
      </c>
      <c r="B1695" t="s">
        <v>939</v>
      </c>
      <c r="C1695" t="s">
        <v>62</v>
      </c>
      <c r="D1695" t="str">
        <f>VLOOKUP(J1695,Location[],2,FALSE)</f>
        <v>New York City</v>
      </c>
      <c r="E1695" t="str">
        <f>VLOOKUP(J1695,Location[],3,FALSE)</f>
        <v> New York</v>
      </c>
      <c r="F1695" t="str">
        <f>VLOOKUP(K1695,Dept[],2,FALSE)</f>
        <v>Administration</v>
      </c>
      <c r="G1695" s="11">
        <f t="shared" si="26"/>
        <v>43862</v>
      </c>
      <c r="H1695" t="str">
        <f>VLOOKUP(N1695,Status[],2,FALSE)</f>
        <v>Full-Time</v>
      </c>
      <c r="J1695" s="7">
        <v>1001</v>
      </c>
      <c r="K1695">
        <v>12</v>
      </c>
      <c r="L1695">
        <v>2020</v>
      </c>
      <c r="M1695">
        <v>2</v>
      </c>
      <c r="N1695">
        <v>1</v>
      </c>
    </row>
    <row r="1696" spans="1:14" x14ac:dyDescent="0.25">
      <c r="A1696" t="s">
        <v>3919</v>
      </c>
      <c r="B1696" t="s">
        <v>47</v>
      </c>
      <c r="C1696" t="s">
        <v>62</v>
      </c>
      <c r="D1696" t="str">
        <f>VLOOKUP(J1696,Location[],2,FALSE)</f>
        <v>Bakersfield</v>
      </c>
      <c r="E1696" t="str">
        <f>VLOOKUP(J1696,Location[],3,FALSE)</f>
        <v> California</v>
      </c>
      <c r="F1696" t="str">
        <f>VLOOKUP(K1696,Dept[],2,FALSE)</f>
        <v>Human Resources</v>
      </c>
      <c r="G1696" s="11">
        <f t="shared" si="26"/>
        <v>45017</v>
      </c>
      <c r="H1696" t="str">
        <f>VLOOKUP(N1696,Status[],2,FALSE)</f>
        <v>Full-Time</v>
      </c>
      <c r="J1696" s="7">
        <v>1053</v>
      </c>
      <c r="K1696">
        <v>16</v>
      </c>
      <c r="L1696">
        <v>2023</v>
      </c>
      <c r="M1696">
        <v>4</v>
      </c>
      <c r="N1696">
        <v>1</v>
      </c>
    </row>
    <row r="1697" spans="1:14" x14ac:dyDescent="0.25">
      <c r="A1697" t="s">
        <v>3920</v>
      </c>
      <c r="B1697" t="s">
        <v>561</v>
      </c>
      <c r="C1697" t="s">
        <v>62</v>
      </c>
      <c r="D1697" t="str">
        <f>VLOOKUP(J1697,Location[],2,FALSE)</f>
        <v>Irvine</v>
      </c>
      <c r="E1697" t="str">
        <f>VLOOKUP(J1697,Location[],3,FALSE)</f>
        <v> California</v>
      </c>
      <c r="F1697" t="str">
        <f>VLOOKUP(K1697,Dept[],2,FALSE)</f>
        <v>Human Resources</v>
      </c>
      <c r="G1697" s="11">
        <f t="shared" si="26"/>
        <v>44866</v>
      </c>
      <c r="H1697" t="str">
        <f>VLOOKUP(N1697,Status[],2,FALSE)</f>
        <v>Full-Time</v>
      </c>
      <c r="J1697" s="7">
        <v>1073</v>
      </c>
      <c r="K1697">
        <v>16</v>
      </c>
      <c r="L1697">
        <v>2022</v>
      </c>
      <c r="M1697">
        <v>11</v>
      </c>
      <c r="N1697">
        <v>1</v>
      </c>
    </row>
    <row r="1698" spans="1:14" x14ac:dyDescent="0.25">
      <c r="A1698" t="s">
        <v>3921</v>
      </c>
      <c r="B1698" t="s">
        <v>261</v>
      </c>
      <c r="C1698" t="s">
        <v>62</v>
      </c>
      <c r="D1698" t="str">
        <f>VLOOKUP(J1698,Location[],2,FALSE)</f>
        <v>Oakland</v>
      </c>
      <c r="E1698" t="str">
        <f>VLOOKUP(J1698,Location[],3,FALSE)</f>
        <v> California</v>
      </c>
      <c r="F1698" t="str">
        <f>VLOOKUP(K1698,Dept[],2,FALSE)</f>
        <v>Assessment</v>
      </c>
      <c r="G1698" s="11">
        <f t="shared" si="26"/>
        <v>41365</v>
      </c>
      <c r="H1698" t="str">
        <f>VLOOKUP(N1698,Status[],2,FALSE)</f>
        <v>Full-Time</v>
      </c>
      <c r="J1698" s="7">
        <v>1045</v>
      </c>
      <c r="K1698">
        <v>13</v>
      </c>
      <c r="L1698">
        <v>2013</v>
      </c>
      <c r="M1698">
        <v>4</v>
      </c>
      <c r="N1698">
        <v>1</v>
      </c>
    </row>
    <row r="1699" spans="1:14" x14ac:dyDescent="0.25">
      <c r="A1699" t="s">
        <v>3922</v>
      </c>
      <c r="B1699" t="s">
        <v>149</v>
      </c>
      <c r="C1699" t="s">
        <v>62</v>
      </c>
      <c r="D1699" t="str">
        <f>VLOOKUP(J1699,Location[],2,FALSE)</f>
        <v>Phoenix</v>
      </c>
      <c r="E1699" t="str">
        <f>VLOOKUP(J1699,Location[],3,FALSE)</f>
        <v> Arizona</v>
      </c>
      <c r="F1699" t="str">
        <f>VLOOKUP(K1699,Dept[],2,FALSE)</f>
        <v>Human Resources</v>
      </c>
      <c r="G1699" s="11">
        <f t="shared" si="26"/>
        <v>44774</v>
      </c>
      <c r="H1699" t="str">
        <f>VLOOKUP(N1699,Status[],2,FALSE)</f>
        <v>Full-Time</v>
      </c>
      <c r="J1699" s="7">
        <v>1005</v>
      </c>
      <c r="K1699">
        <v>16</v>
      </c>
      <c r="L1699">
        <v>2022</v>
      </c>
      <c r="M1699">
        <v>8</v>
      </c>
      <c r="N1699">
        <v>1</v>
      </c>
    </row>
    <row r="1700" spans="1:14" x14ac:dyDescent="0.25">
      <c r="A1700" t="s">
        <v>3923</v>
      </c>
      <c r="B1700" t="s">
        <v>2009</v>
      </c>
      <c r="C1700" t="s">
        <v>62</v>
      </c>
      <c r="D1700" t="str">
        <f>VLOOKUP(J1700,Location[],2,FALSE)</f>
        <v>Houston</v>
      </c>
      <c r="E1700" t="str">
        <f>VLOOKUP(J1700,Location[],3,FALSE)</f>
        <v> Texas</v>
      </c>
      <c r="F1700" t="str">
        <f>VLOOKUP(K1700,Dept[],2,FALSE)</f>
        <v>Marketing</v>
      </c>
      <c r="G1700" s="11">
        <f t="shared" si="26"/>
        <v>41334</v>
      </c>
      <c r="H1700" t="str">
        <f>VLOOKUP(N1700,Status[],2,FALSE)</f>
        <v>Full-Time</v>
      </c>
      <c r="J1700" s="7">
        <v>1004</v>
      </c>
      <c r="K1700">
        <v>19</v>
      </c>
      <c r="L1700">
        <v>2013</v>
      </c>
      <c r="M1700">
        <v>3</v>
      </c>
      <c r="N1700">
        <v>1</v>
      </c>
    </row>
    <row r="1701" spans="1:14" x14ac:dyDescent="0.25">
      <c r="A1701" t="s">
        <v>3924</v>
      </c>
      <c r="B1701" t="s">
        <v>244</v>
      </c>
      <c r="C1701" t="s">
        <v>62</v>
      </c>
      <c r="D1701" t="str">
        <f>VLOOKUP(J1701,Location[],2,FALSE)</f>
        <v>Tucson</v>
      </c>
      <c r="E1701" t="str">
        <f>VLOOKUP(J1701,Location[],3,FALSE)</f>
        <v> Arizona</v>
      </c>
      <c r="F1701" t="str">
        <f>VLOOKUP(K1701,Dept[],2,FALSE)</f>
        <v>Legal</v>
      </c>
      <c r="G1701" s="11">
        <f t="shared" si="26"/>
        <v>41760</v>
      </c>
      <c r="H1701" t="str">
        <f>VLOOKUP(N1701,Status[],2,FALSE)</f>
        <v>Full-Time</v>
      </c>
      <c r="J1701" s="7">
        <v>1033</v>
      </c>
      <c r="K1701">
        <v>18</v>
      </c>
      <c r="L1701">
        <v>2014</v>
      </c>
      <c r="M1701">
        <v>5</v>
      </c>
      <c r="N1701">
        <v>1</v>
      </c>
    </row>
    <row r="1702" spans="1:14" x14ac:dyDescent="0.25">
      <c r="A1702" t="s">
        <v>3925</v>
      </c>
      <c r="B1702" t="s">
        <v>907</v>
      </c>
      <c r="C1702" t="s">
        <v>908</v>
      </c>
      <c r="D1702" t="str">
        <f>VLOOKUP(J1702,Location[],2,FALSE)</f>
        <v>Jacksonville</v>
      </c>
      <c r="E1702" t="str">
        <f>VLOOKUP(J1702,Location[],3,FALSE)</f>
        <v> Florida</v>
      </c>
      <c r="F1702" t="str">
        <f>VLOOKUP(K1702,Dept[],2,FALSE)</f>
        <v>Finance</v>
      </c>
      <c r="G1702" s="11">
        <f t="shared" si="26"/>
        <v>41244</v>
      </c>
      <c r="H1702" t="str">
        <f>VLOOKUP(N1702,Status[],2,FALSE)</f>
        <v>Full-Time</v>
      </c>
      <c r="J1702" s="7">
        <v>1012</v>
      </c>
      <c r="K1702">
        <v>15</v>
      </c>
      <c r="L1702">
        <v>2012</v>
      </c>
      <c r="M1702">
        <v>12</v>
      </c>
      <c r="N1702">
        <v>1</v>
      </c>
    </row>
    <row r="1703" spans="1:14" x14ac:dyDescent="0.25">
      <c r="A1703" t="s">
        <v>3926</v>
      </c>
      <c r="B1703" t="s">
        <v>100</v>
      </c>
      <c r="C1703" t="s">
        <v>101</v>
      </c>
      <c r="D1703" t="str">
        <f>VLOOKUP(J1703,Location[],2,FALSE)</f>
        <v>Mesa</v>
      </c>
      <c r="E1703" t="str">
        <f>VLOOKUP(J1703,Location[],3,FALSE)</f>
        <v> Arizona</v>
      </c>
      <c r="F1703" t="str">
        <f>VLOOKUP(K1703,Dept[],2,FALSE)</f>
        <v>Customer Support</v>
      </c>
      <c r="G1703" s="11">
        <f t="shared" si="26"/>
        <v>43374</v>
      </c>
      <c r="H1703" t="str">
        <f>VLOOKUP(N1703,Status[],2,FALSE)</f>
        <v>Part-Time</v>
      </c>
      <c r="J1703" s="7">
        <v>1036</v>
      </c>
      <c r="K1703">
        <v>14</v>
      </c>
      <c r="L1703">
        <v>2018</v>
      </c>
      <c r="M1703">
        <v>10</v>
      </c>
      <c r="N1703">
        <v>0</v>
      </c>
    </row>
    <row r="1704" spans="1:14" x14ac:dyDescent="0.25">
      <c r="A1704" t="s">
        <v>3927</v>
      </c>
      <c r="B1704" t="s">
        <v>253</v>
      </c>
      <c r="C1704" t="s">
        <v>602</v>
      </c>
      <c r="D1704" t="str">
        <f>VLOOKUP(J1704,Location[],2,FALSE)</f>
        <v>Orlando</v>
      </c>
      <c r="E1704" t="str">
        <f>VLOOKUP(J1704,Location[],3,FALSE)</f>
        <v> Florida</v>
      </c>
      <c r="F1704" t="str">
        <f>VLOOKUP(K1704,Dept[],2,FALSE)</f>
        <v>Accounting</v>
      </c>
      <c r="G1704" s="11">
        <f t="shared" si="26"/>
        <v>40878</v>
      </c>
      <c r="H1704" t="str">
        <f>VLOOKUP(N1704,Status[],2,FALSE)</f>
        <v>Full-Time</v>
      </c>
      <c r="J1704" s="7">
        <v>1072</v>
      </c>
      <c r="K1704">
        <v>11</v>
      </c>
      <c r="L1704">
        <v>2011</v>
      </c>
      <c r="M1704">
        <v>12</v>
      </c>
      <c r="N1704">
        <v>1</v>
      </c>
    </row>
    <row r="1705" spans="1:14" x14ac:dyDescent="0.25">
      <c r="A1705" t="s">
        <v>3928</v>
      </c>
      <c r="B1705" t="s">
        <v>718</v>
      </c>
      <c r="C1705" t="s">
        <v>761</v>
      </c>
      <c r="D1705" t="str">
        <f>VLOOKUP(J1705,Location[],2,FALSE)</f>
        <v>New York City</v>
      </c>
      <c r="E1705" t="str">
        <f>VLOOKUP(J1705,Location[],3,FALSE)</f>
        <v> New York</v>
      </c>
      <c r="F1705" t="str">
        <f>VLOOKUP(K1705,Dept[],2,FALSE)</f>
        <v>Human Resources</v>
      </c>
      <c r="G1705" s="11">
        <f t="shared" si="26"/>
        <v>42309</v>
      </c>
      <c r="H1705" t="str">
        <f>VLOOKUP(N1705,Status[],2,FALSE)</f>
        <v>Full-Time</v>
      </c>
      <c r="J1705" s="7">
        <v>1001</v>
      </c>
      <c r="K1705">
        <v>16</v>
      </c>
      <c r="L1705">
        <v>2015</v>
      </c>
      <c r="M1705">
        <v>11</v>
      </c>
      <c r="N1705">
        <v>1</v>
      </c>
    </row>
    <row r="1706" spans="1:14" x14ac:dyDescent="0.25">
      <c r="A1706" t="s">
        <v>3929</v>
      </c>
      <c r="B1706" t="s">
        <v>108</v>
      </c>
      <c r="C1706" t="s">
        <v>1814</v>
      </c>
      <c r="D1706" t="str">
        <f>VLOOKUP(J1706,Location[],2,FALSE)</f>
        <v>Memphis</v>
      </c>
      <c r="E1706" t="str">
        <f>VLOOKUP(J1706,Location[],3,FALSE)</f>
        <v> Tennessee</v>
      </c>
      <c r="F1706" t="str">
        <f>VLOOKUP(K1706,Dept[],2,FALSE)</f>
        <v>Media</v>
      </c>
      <c r="G1706" s="11">
        <f t="shared" si="26"/>
        <v>43525</v>
      </c>
      <c r="H1706" t="str">
        <f>VLOOKUP(N1706,Status[],2,FALSE)</f>
        <v>Full-Time</v>
      </c>
      <c r="J1706" s="7">
        <v>1025</v>
      </c>
      <c r="K1706">
        <v>20</v>
      </c>
      <c r="L1706">
        <v>2019</v>
      </c>
      <c r="M1706">
        <v>3</v>
      </c>
      <c r="N1706">
        <v>1</v>
      </c>
    </row>
    <row r="1707" spans="1:14" x14ac:dyDescent="0.25">
      <c r="A1707" t="s">
        <v>3930</v>
      </c>
      <c r="B1707" t="s">
        <v>7</v>
      </c>
      <c r="C1707" t="s">
        <v>1216</v>
      </c>
      <c r="D1707" t="str">
        <f>VLOOKUP(J1707,Location[],2,FALSE)</f>
        <v>New York City</v>
      </c>
      <c r="E1707" t="str">
        <f>VLOOKUP(J1707,Location[],3,FALSE)</f>
        <v> New York</v>
      </c>
      <c r="F1707" t="str">
        <f>VLOOKUP(K1707,Dept[],2,FALSE)</f>
        <v>Accounting</v>
      </c>
      <c r="G1707" s="11">
        <f t="shared" si="26"/>
        <v>42248</v>
      </c>
      <c r="H1707" t="str">
        <f>VLOOKUP(N1707,Status[],2,FALSE)</f>
        <v>Full-Time</v>
      </c>
      <c r="J1707" s="7">
        <v>1001</v>
      </c>
      <c r="K1707">
        <v>11</v>
      </c>
      <c r="L1707">
        <v>2015</v>
      </c>
      <c r="M1707">
        <v>9</v>
      </c>
      <c r="N1707">
        <v>1</v>
      </c>
    </row>
    <row r="1708" spans="1:14" x14ac:dyDescent="0.25">
      <c r="A1708" t="s">
        <v>3931</v>
      </c>
      <c r="B1708" t="s">
        <v>339</v>
      </c>
      <c r="C1708" t="s">
        <v>1602</v>
      </c>
      <c r="D1708" t="str">
        <f>VLOOKUP(J1708,Location[],2,FALSE)</f>
        <v>San Francisco</v>
      </c>
      <c r="E1708" t="str">
        <f>VLOOKUP(J1708,Location[],3,FALSE)</f>
        <v> California</v>
      </c>
      <c r="F1708" t="str">
        <f>VLOOKUP(K1708,Dept[],2,FALSE)</f>
        <v>Assessment</v>
      </c>
      <c r="G1708" s="11">
        <f t="shared" si="26"/>
        <v>44044</v>
      </c>
      <c r="H1708" t="str">
        <f>VLOOKUP(N1708,Status[],2,FALSE)</f>
        <v>Part-Time</v>
      </c>
      <c r="J1708" s="7">
        <v>1013</v>
      </c>
      <c r="K1708">
        <v>13</v>
      </c>
      <c r="L1708">
        <v>2020</v>
      </c>
      <c r="M1708">
        <v>8</v>
      </c>
      <c r="N1708">
        <v>0</v>
      </c>
    </row>
    <row r="1709" spans="1:14" x14ac:dyDescent="0.25">
      <c r="A1709" t="s">
        <v>3932</v>
      </c>
      <c r="B1709" t="s">
        <v>1023</v>
      </c>
      <c r="C1709" t="s">
        <v>1893</v>
      </c>
      <c r="D1709" t="str">
        <f>VLOOKUP(J1709,Location[],2,FALSE)</f>
        <v>Milwaukee</v>
      </c>
      <c r="E1709" t="str">
        <f>VLOOKUP(J1709,Location[],3,FALSE)</f>
        <v> Wisconsin</v>
      </c>
      <c r="F1709" t="str">
        <f>VLOOKUP(K1709,Dept[],2,FALSE)</f>
        <v>Customer Support</v>
      </c>
      <c r="G1709" s="11">
        <f t="shared" si="26"/>
        <v>41487</v>
      </c>
      <c r="H1709" t="str">
        <f>VLOOKUP(N1709,Status[],2,FALSE)</f>
        <v>Full-Time</v>
      </c>
      <c r="J1709" s="7">
        <v>1031</v>
      </c>
      <c r="K1709">
        <v>14</v>
      </c>
      <c r="L1709">
        <v>2013</v>
      </c>
      <c r="M1709">
        <v>8</v>
      </c>
      <c r="N1709">
        <v>1</v>
      </c>
    </row>
    <row r="1710" spans="1:14" x14ac:dyDescent="0.25">
      <c r="A1710" t="s">
        <v>3933</v>
      </c>
      <c r="B1710" t="s">
        <v>478</v>
      </c>
      <c r="C1710" t="s">
        <v>479</v>
      </c>
      <c r="D1710" t="str">
        <f>VLOOKUP(J1710,Location[],2,FALSE)</f>
        <v>Fort Worth</v>
      </c>
      <c r="E1710" t="str">
        <f>VLOOKUP(J1710,Location[],3,FALSE)</f>
        <v> Texas</v>
      </c>
      <c r="F1710" t="str">
        <f>VLOOKUP(K1710,Dept[],2,FALSE)</f>
        <v>Customer Support</v>
      </c>
      <c r="G1710" s="11">
        <f t="shared" si="26"/>
        <v>42552</v>
      </c>
      <c r="H1710" t="str">
        <f>VLOOKUP(N1710,Status[],2,FALSE)</f>
        <v>Full-Time</v>
      </c>
      <c r="J1710" s="7">
        <v>1015</v>
      </c>
      <c r="K1710">
        <v>14</v>
      </c>
      <c r="L1710">
        <v>2016</v>
      </c>
      <c r="M1710">
        <v>7</v>
      </c>
      <c r="N1710">
        <v>1</v>
      </c>
    </row>
    <row r="1711" spans="1:14" x14ac:dyDescent="0.25">
      <c r="A1711" t="s">
        <v>3934</v>
      </c>
      <c r="B1711" t="s">
        <v>299</v>
      </c>
      <c r="C1711" t="s">
        <v>1294</v>
      </c>
      <c r="D1711" t="str">
        <f>VLOOKUP(J1711,Location[],2,FALSE)</f>
        <v>Santa Ana</v>
      </c>
      <c r="E1711" t="str">
        <f>VLOOKUP(J1711,Location[],3,FALSE)</f>
        <v> California</v>
      </c>
      <c r="F1711" t="str">
        <f>VLOOKUP(K1711,Dept[],2,FALSE)</f>
        <v>Marketing</v>
      </c>
      <c r="G1711" s="11">
        <f t="shared" si="26"/>
        <v>44652</v>
      </c>
      <c r="H1711" t="str">
        <f>VLOOKUP(N1711,Status[],2,FALSE)</f>
        <v>Full-Time</v>
      </c>
      <c r="J1711" s="7">
        <v>1057</v>
      </c>
      <c r="K1711">
        <v>19</v>
      </c>
      <c r="L1711">
        <v>2022</v>
      </c>
      <c r="M1711">
        <v>4</v>
      </c>
      <c r="N1711">
        <v>1</v>
      </c>
    </row>
    <row r="1712" spans="1:14" x14ac:dyDescent="0.25">
      <c r="A1712" t="s">
        <v>3935</v>
      </c>
      <c r="B1712" t="s">
        <v>98</v>
      </c>
      <c r="C1712" t="s">
        <v>1316</v>
      </c>
      <c r="D1712" t="str">
        <f>VLOOKUP(J1712,Location[],2,FALSE)</f>
        <v>Miami</v>
      </c>
      <c r="E1712" t="str">
        <f>VLOOKUP(J1712,Location[],3,FALSE)</f>
        <v> Florida</v>
      </c>
      <c r="F1712" t="str">
        <f>VLOOKUP(K1712,Dept[],2,FALSE)</f>
        <v>Accounting</v>
      </c>
      <c r="G1712" s="11">
        <f t="shared" si="26"/>
        <v>41426</v>
      </c>
      <c r="H1712" t="str">
        <f>VLOOKUP(N1712,Status[],2,FALSE)</f>
        <v>Full-Time</v>
      </c>
      <c r="J1712" s="7">
        <v>1043</v>
      </c>
      <c r="K1712">
        <v>11</v>
      </c>
      <c r="L1712">
        <v>2013</v>
      </c>
      <c r="M1712">
        <v>6</v>
      </c>
      <c r="N1712">
        <v>1</v>
      </c>
    </row>
    <row r="1713" spans="1:14" x14ac:dyDescent="0.25">
      <c r="A1713" t="s">
        <v>3936</v>
      </c>
      <c r="B1713" t="s">
        <v>103</v>
      </c>
      <c r="C1713" t="s">
        <v>1806</v>
      </c>
      <c r="D1713" t="str">
        <f>VLOOKUP(J1713,Location[],2,FALSE)</f>
        <v>Houston</v>
      </c>
      <c r="E1713" t="str">
        <f>VLOOKUP(J1713,Location[],3,FALSE)</f>
        <v> Texas</v>
      </c>
      <c r="F1713" t="str">
        <f>VLOOKUP(K1713,Dept[],2,FALSE)</f>
        <v>Finance</v>
      </c>
      <c r="G1713" s="11">
        <f t="shared" si="26"/>
        <v>41000</v>
      </c>
      <c r="H1713" t="str">
        <f>VLOOKUP(N1713,Status[],2,FALSE)</f>
        <v>Full-Time</v>
      </c>
      <c r="J1713" s="7">
        <v>1004</v>
      </c>
      <c r="K1713">
        <v>15</v>
      </c>
      <c r="L1713">
        <v>2012</v>
      </c>
      <c r="M1713">
        <v>4</v>
      </c>
      <c r="N1713">
        <v>1</v>
      </c>
    </row>
    <row r="1714" spans="1:14" x14ac:dyDescent="0.25">
      <c r="A1714" t="s">
        <v>3937</v>
      </c>
      <c r="B1714" t="s">
        <v>198</v>
      </c>
      <c r="C1714" t="s">
        <v>1653</v>
      </c>
      <c r="D1714" t="str">
        <f>VLOOKUP(J1714,Location[],2,FALSE)</f>
        <v>Tulsa</v>
      </c>
      <c r="E1714" t="str">
        <f>VLOOKUP(J1714,Location[],3,FALSE)</f>
        <v> Oklahoma</v>
      </c>
      <c r="F1714" t="str">
        <f>VLOOKUP(K1714,Dept[],2,FALSE)</f>
        <v>Accounting</v>
      </c>
      <c r="G1714" s="11">
        <f t="shared" si="26"/>
        <v>41030</v>
      </c>
      <c r="H1714" t="str">
        <f>VLOOKUP(N1714,Status[],2,FALSE)</f>
        <v>Full-Time</v>
      </c>
      <c r="J1714" s="7">
        <v>1047</v>
      </c>
      <c r="K1714">
        <v>11</v>
      </c>
      <c r="L1714">
        <v>2012</v>
      </c>
      <c r="M1714">
        <v>5</v>
      </c>
      <c r="N1714">
        <v>1</v>
      </c>
    </row>
    <row r="1715" spans="1:14" x14ac:dyDescent="0.25">
      <c r="A1715" t="s">
        <v>3938</v>
      </c>
      <c r="B1715" t="s">
        <v>1963</v>
      </c>
      <c r="C1715" t="s">
        <v>1964</v>
      </c>
      <c r="D1715" t="str">
        <f>VLOOKUP(J1715,Location[],2,FALSE)</f>
        <v>Chicago</v>
      </c>
      <c r="E1715" t="str">
        <f>VLOOKUP(J1715,Location[],3,FALSE)</f>
        <v> Illinois</v>
      </c>
      <c r="F1715" t="str">
        <f>VLOOKUP(K1715,Dept[],2,FALSE)</f>
        <v>Media</v>
      </c>
      <c r="G1715" s="11">
        <f t="shared" si="26"/>
        <v>43647</v>
      </c>
      <c r="H1715" t="str">
        <f>VLOOKUP(N1715,Status[],2,FALSE)</f>
        <v>Full-Time</v>
      </c>
      <c r="J1715" s="7">
        <v>1003</v>
      </c>
      <c r="K1715">
        <v>20</v>
      </c>
      <c r="L1715">
        <v>2019</v>
      </c>
      <c r="M1715">
        <v>7</v>
      </c>
      <c r="N1715">
        <v>1</v>
      </c>
    </row>
    <row r="1716" spans="1:14" x14ac:dyDescent="0.25">
      <c r="A1716" t="s">
        <v>3939</v>
      </c>
      <c r="B1716" t="s">
        <v>81</v>
      </c>
      <c r="C1716" t="s">
        <v>990</v>
      </c>
      <c r="D1716" t="str">
        <f>VLOOKUP(J1716,Location[],2,FALSE)</f>
        <v>Los Angeles</v>
      </c>
      <c r="E1716" t="str">
        <f>VLOOKUP(J1716,Location[],3,FALSE)</f>
        <v> California</v>
      </c>
      <c r="F1716" t="str">
        <f>VLOOKUP(K1716,Dept[],2,FALSE)</f>
        <v>Customer Support</v>
      </c>
      <c r="G1716" s="11">
        <f t="shared" si="26"/>
        <v>42430</v>
      </c>
      <c r="H1716" t="str">
        <f>VLOOKUP(N1716,Status[],2,FALSE)</f>
        <v>Part-Time</v>
      </c>
      <c r="J1716" s="7">
        <v>1002</v>
      </c>
      <c r="K1716">
        <v>14</v>
      </c>
      <c r="L1716">
        <v>2016</v>
      </c>
      <c r="M1716">
        <v>3</v>
      </c>
      <c r="N1716">
        <v>0</v>
      </c>
    </row>
    <row r="1717" spans="1:14" x14ac:dyDescent="0.25">
      <c r="A1717" t="s">
        <v>3940</v>
      </c>
      <c r="B1717" t="s">
        <v>339</v>
      </c>
      <c r="C1717" t="s">
        <v>1271</v>
      </c>
      <c r="D1717" t="str">
        <f>VLOOKUP(J1717,Location[],2,FALSE)</f>
        <v>Phoenix</v>
      </c>
      <c r="E1717" t="str">
        <f>VLOOKUP(J1717,Location[],3,FALSE)</f>
        <v> Arizona</v>
      </c>
      <c r="F1717" t="str">
        <f>VLOOKUP(K1717,Dept[],2,FALSE)</f>
        <v>Media</v>
      </c>
      <c r="G1717" s="11">
        <f t="shared" si="26"/>
        <v>43009</v>
      </c>
      <c r="H1717" t="str">
        <f>VLOOKUP(N1717,Status[],2,FALSE)</f>
        <v>Full-Time</v>
      </c>
      <c r="J1717" s="7">
        <v>1005</v>
      </c>
      <c r="K1717">
        <v>20</v>
      </c>
      <c r="L1717">
        <v>2017</v>
      </c>
      <c r="M1717">
        <v>10</v>
      </c>
      <c r="N1717">
        <v>1</v>
      </c>
    </row>
    <row r="1718" spans="1:14" x14ac:dyDescent="0.25">
      <c r="A1718" t="s">
        <v>3941</v>
      </c>
      <c r="B1718" t="s">
        <v>47</v>
      </c>
      <c r="C1718" t="s">
        <v>1332</v>
      </c>
      <c r="D1718" t="str">
        <f>VLOOKUP(J1718,Location[],2,FALSE)</f>
        <v>Austin</v>
      </c>
      <c r="E1718" t="str">
        <f>VLOOKUP(J1718,Location[],3,FALSE)</f>
        <v> Texas</v>
      </c>
      <c r="F1718" t="str">
        <f>VLOOKUP(K1718,Dept[],2,FALSE)</f>
        <v>Human Resources</v>
      </c>
      <c r="G1718" s="11">
        <f t="shared" si="26"/>
        <v>42795</v>
      </c>
      <c r="H1718" t="str">
        <f>VLOOKUP(N1718,Status[],2,FALSE)</f>
        <v>Full-Time</v>
      </c>
      <c r="J1718" s="7">
        <v>1011</v>
      </c>
      <c r="K1718">
        <v>16</v>
      </c>
      <c r="L1718">
        <v>2017</v>
      </c>
      <c r="M1718">
        <v>3</v>
      </c>
      <c r="N1718">
        <v>1</v>
      </c>
    </row>
    <row r="1719" spans="1:14" x14ac:dyDescent="0.25">
      <c r="A1719" t="s">
        <v>3942</v>
      </c>
      <c r="B1719" t="s">
        <v>930</v>
      </c>
      <c r="C1719" t="s">
        <v>2042</v>
      </c>
      <c r="D1719" t="str">
        <f>VLOOKUP(J1719,Location[],2,FALSE)</f>
        <v>San Diego</v>
      </c>
      <c r="E1719" t="str">
        <f>VLOOKUP(J1719,Location[],3,FALSE)</f>
        <v> California</v>
      </c>
      <c r="F1719" t="str">
        <f>VLOOKUP(K1719,Dept[],2,FALSE)</f>
        <v>Accounting</v>
      </c>
      <c r="G1719" s="11">
        <f t="shared" si="26"/>
        <v>43374</v>
      </c>
      <c r="H1719" t="str">
        <f>VLOOKUP(N1719,Status[],2,FALSE)</f>
        <v>Full-Time</v>
      </c>
      <c r="J1719" s="7">
        <v>1008</v>
      </c>
      <c r="K1719">
        <v>11</v>
      </c>
      <c r="L1719">
        <v>2018</v>
      </c>
      <c r="M1719">
        <v>10</v>
      </c>
      <c r="N1719">
        <v>1</v>
      </c>
    </row>
    <row r="1720" spans="1:14" x14ac:dyDescent="0.25">
      <c r="A1720" t="s">
        <v>3943</v>
      </c>
      <c r="B1720" t="s">
        <v>482</v>
      </c>
      <c r="C1720" t="s">
        <v>1172</v>
      </c>
      <c r="D1720" t="str">
        <f>VLOOKUP(J1720,Location[],2,FALSE)</f>
        <v>Jacksonville</v>
      </c>
      <c r="E1720" t="str">
        <f>VLOOKUP(J1720,Location[],3,FALSE)</f>
        <v> Florida</v>
      </c>
      <c r="F1720" t="str">
        <f>VLOOKUP(K1720,Dept[],2,FALSE)</f>
        <v>Finance</v>
      </c>
      <c r="G1720" s="11">
        <f t="shared" si="26"/>
        <v>42767</v>
      </c>
      <c r="H1720" t="str">
        <f>VLOOKUP(N1720,Status[],2,FALSE)</f>
        <v>Full-Time</v>
      </c>
      <c r="J1720" s="7">
        <v>1012</v>
      </c>
      <c r="K1720">
        <v>15</v>
      </c>
      <c r="L1720">
        <v>2017</v>
      </c>
      <c r="M1720">
        <v>2</v>
      </c>
      <c r="N1720">
        <v>1</v>
      </c>
    </row>
    <row r="1721" spans="1:14" x14ac:dyDescent="0.25">
      <c r="A1721" t="s">
        <v>3944</v>
      </c>
      <c r="B1721" t="s">
        <v>280</v>
      </c>
      <c r="C1721" t="s">
        <v>281</v>
      </c>
      <c r="D1721" t="str">
        <f>VLOOKUP(J1721,Location[],2,FALSE)</f>
        <v>Denver</v>
      </c>
      <c r="E1721" t="str">
        <f>VLOOKUP(J1721,Location[],3,FALSE)</f>
        <v> Colorado</v>
      </c>
      <c r="F1721" t="str">
        <f>VLOOKUP(K1721,Dept[],2,FALSE)</f>
        <v>Accounting</v>
      </c>
      <c r="G1721" s="11">
        <f t="shared" si="26"/>
        <v>42036</v>
      </c>
      <c r="H1721" t="str">
        <f>VLOOKUP(N1721,Status[],2,FALSE)</f>
        <v>Full-Time</v>
      </c>
      <c r="J1721" s="7">
        <v>1019</v>
      </c>
      <c r="K1721">
        <v>11</v>
      </c>
      <c r="L1721">
        <v>2015</v>
      </c>
      <c r="M1721">
        <v>2</v>
      </c>
      <c r="N1721">
        <v>1</v>
      </c>
    </row>
    <row r="1722" spans="1:14" x14ac:dyDescent="0.25">
      <c r="A1722" t="s">
        <v>3945</v>
      </c>
      <c r="B1722" t="s">
        <v>144</v>
      </c>
      <c r="C1722" t="s">
        <v>2029</v>
      </c>
      <c r="D1722" t="str">
        <f>VLOOKUP(J1722,Location[],2,FALSE)</f>
        <v>Stockton</v>
      </c>
      <c r="E1722" t="str">
        <f>VLOOKUP(J1722,Location[],3,FALSE)</f>
        <v> California</v>
      </c>
      <c r="F1722" t="str">
        <f>VLOOKUP(K1722,Dept[],2,FALSE)</f>
        <v>Customer Support</v>
      </c>
      <c r="G1722" s="11">
        <f t="shared" si="26"/>
        <v>40878</v>
      </c>
      <c r="H1722" t="str">
        <f>VLOOKUP(N1722,Status[],2,FALSE)</f>
        <v>Part-Time</v>
      </c>
      <c r="J1722" s="7">
        <v>1061</v>
      </c>
      <c r="K1722">
        <v>14</v>
      </c>
      <c r="L1722">
        <v>2011</v>
      </c>
      <c r="M1722">
        <v>12</v>
      </c>
      <c r="N1722">
        <v>0</v>
      </c>
    </row>
    <row r="1723" spans="1:14" x14ac:dyDescent="0.25">
      <c r="A1723" t="s">
        <v>3946</v>
      </c>
      <c r="B1723" t="s">
        <v>396</v>
      </c>
      <c r="C1723" t="s">
        <v>397</v>
      </c>
      <c r="D1723" t="str">
        <f>VLOOKUP(J1723,Location[],2,FALSE)</f>
        <v>Tulsa</v>
      </c>
      <c r="E1723" t="str">
        <f>VLOOKUP(J1723,Location[],3,FALSE)</f>
        <v> Oklahoma</v>
      </c>
      <c r="F1723" t="str">
        <f>VLOOKUP(K1723,Dept[],2,FALSE)</f>
        <v>Sales</v>
      </c>
      <c r="G1723" s="11">
        <f t="shared" si="26"/>
        <v>42186</v>
      </c>
      <c r="H1723" t="str">
        <f>VLOOKUP(N1723,Status[],2,FALSE)</f>
        <v>Full-Time</v>
      </c>
      <c r="J1723" s="7">
        <v>1047</v>
      </c>
      <c r="K1723">
        <v>22</v>
      </c>
      <c r="L1723">
        <v>2015</v>
      </c>
      <c r="M1723">
        <v>7</v>
      </c>
      <c r="N1723">
        <v>1</v>
      </c>
    </row>
    <row r="1724" spans="1:14" x14ac:dyDescent="0.25">
      <c r="A1724" t="s">
        <v>3947</v>
      </c>
      <c r="B1724" t="s">
        <v>19</v>
      </c>
      <c r="C1724" t="s">
        <v>1473</v>
      </c>
      <c r="D1724" t="str">
        <f>VLOOKUP(J1724,Location[],2,FALSE)</f>
        <v>Long Beach</v>
      </c>
      <c r="E1724" t="str">
        <f>VLOOKUP(J1724,Location[],3,FALSE)</f>
        <v> California</v>
      </c>
      <c r="F1724" t="str">
        <f>VLOOKUP(K1724,Dept[],2,FALSE)</f>
        <v>Finance</v>
      </c>
      <c r="G1724" s="11">
        <f t="shared" si="26"/>
        <v>43497</v>
      </c>
      <c r="H1724" t="str">
        <f>VLOOKUP(N1724,Status[],2,FALSE)</f>
        <v>Part-Time</v>
      </c>
      <c r="J1724" s="7">
        <v>1039</v>
      </c>
      <c r="K1724">
        <v>15</v>
      </c>
      <c r="L1724">
        <v>2019</v>
      </c>
      <c r="M1724">
        <v>2</v>
      </c>
      <c r="N1724">
        <v>0</v>
      </c>
    </row>
    <row r="1725" spans="1:14" x14ac:dyDescent="0.25">
      <c r="A1725" t="s">
        <v>3948</v>
      </c>
      <c r="B1725" t="s">
        <v>258</v>
      </c>
      <c r="C1725" t="s">
        <v>259</v>
      </c>
      <c r="D1725" t="str">
        <f>VLOOKUP(J1725,Location[],2,FALSE)</f>
        <v>Fort Worth</v>
      </c>
      <c r="E1725" t="str">
        <f>VLOOKUP(J1725,Location[],3,FALSE)</f>
        <v> Texas</v>
      </c>
      <c r="F1725" t="str">
        <f>VLOOKUP(K1725,Dept[],2,FALSE)</f>
        <v>Accounting</v>
      </c>
      <c r="G1725" s="11">
        <f t="shared" si="26"/>
        <v>40544</v>
      </c>
      <c r="H1725" t="str">
        <f>VLOOKUP(N1725,Status[],2,FALSE)</f>
        <v>Full-Time</v>
      </c>
      <c r="J1725" s="7">
        <v>1015</v>
      </c>
      <c r="K1725">
        <v>11</v>
      </c>
      <c r="L1725">
        <v>2011</v>
      </c>
      <c r="M1725">
        <v>1</v>
      </c>
      <c r="N1725">
        <v>1</v>
      </c>
    </row>
    <row r="1726" spans="1:14" x14ac:dyDescent="0.25">
      <c r="A1726" t="s">
        <v>3949</v>
      </c>
      <c r="B1726" t="s">
        <v>464</v>
      </c>
      <c r="C1726" t="s">
        <v>1291</v>
      </c>
      <c r="D1726" t="str">
        <f>VLOOKUP(J1726,Location[],2,FALSE)</f>
        <v>Los Angeles</v>
      </c>
      <c r="E1726" t="str">
        <f>VLOOKUP(J1726,Location[],3,FALSE)</f>
        <v> California</v>
      </c>
      <c r="F1726" t="str">
        <f>VLOOKUP(K1726,Dept[],2,FALSE)</f>
        <v>Customer Support</v>
      </c>
      <c r="G1726" s="11">
        <f t="shared" si="26"/>
        <v>42887</v>
      </c>
      <c r="H1726" t="str">
        <f>VLOOKUP(N1726,Status[],2,FALSE)</f>
        <v>Full-Time</v>
      </c>
      <c r="J1726" s="7">
        <v>1002</v>
      </c>
      <c r="K1726">
        <v>14</v>
      </c>
      <c r="L1726">
        <v>2017</v>
      </c>
      <c r="M1726">
        <v>6</v>
      </c>
      <c r="N1726">
        <v>1</v>
      </c>
    </row>
    <row r="1727" spans="1:14" x14ac:dyDescent="0.25">
      <c r="A1727" t="s">
        <v>3950</v>
      </c>
      <c r="B1727" t="s">
        <v>852</v>
      </c>
      <c r="C1727" t="s">
        <v>853</v>
      </c>
      <c r="D1727" t="str">
        <f>VLOOKUP(J1727,Location[],2,FALSE)</f>
        <v>Honolulu</v>
      </c>
      <c r="E1727" t="str">
        <f>VLOOKUP(J1727,Location[],3,FALSE)</f>
        <v> Hawaii</v>
      </c>
      <c r="F1727" t="str">
        <f>VLOOKUP(K1727,Dept[],2,FALSE)</f>
        <v>Sales</v>
      </c>
      <c r="G1727" s="11">
        <f t="shared" si="26"/>
        <v>42430</v>
      </c>
      <c r="H1727" t="str">
        <f>VLOOKUP(N1727,Status[],2,FALSE)</f>
        <v>Full-Time</v>
      </c>
      <c r="J1727" s="7">
        <v>1056</v>
      </c>
      <c r="K1727">
        <v>22</v>
      </c>
      <c r="L1727">
        <v>2016</v>
      </c>
      <c r="M1727">
        <v>3</v>
      </c>
      <c r="N1727">
        <v>1</v>
      </c>
    </row>
    <row r="1728" spans="1:14" x14ac:dyDescent="0.25">
      <c r="A1728" t="s">
        <v>3951</v>
      </c>
      <c r="B1728" t="s">
        <v>864</v>
      </c>
      <c r="C1728" t="s">
        <v>407</v>
      </c>
      <c r="D1728" t="str">
        <f>VLOOKUP(J1728,Location[],2,FALSE)</f>
        <v>Denver</v>
      </c>
      <c r="E1728" t="str">
        <f>VLOOKUP(J1728,Location[],3,FALSE)</f>
        <v> Colorado</v>
      </c>
      <c r="F1728" t="str">
        <f>VLOOKUP(K1728,Dept[],2,FALSE)</f>
        <v>Administration</v>
      </c>
      <c r="G1728" s="11">
        <f t="shared" si="26"/>
        <v>45261</v>
      </c>
      <c r="H1728" t="str">
        <f>VLOOKUP(N1728,Status[],2,FALSE)</f>
        <v>Full-Time</v>
      </c>
      <c r="J1728" s="7">
        <v>1019</v>
      </c>
      <c r="K1728">
        <v>12</v>
      </c>
      <c r="L1728">
        <v>2023</v>
      </c>
      <c r="M1728">
        <v>12</v>
      </c>
      <c r="N1728">
        <v>1</v>
      </c>
    </row>
    <row r="1729" spans="1:14" x14ac:dyDescent="0.25">
      <c r="A1729" t="s">
        <v>3952</v>
      </c>
      <c r="B1729" t="s">
        <v>299</v>
      </c>
      <c r="C1729" t="s">
        <v>407</v>
      </c>
      <c r="D1729" t="str">
        <f>VLOOKUP(J1729,Location[],2,FALSE)</f>
        <v>Bakersfield</v>
      </c>
      <c r="E1729" t="str">
        <f>VLOOKUP(J1729,Location[],3,FALSE)</f>
        <v> California</v>
      </c>
      <c r="F1729" t="str">
        <f>VLOOKUP(K1729,Dept[],2,FALSE)</f>
        <v>IT</v>
      </c>
      <c r="G1729" s="11">
        <f t="shared" si="26"/>
        <v>42917</v>
      </c>
      <c r="H1729" t="str">
        <f>VLOOKUP(N1729,Status[],2,FALSE)</f>
        <v>Part-Time</v>
      </c>
      <c r="J1729" s="7">
        <v>1053</v>
      </c>
      <c r="K1729">
        <v>17</v>
      </c>
      <c r="L1729">
        <v>2017</v>
      </c>
      <c r="M1729">
        <v>7</v>
      </c>
      <c r="N1729">
        <v>0</v>
      </c>
    </row>
    <row r="1730" spans="1:14" x14ac:dyDescent="0.25">
      <c r="A1730" t="s">
        <v>3953</v>
      </c>
      <c r="B1730" t="s">
        <v>2062</v>
      </c>
      <c r="C1730" t="s">
        <v>407</v>
      </c>
      <c r="D1730" t="str">
        <f>VLOOKUP(J1730,Location[],2,FALSE)</f>
        <v>Chicago</v>
      </c>
      <c r="E1730" t="str">
        <f>VLOOKUP(J1730,Location[],3,FALSE)</f>
        <v> Illinois</v>
      </c>
      <c r="F1730" t="str">
        <f>VLOOKUP(K1730,Dept[],2,FALSE)</f>
        <v>Administration</v>
      </c>
      <c r="G1730" s="11">
        <f t="shared" si="26"/>
        <v>42856</v>
      </c>
      <c r="H1730" t="str">
        <f>VLOOKUP(N1730,Status[],2,FALSE)</f>
        <v>Full-Time</v>
      </c>
      <c r="J1730" s="7">
        <v>1003</v>
      </c>
      <c r="K1730">
        <v>12</v>
      </c>
      <c r="L1730">
        <v>2017</v>
      </c>
      <c r="M1730">
        <v>5</v>
      </c>
      <c r="N1730">
        <v>1</v>
      </c>
    </row>
    <row r="1731" spans="1:14" x14ac:dyDescent="0.25">
      <c r="A1731" t="s">
        <v>3954</v>
      </c>
      <c r="B1731" t="s">
        <v>406</v>
      </c>
      <c r="C1731" t="s">
        <v>407</v>
      </c>
      <c r="D1731" t="str">
        <f>VLOOKUP(J1731,Location[],2,FALSE)</f>
        <v>Memphis</v>
      </c>
      <c r="E1731" t="str">
        <f>VLOOKUP(J1731,Location[],3,FALSE)</f>
        <v> Tennessee</v>
      </c>
      <c r="F1731" t="str">
        <f>VLOOKUP(K1731,Dept[],2,FALSE)</f>
        <v>Legal</v>
      </c>
      <c r="G1731" s="11">
        <f t="shared" si="26"/>
        <v>43739</v>
      </c>
      <c r="H1731" t="str">
        <f>VLOOKUP(N1731,Status[],2,FALSE)</f>
        <v>Full-Time</v>
      </c>
      <c r="J1731" s="7">
        <v>1025</v>
      </c>
      <c r="K1731">
        <v>18</v>
      </c>
      <c r="L1731">
        <v>2019</v>
      </c>
      <c r="M1731">
        <v>10</v>
      </c>
      <c r="N1731">
        <v>1</v>
      </c>
    </row>
    <row r="1732" spans="1:14" x14ac:dyDescent="0.25">
      <c r="A1732" t="s">
        <v>3955</v>
      </c>
      <c r="B1732" t="s">
        <v>865</v>
      </c>
      <c r="C1732" t="s">
        <v>1320</v>
      </c>
      <c r="D1732" t="str">
        <f>VLOOKUP(J1732,Location[],2,FALSE)</f>
        <v>Houston</v>
      </c>
      <c r="E1732" t="str">
        <f>VLOOKUP(J1732,Location[],3,FALSE)</f>
        <v> Texas</v>
      </c>
      <c r="F1732" t="str">
        <f>VLOOKUP(K1732,Dept[],2,FALSE)</f>
        <v>Customer Support</v>
      </c>
      <c r="G1732" s="11">
        <f t="shared" si="26"/>
        <v>44682</v>
      </c>
      <c r="H1732" t="str">
        <f>VLOOKUP(N1732,Status[],2,FALSE)</f>
        <v>Part-Time</v>
      </c>
      <c r="J1732" s="7">
        <v>1004</v>
      </c>
      <c r="K1732">
        <v>14</v>
      </c>
      <c r="L1732">
        <v>2022</v>
      </c>
      <c r="M1732">
        <v>5</v>
      </c>
      <c r="N1732">
        <v>0</v>
      </c>
    </row>
    <row r="1733" spans="1:14" x14ac:dyDescent="0.25">
      <c r="A1733" t="s">
        <v>3956</v>
      </c>
      <c r="B1733" t="s">
        <v>445</v>
      </c>
      <c r="C1733" t="s">
        <v>501</v>
      </c>
      <c r="D1733" t="str">
        <f>VLOOKUP(J1733,Location[],2,FALSE)</f>
        <v>Oklahoma City</v>
      </c>
      <c r="E1733" t="str">
        <f>VLOOKUP(J1733,Location[],3,FALSE)</f>
        <v> Oklahoma</v>
      </c>
      <c r="F1733" t="str">
        <f>VLOOKUP(K1733,Dept[],2,FALSE)</f>
        <v>Sales</v>
      </c>
      <c r="G1733" s="11">
        <f t="shared" ref="G1733:G1796" si="27">DATE(L1733,M1733,1)</f>
        <v>44593</v>
      </c>
      <c r="H1733" t="str">
        <f>VLOOKUP(N1733,Status[],2,FALSE)</f>
        <v>Part-Time</v>
      </c>
      <c r="J1733" s="7">
        <v>1027</v>
      </c>
      <c r="K1733">
        <v>22</v>
      </c>
      <c r="L1733">
        <v>2022</v>
      </c>
      <c r="M1733">
        <v>2</v>
      </c>
      <c r="N1733">
        <v>0</v>
      </c>
    </row>
    <row r="1734" spans="1:14" x14ac:dyDescent="0.25">
      <c r="A1734" t="s">
        <v>3957</v>
      </c>
      <c r="B1734" t="s">
        <v>705</v>
      </c>
      <c r="C1734" t="s">
        <v>501</v>
      </c>
      <c r="D1734" t="str">
        <f>VLOOKUP(J1734,Location[],2,FALSE)</f>
        <v>Austin</v>
      </c>
      <c r="E1734" t="str">
        <f>VLOOKUP(J1734,Location[],3,FALSE)</f>
        <v> Texas</v>
      </c>
      <c r="F1734" t="str">
        <f>VLOOKUP(K1734,Dept[],2,FALSE)</f>
        <v>Legal</v>
      </c>
      <c r="G1734" s="11">
        <f t="shared" si="27"/>
        <v>43466</v>
      </c>
      <c r="H1734" t="str">
        <f>VLOOKUP(N1734,Status[],2,FALSE)</f>
        <v>Part-Time</v>
      </c>
      <c r="J1734" s="7">
        <v>1011</v>
      </c>
      <c r="K1734">
        <v>18</v>
      </c>
      <c r="L1734">
        <v>2019</v>
      </c>
      <c r="M1734">
        <v>1</v>
      </c>
      <c r="N1734">
        <v>0</v>
      </c>
    </row>
    <row r="1735" spans="1:14" x14ac:dyDescent="0.25">
      <c r="A1735" t="s">
        <v>3958</v>
      </c>
      <c r="B1735" t="s">
        <v>872</v>
      </c>
      <c r="C1735" t="s">
        <v>501</v>
      </c>
      <c r="D1735" t="str">
        <f>VLOOKUP(J1735,Location[],2,FALSE)</f>
        <v>Charlotte</v>
      </c>
      <c r="E1735" t="str">
        <f>VLOOKUP(J1735,Location[],3,FALSE)</f>
        <v> North Carolina</v>
      </c>
      <c r="F1735" t="str">
        <f>VLOOKUP(K1735,Dept[],2,FALSE)</f>
        <v>Sales</v>
      </c>
      <c r="G1735" s="11">
        <f t="shared" si="27"/>
        <v>41456</v>
      </c>
      <c r="H1735" t="str">
        <f>VLOOKUP(N1735,Status[],2,FALSE)</f>
        <v>Full-Time</v>
      </c>
      <c r="J1735" s="7">
        <v>1017</v>
      </c>
      <c r="K1735">
        <v>22</v>
      </c>
      <c r="L1735">
        <v>2013</v>
      </c>
      <c r="M1735">
        <v>7</v>
      </c>
      <c r="N1735">
        <v>1</v>
      </c>
    </row>
    <row r="1736" spans="1:14" x14ac:dyDescent="0.25">
      <c r="A1736" t="s">
        <v>3959</v>
      </c>
      <c r="B1736" t="s">
        <v>144</v>
      </c>
      <c r="C1736" t="s">
        <v>501</v>
      </c>
      <c r="D1736" t="str">
        <f>VLOOKUP(J1736,Location[],2,FALSE)</f>
        <v>Las Vegas</v>
      </c>
      <c r="E1736" t="str">
        <f>VLOOKUP(J1736,Location[],3,FALSE)</f>
        <v> Nevada</v>
      </c>
      <c r="F1736" t="str">
        <f>VLOOKUP(K1736,Dept[],2,FALSE)</f>
        <v>Customer Support</v>
      </c>
      <c r="G1736" s="11">
        <f t="shared" si="27"/>
        <v>42552</v>
      </c>
      <c r="H1736" t="str">
        <f>VLOOKUP(N1736,Status[],2,FALSE)</f>
        <v>Full-Time</v>
      </c>
      <c r="J1736" s="7">
        <v>1028</v>
      </c>
      <c r="K1736">
        <v>14</v>
      </c>
      <c r="L1736">
        <v>2016</v>
      </c>
      <c r="M1736">
        <v>7</v>
      </c>
      <c r="N1736">
        <v>1</v>
      </c>
    </row>
    <row r="1737" spans="1:14" x14ac:dyDescent="0.25">
      <c r="A1737" t="s">
        <v>3960</v>
      </c>
      <c r="B1737" t="s">
        <v>841</v>
      </c>
      <c r="C1737" t="s">
        <v>501</v>
      </c>
      <c r="D1737" t="str">
        <f>VLOOKUP(J1737,Location[],2,FALSE)</f>
        <v>Chandler</v>
      </c>
      <c r="E1737" t="str">
        <f>VLOOKUP(J1737,Location[],3,FALSE)</f>
        <v> Arizona</v>
      </c>
      <c r="F1737" t="str">
        <f>VLOOKUP(K1737,Dept[],2,FALSE)</f>
        <v>IT</v>
      </c>
      <c r="G1737" s="11">
        <f t="shared" si="27"/>
        <v>41609</v>
      </c>
      <c r="H1737" t="str">
        <f>VLOOKUP(N1737,Status[],2,FALSE)</f>
        <v>Full-Time</v>
      </c>
      <c r="J1737" s="7">
        <v>1084</v>
      </c>
      <c r="K1737">
        <v>17</v>
      </c>
      <c r="L1737">
        <v>2013</v>
      </c>
      <c r="M1737">
        <v>12</v>
      </c>
      <c r="N1737">
        <v>1</v>
      </c>
    </row>
    <row r="1738" spans="1:14" x14ac:dyDescent="0.25">
      <c r="A1738" t="s">
        <v>3961</v>
      </c>
      <c r="B1738" t="s">
        <v>97</v>
      </c>
      <c r="C1738" t="s">
        <v>381</v>
      </c>
      <c r="D1738" t="str">
        <f>VLOOKUP(J1738,Location[],2,FALSE)</f>
        <v>Wichita</v>
      </c>
      <c r="E1738" t="str">
        <f>VLOOKUP(J1738,Location[],3,FALSE)</f>
        <v> Kansas</v>
      </c>
      <c r="F1738" t="str">
        <f>VLOOKUP(K1738,Dept[],2,FALSE)</f>
        <v>Assessment</v>
      </c>
      <c r="G1738" s="11">
        <f t="shared" si="27"/>
        <v>45170</v>
      </c>
      <c r="H1738" t="str">
        <f>VLOOKUP(N1738,Status[],2,FALSE)</f>
        <v>Part-Time</v>
      </c>
      <c r="J1738" s="7">
        <v>1050</v>
      </c>
      <c r="K1738">
        <v>13</v>
      </c>
      <c r="L1738">
        <v>2023</v>
      </c>
      <c r="M1738">
        <v>9</v>
      </c>
      <c r="N1738">
        <v>0</v>
      </c>
    </row>
    <row r="1739" spans="1:14" x14ac:dyDescent="0.25">
      <c r="A1739" t="s">
        <v>3962</v>
      </c>
      <c r="B1739" t="s">
        <v>1128</v>
      </c>
      <c r="C1739" t="s">
        <v>1129</v>
      </c>
      <c r="D1739" t="str">
        <f>VLOOKUP(J1739,Location[],2,FALSE)</f>
        <v>Seattle</v>
      </c>
      <c r="E1739" t="str">
        <f>VLOOKUP(J1739,Location[],3,FALSE)</f>
        <v> Washington</v>
      </c>
      <c r="F1739" t="str">
        <f>VLOOKUP(K1739,Dept[],2,FALSE)</f>
        <v>Human Resources</v>
      </c>
      <c r="G1739" s="11">
        <f t="shared" si="27"/>
        <v>41030</v>
      </c>
      <c r="H1739" t="str">
        <f>VLOOKUP(N1739,Status[],2,FALSE)</f>
        <v>Part-Time</v>
      </c>
      <c r="J1739" s="7">
        <v>1018</v>
      </c>
      <c r="K1739">
        <v>16</v>
      </c>
      <c r="L1739">
        <v>2012</v>
      </c>
      <c r="M1739">
        <v>5</v>
      </c>
      <c r="N1739">
        <v>0</v>
      </c>
    </row>
    <row r="1740" spans="1:14" x14ac:dyDescent="0.25">
      <c r="A1740" t="s">
        <v>3963</v>
      </c>
      <c r="B1740" t="s">
        <v>608</v>
      </c>
      <c r="C1740" t="s">
        <v>1681</v>
      </c>
      <c r="D1740" t="str">
        <f>VLOOKUP(J1740,Location[],2,FALSE)</f>
        <v>Albuquerque</v>
      </c>
      <c r="E1740" t="str">
        <f>VLOOKUP(J1740,Location[],3,FALSE)</f>
        <v> New Mexico</v>
      </c>
      <c r="F1740" t="str">
        <f>VLOOKUP(K1740,Dept[],2,FALSE)</f>
        <v>Sales</v>
      </c>
      <c r="G1740" s="11">
        <f t="shared" si="27"/>
        <v>43647</v>
      </c>
      <c r="H1740" t="str">
        <f>VLOOKUP(N1740,Status[],2,FALSE)</f>
        <v>Full-Time</v>
      </c>
      <c r="J1740" s="7">
        <v>1032</v>
      </c>
      <c r="K1740">
        <v>22</v>
      </c>
      <c r="L1740">
        <v>2019</v>
      </c>
      <c r="M1740">
        <v>7</v>
      </c>
      <c r="N1740">
        <v>1</v>
      </c>
    </row>
    <row r="1741" spans="1:14" x14ac:dyDescent="0.25">
      <c r="A1741" t="s">
        <v>3964</v>
      </c>
      <c r="B1741" t="s">
        <v>71</v>
      </c>
      <c r="C1741" t="s">
        <v>1324</v>
      </c>
      <c r="D1741" t="str">
        <f>VLOOKUP(J1741,Location[],2,FALSE)</f>
        <v>Oakland</v>
      </c>
      <c r="E1741" t="str">
        <f>VLOOKUP(J1741,Location[],3,FALSE)</f>
        <v> California</v>
      </c>
      <c r="F1741" t="str">
        <f>VLOOKUP(K1741,Dept[],2,FALSE)</f>
        <v>IT</v>
      </c>
      <c r="G1741" s="11">
        <f t="shared" si="27"/>
        <v>41091</v>
      </c>
      <c r="H1741" t="str">
        <f>VLOOKUP(N1741,Status[],2,FALSE)</f>
        <v>Full-Time</v>
      </c>
      <c r="J1741" s="7">
        <v>1045</v>
      </c>
      <c r="K1741">
        <v>17</v>
      </c>
      <c r="L1741">
        <v>2012</v>
      </c>
      <c r="M1741">
        <v>7</v>
      </c>
      <c r="N1741">
        <v>1</v>
      </c>
    </row>
    <row r="1742" spans="1:14" x14ac:dyDescent="0.25">
      <c r="A1742" t="s">
        <v>3965</v>
      </c>
      <c r="B1742" t="s">
        <v>1666</v>
      </c>
      <c r="C1742" t="s">
        <v>1219</v>
      </c>
      <c r="D1742" t="str">
        <f>VLOOKUP(J1742,Location[],2,FALSE)</f>
        <v>Colorado Springs</v>
      </c>
      <c r="E1742" t="str">
        <f>VLOOKUP(J1742,Location[],3,FALSE)</f>
        <v> Colorado</v>
      </c>
      <c r="F1742" t="str">
        <f>VLOOKUP(K1742,Dept[],2,FALSE)</f>
        <v>Accounting</v>
      </c>
      <c r="G1742" s="11">
        <f t="shared" si="27"/>
        <v>42917</v>
      </c>
      <c r="H1742" t="str">
        <f>VLOOKUP(N1742,Status[],2,FALSE)</f>
        <v>Part-Time</v>
      </c>
      <c r="J1742" s="7">
        <v>1042</v>
      </c>
      <c r="K1742">
        <v>11</v>
      </c>
      <c r="L1742">
        <v>2017</v>
      </c>
      <c r="M1742">
        <v>7</v>
      </c>
      <c r="N1742">
        <v>0</v>
      </c>
    </row>
    <row r="1743" spans="1:14" x14ac:dyDescent="0.25">
      <c r="A1743" t="s">
        <v>3966</v>
      </c>
      <c r="B1743" t="s">
        <v>1218</v>
      </c>
      <c r="C1743" t="s">
        <v>1219</v>
      </c>
      <c r="D1743" t="str">
        <f>VLOOKUP(J1743,Location[],2,FALSE)</f>
        <v>Reno</v>
      </c>
      <c r="E1743" t="str">
        <f>VLOOKUP(J1743,Location[],3,FALSE)</f>
        <v> Nevada</v>
      </c>
      <c r="F1743" t="str">
        <f>VLOOKUP(K1743,Dept[],2,FALSE)</f>
        <v>Administration</v>
      </c>
      <c r="G1743" s="11">
        <f t="shared" si="27"/>
        <v>41671</v>
      </c>
      <c r="H1743" t="str">
        <f>VLOOKUP(N1743,Status[],2,FALSE)</f>
        <v>Full-Time</v>
      </c>
      <c r="J1743" s="7">
        <v>1086</v>
      </c>
      <c r="K1743">
        <v>12</v>
      </c>
      <c r="L1743">
        <v>2014</v>
      </c>
      <c r="M1743">
        <v>2</v>
      </c>
      <c r="N1743">
        <v>1</v>
      </c>
    </row>
    <row r="1744" spans="1:14" x14ac:dyDescent="0.25">
      <c r="A1744" t="s">
        <v>3967</v>
      </c>
      <c r="B1744" t="s">
        <v>1016</v>
      </c>
      <c r="C1744" t="s">
        <v>1213</v>
      </c>
      <c r="D1744" t="str">
        <f>VLOOKUP(J1744,Location[],2,FALSE)</f>
        <v>Memphis</v>
      </c>
      <c r="E1744" t="str">
        <f>VLOOKUP(J1744,Location[],3,FALSE)</f>
        <v> Tennessee</v>
      </c>
      <c r="F1744" t="str">
        <f>VLOOKUP(K1744,Dept[],2,FALSE)</f>
        <v>Assessment</v>
      </c>
      <c r="G1744" s="11">
        <f t="shared" si="27"/>
        <v>41579</v>
      </c>
      <c r="H1744" t="str">
        <f>VLOOKUP(N1744,Status[],2,FALSE)</f>
        <v>Full-Time</v>
      </c>
      <c r="J1744" s="7">
        <v>1025</v>
      </c>
      <c r="K1744">
        <v>13</v>
      </c>
      <c r="L1744">
        <v>2013</v>
      </c>
      <c r="M1744">
        <v>11</v>
      </c>
      <c r="N1744">
        <v>1</v>
      </c>
    </row>
    <row r="1745" spans="1:14" x14ac:dyDescent="0.25">
      <c r="A1745" t="s">
        <v>3968</v>
      </c>
      <c r="B1745" t="s">
        <v>938</v>
      </c>
      <c r="C1745" t="s">
        <v>1013</v>
      </c>
      <c r="D1745" t="str">
        <f>VLOOKUP(J1745,Location[],2,FALSE)</f>
        <v>Miami</v>
      </c>
      <c r="E1745" t="str">
        <f>VLOOKUP(J1745,Location[],3,FALSE)</f>
        <v> Florida</v>
      </c>
      <c r="F1745" t="str">
        <f>VLOOKUP(K1745,Dept[],2,FALSE)</f>
        <v>Marketing</v>
      </c>
      <c r="G1745" s="11">
        <f t="shared" si="27"/>
        <v>44228</v>
      </c>
      <c r="H1745" t="str">
        <f>VLOOKUP(N1745,Status[],2,FALSE)</f>
        <v>Part-Time</v>
      </c>
      <c r="J1745" s="7">
        <v>1043</v>
      </c>
      <c r="K1745">
        <v>19</v>
      </c>
      <c r="L1745">
        <v>2021</v>
      </c>
      <c r="M1745">
        <v>2</v>
      </c>
      <c r="N1745">
        <v>0</v>
      </c>
    </row>
    <row r="1746" spans="1:14" x14ac:dyDescent="0.25">
      <c r="A1746" t="s">
        <v>3969</v>
      </c>
      <c r="B1746" t="s">
        <v>1981</v>
      </c>
      <c r="C1746" t="s">
        <v>1982</v>
      </c>
      <c r="D1746" t="str">
        <f>VLOOKUP(J1746,Location[],2,FALSE)</f>
        <v>Louisville</v>
      </c>
      <c r="E1746" t="str">
        <f>VLOOKUP(J1746,Location[],3,FALSE)</f>
        <v> Kentucky</v>
      </c>
      <c r="F1746" t="str">
        <f>VLOOKUP(K1746,Dept[],2,FALSE)</f>
        <v>Marketing</v>
      </c>
      <c r="G1746" s="11">
        <f t="shared" si="27"/>
        <v>43405</v>
      </c>
      <c r="H1746" t="str">
        <f>VLOOKUP(N1746,Status[],2,FALSE)</f>
        <v>Full-Time</v>
      </c>
      <c r="J1746" s="7">
        <v>1029</v>
      </c>
      <c r="K1746">
        <v>19</v>
      </c>
      <c r="L1746">
        <v>2018</v>
      </c>
      <c r="M1746">
        <v>11</v>
      </c>
      <c r="N1746">
        <v>1</v>
      </c>
    </row>
    <row r="1747" spans="1:14" x14ac:dyDescent="0.25">
      <c r="A1747" t="s">
        <v>3970</v>
      </c>
      <c r="B1747" t="s">
        <v>308</v>
      </c>
      <c r="C1747" t="s">
        <v>309</v>
      </c>
      <c r="D1747" t="str">
        <f>VLOOKUP(J1747,Location[],2,FALSE)</f>
        <v>Fort Worth</v>
      </c>
      <c r="E1747" t="str">
        <f>VLOOKUP(J1747,Location[],3,FALSE)</f>
        <v> Texas</v>
      </c>
      <c r="F1747" t="str">
        <f>VLOOKUP(K1747,Dept[],2,FALSE)</f>
        <v>R&amp;D</v>
      </c>
      <c r="G1747" s="11">
        <f t="shared" si="27"/>
        <v>42248</v>
      </c>
      <c r="H1747" t="str">
        <f>VLOOKUP(N1747,Status[],2,FALSE)</f>
        <v>Full-Time</v>
      </c>
      <c r="J1747" s="7">
        <v>1015</v>
      </c>
      <c r="K1747">
        <v>21</v>
      </c>
      <c r="L1747">
        <v>2015</v>
      </c>
      <c r="M1747">
        <v>9</v>
      </c>
      <c r="N1747">
        <v>1</v>
      </c>
    </row>
    <row r="1748" spans="1:14" x14ac:dyDescent="0.25">
      <c r="A1748" t="s">
        <v>3971</v>
      </c>
      <c r="B1748" t="s">
        <v>521</v>
      </c>
      <c r="C1748" t="s">
        <v>309</v>
      </c>
      <c r="D1748" t="str">
        <f>VLOOKUP(J1748,Location[],2,FALSE)</f>
        <v>Anaheim</v>
      </c>
      <c r="E1748" t="str">
        <f>VLOOKUP(J1748,Location[],3,FALSE)</f>
        <v> California</v>
      </c>
      <c r="F1748" t="str">
        <f>VLOOKUP(K1748,Dept[],2,FALSE)</f>
        <v>IT</v>
      </c>
      <c r="G1748" s="11">
        <f t="shared" si="27"/>
        <v>41579</v>
      </c>
      <c r="H1748" t="str">
        <f>VLOOKUP(N1748,Status[],2,FALSE)</f>
        <v>Full-Time</v>
      </c>
      <c r="J1748" s="7">
        <v>1055</v>
      </c>
      <c r="K1748">
        <v>17</v>
      </c>
      <c r="L1748">
        <v>2013</v>
      </c>
      <c r="M1748">
        <v>11</v>
      </c>
      <c r="N1748">
        <v>1</v>
      </c>
    </row>
    <row r="1749" spans="1:14" x14ac:dyDescent="0.25">
      <c r="A1749" t="s">
        <v>3972</v>
      </c>
      <c r="B1749" t="s">
        <v>834</v>
      </c>
      <c r="C1749" t="s">
        <v>309</v>
      </c>
      <c r="D1749" t="str">
        <f>VLOOKUP(J1749,Location[],2,FALSE)</f>
        <v>Chicago</v>
      </c>
      <c r="E1749" t="str">
        <f>VLOOKUP(J1749,Location[],3,FALSE)</f>
        <v> Illinois</v>
      </c>
      <c r="F1749" t="str">
        <f>VLOOKUP(K1749,Dept[],2,FALSE)</f>
        <v>Finance</v>
      </c>
      <c r="G1749" s="11">
        <f t="shared" si="27"/>
        <v>43435</v>
      </c>
      <c r="H1749" t="str">
        <f>VLOOKUP(N1749,Status[],2,FALSE)</f>
        <v>Full-Time</v>
      </c>
      <c r="J1749" s="7">
        <v>1003</v>
      </c>
      <c r="K1749">
        <v>15</v>
      </c>
      <c r="L1749">
        <v>2018</v>
      </c>
      <c r="M1749">
        <v>12</v>
      </c>
      <c r="N1749">
        <v>1</v>
      </c>
    </row>
    <row r="1750" spans="1:14" x14ac:dyDescent="0.25">
      <c r="A1750" t="s">
        <v>3973</v>
      </c>
      <c r="B1750" t="s">
        <v>1498</v>
      </c>
      <c r="C1750" t="s">
        <v>2044</v>
      </c>
      <c r="D1750" t="str">
        <f>VLOOKUP(J1750,Location[],2,FALSE)</f>
        <v>Philadelphia</v>
      </c>
      <c r="E1750" t="str">
        <f>VLOOKUP(J1750,Location[],3,FALSE)</f>
        <v> Pennsylvania</v>
      </c>
      <c r="F1750" t="str">
        <f>VLOOKUP(K1750,Dept[],2,FALSE)</f>
        <v>Legal</v>
      </c>
      <c r="G1750" s="11">
        <f t="shared" si="27"/>
        <v>41456</v>
      </c>
      <c r="H1750" t="str">
        <f>VLOOKUP(N1750,Status[],2,FALSE)</f>
        <v>Full-Time</v>
      </c>
      <c r="J1750" s="7">
        <v>1006</v>
      </c>
      <c r="K1750">
        <v>18</v>
      </c>
      <c r="L1750">
        <v>2013</v>
      </c>
      <c r="M1750">
        <v>7</v>
      </c>
      <c r="N1750">
        <v>1</v>
      </c>
    </row>
    <row r="1751" spans="1:14" x14ac:dyDescent="0.25">
      <c r="A1751" t="s">
        <v>3974</v>
      </c>
      <c r="B1751" t="s">
        <v>177</v>
      </c>
      <c r="C1751" t="s">
        <v>178</v>
      </c>
      <c r="D1751" t="str">
        <f>VLOOKUP(J1751,Location[],2,FALSE)</f>
        <v>Austin</v>
      </c>
      <c r="E1751" t="str">
        <f>VLOOKUP(J1751,Location[],3,FALSE)</f>
        <v> Texas</v>
      </c>
      <c r="F1751" t="str">
        <f>VLOOKUP(K1751,Dept[],2,FALSE)</f>
        <v>IT</v>
      </c>
      <c r="G1751" s="11">
        <f t="shared" si="27"/>
        <v>43070</v>
      </c>
      <c r="H1751" t="str">
        <f>VLOOKUP(N1751,Status[],2,FALSE)</f>
        <v>Full-Time</v>
      </c>
      <c r="J1751" s="7">
        <v>1011</v>
      </c>
      <c r="K1751">
        <v>17</v>
      </c>
      <c r="L1751">
        <v>2017</v>
      </c>
      <c r="M1751">
        <v>12</v>
      </c>
      <c r="N1751">
        <v>1</v>
      </c>
    </row>
    <row r="1752" spans="1:14" x14ac:dyDescent="0.25">
      <c r="A1752" t="s">
        <v>3975</v>
      </c>
      <c r="B1752" t="s">
        <v>490</v>
      </c>
      <c r="C1752" t="s">
        <v>663</v>
      </c>
      <c r="D1752" t="str">
        <f>VLOOKUP(J1752,Location[],2,FALSE)</f>
        <v>Boston</v>
      </c>
      <c r="E1752" t="str">
        <f>VLOOKUP(J1752,Location[],3,FALSE)</f>
        <v> Massachusetts</v>
      </c>
      <c r="F1752" t="str">
        <f>VLOOKUP(K1752,Dept[],2,FALSE)</f>
        <v>Customer Support</v>
      </c>
      <c r="G1752" s="11">
        <f t="shared" si="27"/>
        <v>42217</v>
      </c>
      <c r="H1752" t="str">
        <f>VLOOKUP(N1752,Status[],2,FALSE)</f>
        <v>Full-Time</v>
      </c>
      <c r="J1752" s="7">
        <v>1021</v>
      </c>
      <c r="K1752">
        <v>14</v>
      </c>
      <c r="L1752">
        <v>2015</v>
      </c>
      <c r="M1752">
        <v>8</v>
      </c>
      <c r="N1752">
        <v>1</v>
      </c>
    </row>
    <row r="1753" spans="1:14" x14ac:dyDescent="0.25">
      <c r="A1753" t="s">
        <v>3976</v>
      </c>
      <c r="B1753" t="s">
        <v>507</v>
      </c>
      <c r="C1753" t="s">
        <v>796</v>
      </c>
      <c r="D1753" t="str">
        <f>VLOOKUP(J1753,Location[],2,FALSE)</f>
        <v>San Antonio</v>
      </c>
      <c r="E1753" t="str">
        <f>VLOOKUP(J1753,Location[],3,FALSE)</f>
        <v> Texas</v>
      </c>
      <c r="F1753" t="str">
        <f>VLOOKUP(K1753,Dept[],2,FALSE)</f>
        <v>Sales</v>
      </c>
      <c r="G1753" s="11">
        <f t="shared" si="27"/>
        <v>41334</v>
      </c>
      <c r="H1753" t="str">
        <f>VLOOKUP(N1753,Status[],2,FALSE)</f>
        <v>Full-Time</v>
      </c>
      <c r="J1753" s="7">
        <v>1007</v>
      </c>
      <c r="K1753">
        <v>22</v>
      </c>
      <c r="L1753">
        <v>2013</v>
      </c>
      <c r="M1753">
        <v>3</v>
      </c>
      <c r="N1753">
        <v>1</v>
      </c>
    </row>
    <row r="1754" spans="1:14" x14ac:dyDescent="0.25">
      <c r="A1754" t="s">
        <v>3977</v>
      </c>
      <c r="B1754" t="s">
        <v>322</v>
      </c>
      <c r="C1754" t="s">
        <v>796</v>
      </c>
      <c r="D1754" t="str">
        <f>VLOOKUP(J1754,Location[],2,FALSE)</f>
        <v>Baltimore</v>
      </c>
      <c r="E1754" t="str">
        <f>VLOOKUP(J1754,Location[],3,FALSE)</f>
        <v> Maryland</v>
      </c>
      <c r="F1754" t="str">
        <f>VLOOKUP(K1754,Dept[],2,FALSE)</f>
        <v>Accounting</v>
      </c>
      <c r="G1754" s="11">
        <f t="shared" si="27"/>
        <v>42948</v>
      </c>
      <c r="H1754" t="str">
        <f>VLOOKUP(N1754,Status[],2,FALSE)</f>
        <v>Full-Time</v>
      </c>
      <c r="J1754" s="7">
        <v>1030</v>
      </c>
      <c r="K1754">
        <v>11</v>
      </c>
      <c r="L1754">
        <v>2017</v>
      </c>
      <c r="M1754">
        <v>8</v>
      </c>
      <c r="N1754">
        <v>1</v>
      </c>
    </row>
    <row r="1755" spans="1:14" x14ac:dyDescent="0.25">
      <c r="A1755" t="s">
        <v>3978</v>
      </c>
      <c r="B1755" t="s">
        <v>5</v>
      </c>
      <c r="C1755" t="s">
        <v>796</v>
      </c>
      <c r="D1755" t="str">
        <f>VLOOKUP(J1755,Location[],2,FALSE)</f>
        <v>Cincinnati</v>
      </c>
      <c r="E1755" t="str">
        <f>VLOOKUP(J1755,Location[],3,FALSE)</f>
        <v> Ohio</v>
      </c>
      <c r="F1755" t="str">
        <f>VLOOKUP(K1755,Dept[],2,FALSE)</f>
        <v>IT</v>
      </c>
      <c r="G1755" s="11">
        <f t="shared" si="27"/>
        <v>43862</v>
      </c>
      <c r="H1755" t="str">
        <f>VLOOKUP(N1755,Status[],2,FALSE)</f>
        <v>Full-Time</v>
      </c>
      <c r="J1755" s="7">
        <v>1066</v>
      </c>
      <c r="K1755">
        <v>17</v>
      </c>
      <c r="L1755">
        <v>2020</v>
      </c>
      <c r="M1755">
        <v>2</v>
      </c>
      <c r="N1755">
        <v>1</v>
      </c>
    </row>
    <row r="1756" spans="1:14" x14ac:dyDescent="0.25">
      <c r="A1756" t="s">
        <v>3979</v>
      </c>
      <c r="B1756" t="s">
        <v>527</v>
      </c>
      <c r="C1756" t="s">
        <v>1176</v>
      </c>
      <c r="D1756" t="str">
        <f>VLOOKUP(J1756,Location[],2,FALSE)</f>
        <v>San Antonio</v>
      </c>
      <c r="E1756" t="str">
        <f>VLOOKUP(J1756,Location[],3,FALSE)</f>
        <v> Texas</v>
      </c>
      <c r="F1756" t="str">
        <f>VLOOKUP(K1756,Dept[],2,FALSE)</f>
        <v>Administration</v>
      </c>
      <c r="G1756" s="11">
        <f t="shared" si="27"/>
        <v>41518</v>
      </c>
      <c r="H1756" t="str">
        <f>VLOOKUP(N1756,Status[],2,FALSE)</f>
        <v>Full-Time</v>
      </c>
      <c r="J1756" s="7">
        <v>1007</v>
      </c>
      <c r="K1756">
        <v>12</v>
      </c>
      <c r="L1756">
        <v>2013</v>
      </c>
      <c r="M1756">
        <v>9</v>
      </c>
      <c r="N1756">
        <v>1</v>
      </c>
    </row>
    <row r="1757" spans="1:14" x14ac:dyDescent="0.25">
      <c r="A1757" t="s">
        <v>3980</v>
      </c>
      <c r="B1757" t="s">
        <v>29</v>
      </c>
      <c r="C1757" t="s">
        <v>513</v>
      </c>
      <c r="D1757" t="str">
        <f>VLOOKUP(J1757,Location[],2,FALSE)</f>
        <v>Toledo</v>
      </c>
      <c r="E1757" t="str">
        <f>VLOOKUP(J1757,Location[],3,FALSE)</f>
        <v> Ohio</v>
      </c>
      <c r="F1757" t="str">
        <f>VLOOKUP(K1757,Dept[],2,FALSE)</f>
        <v>Shipping</v>
      </c>
      <c r="G1757" s="11">
        <f t="shared" si="27"/>
        <v>40634</v>
      </c>
      <c r="H1757" t="str">
        <f>VLOOKUP(N1757,Status[],2,FALSE)</f>
        <v>Part-Time</v>
      </c>
      <c r="J1757" s="7">
        <v>1074</v>
      </c>
      <c r="K1757">
        <v>23</v>
      </c>
      <c r="L1757">
        <v>2011</v>
      </c>
      <c r="M1757">
        <v>4</v>
      </c>
      <c r="N1757">
        <v>0</v>
      </c>
    </row>
    <row r="1758" spans="1:14" x14ac:dyDescent="0.25">
      <c r="A1758" t="s">
        <v>3981</v>
      </c>
      <c r="B1758" t="s">
        <v>429</v>
      </c>
      <c r="C1758" t="s">
        <v>430</v>
      </c>
      <c r="D1758" t="str">
        <f>VLOOKUP(J1758,Location[],2,FALSE)</f>
        <v>Boston</v>
      </c>
      <c r="E1758" t="str">
        <f>VLOOKUP(J1758,Location[],3,FALSE)</f>
        <v> Massachusetts</v>
      </c>
      <c r="F1758" t="str">
        <f>VLOOKUP(K1758,Dept[],2,FALSE)</f>
        <v>Sales</v>
      </c>
      <c r="G1758" s="11">
        <f t="shared" si="27"/>
        <v>44287</v>
      </c>
      <c r="H1758" t="str">
        <f>VLOOKUP(N1758,Status[],2,FALSE)</f>
        <v>Full-Time</v>
      </c>
      <c r="J1758" s="7">
        <v>1021</v>
      </c>
      <c r="K1758">
        <v>22</v>
      </c>
      <c r="L1758">
        <v>2021</v>
      </c>
      <c r="M1758">
        <v>4</v>
      </c>
      <c r="N1758">
        <v>1</v>
      </c>
    </row>
    <row r="1759" spans="1:14" x14ac:dyDescent="0.25">
      <c r="A1759" t="s">
        <v>3982</v>
      </c>
      <c r="B1759" t="s">
        <v>1635</v>
      </c>
      <c r="C1759" t="s">
        <v>1989</v>
      </c>
      <c r="D1759" t="str">
        <f>VLOOKUP(J1759,Location[],2,FALSE)</f>
        <v>Phoenix</v>
      </c>
      <c r="E1759" t="str">
        <f>VLOOKUP(J1759,Location[],3,FALSE)</f>
        <v> Arizona</v>
      </c>
      <c r="F1759" t="str">
        <f>VLOOKUP(K1759,Dept[],2,FALSE)</f>
        <v>Legal</v>
      </c>
      <c r="G1759" s="11">
        <f t="shared" si="27"/>
        <v>43678</v>
      </c>
      <c r="H1759" t="str">
        <f>VLOOKUP(N1759,Status[],2,FALSE)</f>
        <v>Part-Time</v>
      </c>
      <c r="J1759" s="7">
        <v>1005</v>
      </c>
      <c r="K1759">
        <v>18</v>
      </c>
      <c r="L1759">
        <v>2019</v>
      </c>
      <c r="M1759">
        <v>8</v>
      </c>
      <c r="N1759">
        <v>0</v>
      </c>
    </row>
    <row r="1760" spans="1:14" x14ac:dyDescent="0.25">
      <c r="A1760" t="s">
        <v>3983</v>
      </c>
      <c r="B1760" t="s">
        <v>71</v>
      </c>
      <c r="C1760" t="s">
        <v>1463</v>
      </c>
      <c r="D1760" t="str">
        <f>VLOOKUP(J1760,Location[],2,FALSE)</f>
        <v>Henderson</v>
      </c>
      <c r="E1760" t="str">
        <f>VLOOKUP(J1760,Location[],3,FALSE)</f>
        <v> Nevada</v>
      </c>
      <c r="F1760" t="str">
        <f>VLOOKUP(K1760,Dept[],2,FALSE)</f>
        <v>Media</v>
      </c>
      <c r="G1760" s="11">
        <f t="shared" si="27"/>
        <v>42064</v>
      </c>
      <c r="H1760" t="str">
        <f>VLOOKUP(N1760,Status[],2,FALSE)</f>
        <v>Part-Time</v>
      </c>
      <c r="J1760" s="7">
        <v>1064</v>
      </c>
      <c r="K1760">
        <v>20</v>
      </c>
      <c r="L1760">
        <v>2015</v>
      </c>
      <c r="M1760">
        <v>3</v>
      </c>
      <c r="N1760">
        <v>0</v>
      </c>
    </row>
    <row r="1761" spans="1:14" x14ac:dyDescent="0.25">
      <c r="A1761" t="s">
        <v>3984</v>
      </c>
      <c r="B1761" t="s">
        <v>668</v>
      </c>
      <c r="C1761" t="s">
        <v>312</v>
      </c>
      <c r="D1761" t="str">
        <f>VLOOKUP(J1761,Location[],2,FALSE)</f>
        <v>Philadelphia</v>
      </c>
      <c r="E1761" t="str">
        <f>VLOOKUP(J1761,Location[],3,FALSE)</f>
        <v> Pennsylvania</v>
      </c>
      <c r="F1761" t="str">
        <f>VLOOKUP(K1761,Dept[],2,FALSE)</f>
        <v>Customer Support</v>
      </c>
      <c r="G1761" s="11">
        <f t="shared" si="27"/>
        <v>41275</v>
      </c>
      <c r="H1761" t="str">
        <f>VLOOKUP(N1761,Status[],2,FALSE)</f>
        <v>Full-Time</v>
      </c>
      <c r="J1761" s="7">
        <v>1006</v>
      </c>
      <c r="K1761">
        <v>14</v>
      </c>
      <c r="L1761">
        <v>2013</v>
      </c>
      <c r="M1761">
        <v>1</v>
      </c>
      <c r="N1761">
        <v>1</v>
      </c>
    </row>
    <row r="1762" spans="1:14" x14ac:dyDescent="0.25">
      <c r="A1762" t="s">
        <v>3985</v>
      </c>
      <c r="B1762" t="s">
        <v>999</v>
      </c>
      <c r="C1762" t="s">
        <v>312</v>
      </c>
      <c r="D1762" t="str">
        <f>VLOOKUP(J1762,Location[],2,FALSE)</f>
        <v>Atlanta</v>
      </c>
      <c r="E1762" t="str">
        <f>VLOOKUP(J1762,Location[],3,FALSE)</f>
        <v> Georgia</v>
      </c>
      <c r="F1762" t="str">
        <f>VLOOKUP(K1762,Dept[],2,FALSE)</f>
        <v>Sales</v>
      </c>
      <c r="G1762" s="11">
        <f t="shared" si="27"/>
        <v>40940</v>
      </c>
      <c r="H1762" t="str">
        <f>VLOOKUP(N1762,Status[],2,FALSE)</f>
        <v>Full-Time</v>
      </c>
      <c r="J1762" s="7">
        <v>1038</v>
      </c>
      <c r="K1762">
        <v>22</v>
      </c>
      <c r="L1762">
        <v>2012</v>
      </c>
      <c r="M1762">
        <v>2</v>
      </c>
      <c r="N1762">
        <v>1</v>
      </c>
    </row>
    <row r="1763" spans="1:14" x14ac:dyDescent="0.25">
      <c r="A1763" t="s">
        <v>3986</v>
      </c>
      <c r="B1763" t="s">
        <v>1210</v>
      </c>
      <c r="C1763" t="s">
        <v>312</v>
      </c>
      <c r="D1763" t="str">
        <f>VLOOKUP(J1763,Location[],2,FALSE)</f>
        <v>Long Beach</v>
      </c>
      <c r="E1763" t="str">
        <f>VLOOKUP(J1763,Location[],3,FALSE)</f>
        <v> California</v>
      </c>
      <c r="F1763" t="str">
        <f>VLOOKUP(K1763,Dept[],2,FALSE)</f>
        <v>Customer Support</v>
      </c>
      <c r="G1763" s="11">
        <f t="shared" si="27"/>
        <v>42461</v>
      </c>
      <c r="H1763" t="str">
        <f>VLOOKUP(N1763,Status[],2,FALSE)</f>
        <v>Full-Time</v>
      </c>
      <c r="J1763" s="7">
        <v>1039</v>
      </c>
      <c r="K1763">
        <v>14</v>
      </c>
      <c r="L1763">
        <v>2016</v>
      </c>
      <c r="M1763">
        <v>4</v>
      </c>
      <c r="N1763">
        <v>1</v>
      </c>
    </row>
    <row r="1764" spans="1:14" x14ac:dyDescent="0.25">
      <c r="A1764" t="s">
        <v>3987</v>
      </c>
      <c r="B1764" t="s">
        <v>311</v>
      </c>
      <c r="C1764" t="s">
        <v>312</v>
      </c>
      <c r="D1764" t="str">
        <f>VLOOKUP(J1764,Location[],2,FALSE)</f>
        <v>Corpus Christi</v>
      </c>
      <c r="E1764" t="str">
        <f>VLOOKUP(J1764,Location[],3,FALSE)</f>
        <v> Texas</v>
      </c>
      <c r="F1764" t="str">
        <f>VLOOKUP(K1764,Dept[],2,FALSE)</f>
        <v>Media</v>
      </c>
      <c r="G1764" s="11">
        <f t="shared" si="27"/>
        <v>40969</v>
      </c>
      <c r="H1764" t="str">
        <f>VLOOKUP(N1764,Status[],2,FALSE)</f>
        <v>Full-Time</v>
      </c>
      <c r="J1764" s="7">
        <v>1059</v>
      </c>
      <c r="K1764">
        <v>20</v>
      </c>
      <c r="L1764">
        <v>2012</v>
      </c>
      <c r="M1764">
        <v>3</v>
      </c>
      <c r="N1764">
        <v>1</v>
      </c>
    </row>
    <row r="1765" spans="1:14" x14ac:dyDescent="0.25">
      <c r="A1765" t="s">
        <v>3988</v>
      </c>
      <c r="B1765" t="s">
        <v>202</v>
      </c>
      <c r="C1765" t="s">
        <v>584</v>
      </c>
      <c r="D1765" t="str">
        <f>VLOOKUP(J1765,Location[],2,FALSE)</f>
        <v>Fort Worth</v>
      </c>
      <c r="E1765" t="str">
        <f>VLOOKUP(J1765,Location[],3,FALSE)</f>
        <v> Texas</v>
      </c>
      <c r="F1765" t="str">
        <f>VLOOKUP(K1765,Dept[],2,FALSE)</f>
        <v>Marketing</v>
      </c>
      <c r="G1765" s="11">
        <f t="shared" si="27"/>
        <v>41974</v>
      </c>
      <c r="H1765" t="str">
        <f>VLOOKUP(N1765,Status[],2,FALSE)</f>
        <v>Part-Time</v>
      </c>
      <c r="J1765" s="7">
        <v>1015</v>
      </c>
      <c r="K1765">
        <v>19</v>
      </c>
      <c r="L1765">
        <v>2014</v>
      </c>
      <c r="M1765">
        <v>12</v>
      </c>
      <c r="N1765">
        <v>0</v>
      </c>
    </row>
    <row r="1766" spans="1:14" x14ac:dyDescent="0.25">
      <c r="A1766" t="s">
        <v>3989</v>
      </c>
      <c r="B1766" t="s">
        <v>1559</v>
      </c>
      <c r="C1766" t="s">
        <v>1114</v>
      </c>
      <c r="D1766" t="str">
        <f>VLOOKUP(J1766,Location[],2,FALSE)</f>
        <v>Tampa</v>
      </c>
      <c r="E1766" t="str">
        <f>VLOOKUP(J1766,Location[],3,FALSE)</f>
        <v> Florida</v>
      </c>
      <c r="F1766" t="str">
        <f>VLOOKUP(K1766,Dept[],2,FALSE)</f>
        <v>IT</v>
      </c>
      <c r="G1766" s="11">
        <f t="shared" si="27"/>
        <v>42705</v>
      </c>
      <c r="H1766" t="str">
        <f>VLOOKUP(N1766,Status[],2,FALSE)</f>
        <v>Part-Time</v>
      </c>
      <c r="J1766" s="7">
        <v>1052</v>
      </c>
      <c r="K1766">
        <v>17</v>
      </c>
      <c r="L1766">
        <v>2016</v>
      </c>
      <c r="M1766">
        <v>12</v>
      </c>
      <c r="N1766">
        <v>0</v>
      </c>
    </row>
    <row r="1767" spans="1:14" x14ac:dyDescent="0.25">
      <c r="A1767" t="s">
        <v>3990</v>
      </c>
      <c r="B1767" t="s">
        <v>252</v>
      </c>
      <c r="C1767" t="s">
        <v>1114</v>
      </c>
      <c r="D1767" t="str">
        <f>VLOOKUP(J1767,Location[],2,FALSE)</f>
        <v>Philadelphia</v>
      </c>
      <c r="E1767" t="str">
        <f>VLOOKUP(J1767,Location[],3,FALSE)</f>
        <v> Pennsylvania</v>
      </c>
      <c r="F1767" t="str">
        <f>VLOOKUP(K1767,Dept[],2,FALSE)</f>
        <v>Media</v>
      </c>
      <c r="G1767" s="11">
        <f t="shared" si="27"/>
        <v>43313</v>
      </c>
      <c r="H1767" t="str">
        <f>VLOOKUP(N1767,Status[],2,FALSE)</f>
        <v>Part-Time</v>
      </c>
      <c r="J1767" s="7">
        <v>1006</v>
      </c>
      <c r="K1767">
        <v>20</v>
      </c>
      <c r="L1767">
        <v>2018</v>
      </c>
      <c r="M1767">
        <v>8</v>
      </c>
      <c r="N1767">
        <v>0</v>
      </c>
    </row>
    <row r="1768" spans="1:14" x14ac:dyDescent="0.25">
      <c r="A1768" t="s">
        <v>3991</v>
      </c>
      <c r="B1768" t="s">
        <v>339</v>
      </c>
      <c r="C1768" t="s">
        <v>977</v>
      </c>
      <c r="D1768" t="str">
        <f>VLOOKUP(J1768,Location[],2,FALSE)</f>
        <v>Detroit</v>
      </c>
      <c r="E1768" t="str">
        <f>VLOOKUP(J1768,Location[],3,FALSE)</f>
        <v> Michigan</v>
      </c>
      <c r="F1768" t="str">
        <f>VLOOKUP(K1768,Dept[],2,FALSE)</f>
        <v>R&amp;D</v>
      </c>
      <c r="G1768" s="11">
        <f t="shared" si="27"/>
        <v>40909</v>
      </c>
      <c r="H1768" t="str">
        <f>VLOOKUP(N1768,Status[],2,FALSE)</f>
        <v>Full-Time</v>
      </c>
      <c r="J1768" s="7">
        <v>1023</v>
      </c>
      <c r="K1768">
        <v>21</v>
      </c>
      <c r="L1768">
        <v>2012</v>
      </c>
      <c r="M1768">
        <v>1</v>
      </c>
      <c r="N1768">
        <v>1</v>
      </c>
    </row>
    <row r="1769" spans="1:14" x14ac:dyDescent="0.25">
      <c r="A1769" t="s">
        <v>3992</v>
      </c>
      <c r="B1769" t="s">
        <v>252</v>
      </c>
      <c r="C1769" t="s">
        <v>977</v>
      </c>
      <c r="D1769" t="str">
        <f>VLOOKUP(J1769,Location[],2,FALSE)</f>
        <v>Lincoln</v>
      </c>
      <c r="E1769" t="str">
        <f>VLOOKUP(J1769,Location[],3,FALSE)</f>
        <v> Nebraska</v>
      </c>
      <c r="F1769" t="str">
        <f>VLOOKUP(K1769,Dept[],2,FALSE)</f>
        <v>Legal</v>
      </c>
      <c r="G1769" s="11">
        <f t="shared" si="27"/>
        <v>40878</v>
      </c>
      <c r="H1769" t="str">
        <f>VLOOKUP(N1769,Status[],2,FALSE)</f>
        <v>Full-Time</v>
      </c>
      <c r="J1769" s="7">
        <v>1071</v>
      </c>
      <c r="K1769">
        <v>18</v>
      </c>
      <c r="L1769">
        <v>2011</v>
      </c>
      <c r="M1769">
        <v>12</v>
      </c>
      <c r="N1769">
        <v>1</v>
      </c>
    </row>
    <row r="1770" spans="1:14" x14ac:dyDescent="0.25">
      <c r="A1770" t="s">
        <v>3993</v>
      </c>
      <c r="B1770" t="s">
        <v>284</v>
      </c>
      <c r="C1770" t="s">
        <v>2102</v>
      </c>
      <c r="D1770" t="str">
        <f>VLOOKUP(J1770,Location[],2,FALSE)</f>
        <v>San Diego</v>
      </c>
      <c r="E1770" t="str">
        <f>VLOOKUP(J1770,Location[],3,FALSE)</f>
        <v> California</v>
      </c>
      <c r="F1770" t="str">
        <f>VLOOKUP(K1770,Dept[],2,FALSE)</f>
        <v>Finance</v>
      </c>
      <c r="G1770" s="11">
        <f t="shared" si="27"/>
        <v>42217</v>
      </c>
      <c r="H1770" t="str">
        <f>VLOOKUP(N1770,Status[],2,FALSE)</f>
        <v>Full-Time</v>
      </c>
      <c r="J1770" s="7">
        <v>1008</v>
      </c>
      <c r="K1770">
        <v>15</v>
      </c>
      <c r="L1770">
        <v>2015</v>
      </c>
      <c r="M1770">
        <v>8</v>
      </c>
      <c r="N1770">
        <v>1</v>
      </c>
    </row>
    <row r="1771" spans="1:14" x14ac:dyDescent="0.25">
      <c r="A1771" t="s">
        <v>3994</v>
      </c>
      <c r="B1771" t="s">
        <v>502</v>
      </c>
      <c r="C1771" t="s">
        <v>503</v>
      </c>
      <c r="D1771" t="str">
        <f>VLOOKUP(J1771,Location[],2,FALSE)</f>
        <v>Portland</v>
      </c>
      <c r="E1771" t="str">
        <f>VLOOKUP(J1771,Location[],3,FALSE)</f>
        <v> Oregon</v>
      </c>
      <c r="F1771" t="str">
        <f>VLOOKUP(K1771,Dept[],2,FALSE)</f>
        <v>Customer Support</v>
      </c>
      <c r="G1771" s="11">
        <f t="shared" si="27"/>
        <v>40695</v>
      </c>
      <c r="H1771" t="str">
        <f>VLOOKUP(N1771,Status[],2,FALSE)</f>
        <v>Full-Time</v>
      </c>
      <c r="J1771" s="7">
        <v>1026</v>
      </c>
      <c r="K1771">
        <v>14</v>
      </c>
      <c r="L1771">
        <v>2011</v>
      </c>
      <c r="M1771">
        <v>6</v>
      </c>
      <c r="N1771">
        <v>1</v>
      </c>
    </row>
    <row r="1772" spans="1:14" x14ac:dyDescent="0.25">
      <c r="A1772" t="s">
        <v>3995</v>
      </c>
      <c r="B1772" t="s">
        <v>1220</v>
      </c>
      <c r="C1772" t="s">
        <v>1221</v>
      </c>
      <c r="D1772" t="str">
        <f>VLOOKUP(J1772,Location[],2,FALSE)</f>
        <v>Jersey City</v>
      </c>
      <c r="E1772" t="str">
        <f>VLOOKUP(J1772,Location[],3,FALSE)</f>
        <v> New Jersey</v>
      </c>
      <c r="F1772" t="str">
        <f>VLOOKUP(K1772,Dept[],2,FALSE)</f>
        <v>Customer Support</v>
      </c>
      <c r="G1772" s="11">
        <f t="shared" si="27"/>
        <v>42064</v>
      </c>
      <c r="H1772" t="str">
        <f>VLOOKUP(N1772,Status[],2,FALSE)</f>
        <v>Full-Time</v>
      </c>
      <c r="J1772" s="7">
        <v>1075</v>
      </c>
      <c r="K1772">
        <v>14</v>
      </c>
      <c r="L1772">
        <v>2015</v>
      </c>
      <c r="M1772">
        <v>3</v>
      </c>
      <c r="N1772">
        <v>1</v>
      </c>
    </row>
    <row r="1773" spans="1:14" x14ac:dyDescent="0.25">
      <c r="A1773" t="s">
        <v>3996</v>
      </c>
      <c r="B1773" t="s">
        <v>851</v>
      </c>
      <c r="C1773" t="s">
        <v>1204</v>
      </c>
      <c r="D1773" t="str">
        <f>VLOOKUP(J1773,Location[],2,FALSE)</f>
        <v>Chicago</v>
      </c>
      <c r="E1773" t="str">
        <f>VLOOKUP(J1773,Location[],3,FALSE)</f>
        <v> Illinois</v>
      </c>
      <c r="F1773" t="str">
        <f>VLOOKUP(K1773,Dept[],2,FALSE)</f>
        <v>Customer Support</v>
      </c>
      <c r="G1773" s="11">
        <f t="shared" si="27"/>
        <v>43709</v>
      </c>
      <c r="H1773" t="str">
        <f>VLOOKUP(N1773,Status[],2,FALSE)</f>
        <v>Part-Time</v>
      </c>
      <c r="J1773" s="7">
        <v>1003</v>
      </c>
      <c r="K1773">
        <v>14</v>
      </c>
      <c r="L1773">
        <v>2019</v>
      </c>
      <c r="M1773">
        <v>9</v>
      </c>
      <c r="N1773">
        <v>0</v>
      </c>
    </row>
    <row r="1774" spans="1:14" x14ac:dyDescent="0.25">
      <c r="A1774" t="s">
        <v>3997</v>
      </c>
      <c r="B1774" t="s">
        <v>851</v>
      </c>
      <c r="C1774" t="s">
        <v>1581</v>
      </c>
      <c r="D1774" t="str">
        <f>VLOOKUP(J1774,Location[],2,FALSE)</f>
        <v>Chicago</v>
      </c>
      <c r="E1774" t="str">
        <f>VLOOKUP(J1774,Location[],3,FALSE)</f>
        <v> Illinois</v>
      </c>
      <c r="F1774" t="str">
        <f>VLOOKUP(K1774,Dept[],2,FALSE)</f>
        <v>Administration</v>
      </c>
      <c r="G1774" s="11">
        <f t="shared" si="27"/>
        <v>42430</v>
      </c>
      <c r="H1774" t="str">
        <f>VLOOKUP(N1774,Status[],2,FALSE)</f>
        <v>Full-Time</v>
      </c>
      <c r="J1774" s="7">
        <v>1003</v>
      </c>
      <c r="K1774">
        <v>12</v>
      </c>
      <c r="L1774">
        <v>2016</v>
      </c>
      <c r="M1774">
        <v>3</v>
      </c>
      <c r="N1774">
        <v>1</v>
      </c>
    </row>
    <row r="1775" spans="1:14" x14ac:dyDescent="0.25">
      <c r="A1775" t="s">
        <v>3998</v>
      </c>
      <c r="B1775" t="s">
        <v>108</v>
      </c>
      <c r="C1775" t="s">
        <v>306</v>
      </c>
      <c r="D1775" t="str">
        <f>VLOOKUP(J1775,Location[],2,FALSE)</f>
        <v>San Jose</v>
      </c>
      <c r="E1775" t="str">
        <f>VLOOKUP(J1775,Location[],3,FALSE)</f>
        <v> California</v>
      </c>
      <c r="F1775" t="str">
        <f>VLOOKUP(K1775,Dept[],2,FALSE)</f>
        <v>Administration</v>
      </c>
      <c r="G1775" s="11">
        <f t="shared" si="27"/>
        <v>42736</v>
      </c>
      <c r="H1775" t="str">
        <f>VLOOKUP(N1775,Status[],2,FALSE)</f>
        <v>Full-Time</v>
      </c>
      <c r="J1775" s="7">
        <v>1010</v>
      </c>
      <c r="K1775">
        <v>12</v>
      </c>
      <c r="L1775">
        <v>2017</v>
      </c>
      <c r="M1775">
        <v>1</v>
      </c>
      <c r="N1775">
        <v>1</v>
      </c>
    </row>
    <row r="1776" spans="1:14" x14ac:dyDescent="0.25">
      <c r="A1776" t="s">
        <v>3999</v>
      </c>
      <c r="B1776" t="s">
        <v>527</v>
      </c>
      <c r="C1776" t="s">
        <v>528</v>
      </c>
      <c r="D1776" t="str">
        <f>VLOOKUP(J1776,Location[],2,FALSE)</f>
        <v>New York City</v>
      </c>
      <c r="E1776" t="str">
        <f>VLOOKUP(J1776,Location[],3,FALSE)</f>
        <v> New York</v>
      </c>
      <c r="F1776" t="str">
        <f>VLOOKUP(K1776,Dept[],2,FALSE)</f>
        <v>Legal</v>
      </c>
      <c r="G1776" s="11">
        <f t="shared" si="27"/>
        <v>40544</v>
      </c>
      <c r="H1776" t="str">
        <f>VLOOKUP(N1776,Status[],2,FALSE)</f>
        <v>Full-Time</v>
      </c>
      <c r="J1776" s="7">
        <v>1001</v>
      </c>
      <c r="K1776">
        <v>18</v>
      </c>
      <c r="L1776">
        <v>2011</v>
      </c>
      <c r="M1776">
        <v>1</v>
      </c>
      <c r="N1776">
        <v>1</v>
      </c>
    </row>
    <row r="1777" spans="1:14" x14ac:dyDescent="0.25">
      <c r="A1777" t="s">
        <v>4000</v>
      </c>
      <c r="B1777" t="s">
        <v>220</v>
      </c>
      <c r="C1777" t="s">
        <v>1931</v>
      </c>
      <c r="D1777" t="str">
        <f>VLOOKUP(J1777,Location[],2,FALSE)</f>
        <v>Los Angeles</v>
      </c>
      <c r="E1777" t="str">
        <f>VLOOKUP(J1777,Location[],3,FALSE)</f>
        <v> California</v>
      </c>
      <c r="F1777" t="str">
        <f>VLOOKUP(K1777,Dept[],2,FALSE)</f>
        <v>Administration</v>
      </c>
      <c r="G1777" s="11">
        <f t="shared" si="27"/>
        <v>41730</v>
      </c>
      <c r="H1777" t="str">
        <f>VLOOKUP(N1777,Status[],2,FALSE)</f>
        <v>Full-Time</v>
      </c>
      <c r="J1777" s="7">
        <v>1002</v>
      </c>
      <c r="K1777">
        <v>12</v>
      </c>
      <c r="L1777">
        <v>2014</v>
      </c>
      <c r="M1777">
        <v>4</v>
      </c>
      <c r="N1777">
        <v>1</v>
      </c>
    </row>
    <row r="1778" spans="1:14" x14ac:dyDescent="0.25">
      <c r="A1778" t="s">
        <v>4001</v>
      </c>
      <c r="B1778" t="s">
        <v>1448</v>
      </c>
      <c r="C1778" t="s">
        <v>1495</v>
      </c>
      <c r="D1778" t="str">
        <f>VLOOKUP(J1778,Location[],2,FALSE)</f>
        <v>San Diego</v>
      </c>
      <c r="E1778" t="str">
        <f>VLOOKUP(J1778,Location[],3,FALSE)</f>
        <v> California</v>
      </c>
      <c r="F1778" t="str">
        <f>VLOOKUP(K1778,Dept[],2,FALSE)</f>
        <v>Legal</v>
      </c>
      <c r="G1778" s="11">
        <f t="shared" si="27"/>
        <v>43252</v>
      </c>
      <c r="H1778" t="str">
        <f>VLOOKUP(N1778,Status[],2,FALSE)</f>
        <v>Full-Time</v>
      </c>
      <c r="J1778" s="7">
        <v>1008</v>
      </c>
      <c r="K1778">
        <v>18</v>
      </c>
      <c r="L1778">
        <v>2018</v>
      </c>
      <c r="M1778">
        <v>6</v>
      </c>
      <c r="N1778">
        <v>1</v>
      </c>
    </row>
    <row r="1779" spans="1:14" x14ac:dyDescent="0.25">
      <c r="A1779" t="s">
        <v>4002</v>
      </c>
      <c r="B1779" t="s">
        <v>335</v>
      </c>
      <c r="C1779" t="s">
        <v>336</v>
      </c>
      <c r="D1779" t="str">
        <f>VLOOKUP(J1779,Location[],2,FALSE)</f>
        <v>Chicago</v>
      </c>
      <c r="E1779" t="str">
        <f>VLOOKUP(J1779,Location[],3,FALSE)</f>
        <v> Illinois</v>
      </c>
      <c r="F1779" t="str">
        <f>VLOOKUP(K1779,Dept[],2,FALSE)</f>
        <v>Accounting</v>
      </c>
      <c r="G1779" s="11">
        <f t="shared" si="27"/>
        <v>42370</v>
      </c>
      <c r="H1779" t="str">
        <f>VLOOKUP(N1779,Status[],2,FALSE)</f>
        <v>Full-Time</v>
      </c>
      <c r="J1779" s="7">
        <v>1003</v>
      </c>
      <c r="K1779">
        <v>11</v>
      </c>
      <c r="L1779">
        <v>2016</v>
      </c>
      <c r="M1779">
        <v>1</v>
      </c>
      <c r="N1779">
        <v>1</v>
      </c>
    </row>
    <row r="1780" spans="1:14" x14ac:dyDescent="0.25">
      <c r="A1780" t="s">
        <v>4003</v>
      </c>
      <c r="B1780" t="s">
        <v>77</v>
      </c>
      <c r="C1780" t="s">
        <v>336</v>
      </c>
      <c r="D1780" t="str">
        <f>VLOOKUP(J1780,Location[],2,FALSE)</f>
        <v>Jacksonville</v>
      </c>
      <c r="E1780" t="str">
        <f>VLOOKUP(J1780,Location[],3,FALSE)</f>
        <v> Florida</v>
      </c>
      <c r="F1780" t="str">
        <f>VLOOKUP(K1780,Dept[],2,FALSE)</f>
        <v>Customer Support</v>
      </c>
      <c r="G1780" s="11">
        <f t="shared" si="27"/>
        <v>41214</v>
      </c>
      <c r="H1780" t="str">
        <f>VLOOKUP(N1780,Status[],2,FALSE)</f>
        <v>Full-Time</v>
      </c>
      <c r="J1780" s="7">
        <v>1012</v>
      </c>
      <c r="K1780">
        <v>14</v>
      </c>
      <c r="L1780">
        <v>2012</v>
      </c>
      <c r="M1780">
        <v>11</v>
      </c>
      <c r="N1780">
        <v>1</v>
      </c>
    </row>
    <row r="1781" spans="1:14" x14ac:dyDescent="0.25">
      <c r="A1781" t="s">
        <v>3074</v>
      </c>
      <c r="B1781" t="s">
        <v>1199</v>
      </c>
      <c r="C1781" t="s">
        <v>336</v>
      </c>
      <c r="D1781" t="str">
        <f>VLOOKUP(J1781,Location[],2,FALSE)</f>
        <v>Las Vegas</v>
      </c>
      <c r="E1781" t="str">
        <f>VLOOKUP(J1781,Location[],3,FALSE)</f>
        <v> Nevada</v>
      </c>
      <c r="F1781" t="str">
        <f>VLOOKUP(K1781,Dept[],2,FALSE)</f>
        <v>Customer Support</v>
      </c>
      <c r="G1781" s="11">
        <f t="shared" si="27"/>
        <v>44075</v>
      </c>
      <c r="H1781" t="str">
        <f>VLOOKUP(N1781,Status[],2,FALSE)</f>
        <v>Full-Time</v>
      </c>
      <c r="J1781" s="7">
        <v>1028</v>
      </c>
      <c r="K1781">
        <v>14</v>
      </c>
      <c r="L1781">
        <v>2020</v>
      </c>
      <c r="M1781">
        <v>9</v>
      </c>
      <c r="N1781">
        <v>1</v>
      </c>
    </row>
    <row r="1782" spans="1:14" x14ac:dyDescent="0.25">
      <c r="A1782" t="s">
        <v>4004</v>
      </c>
      <c r="B1782" t="s">
        <v>71</v>
      </c>
      <c r="C1782" t="s">
        <v>1627</v>
      </c>
      <c r="D1782" t="str">
        <f>VLOOKUP(J1782,Location[],2,FALSE)</f>
        <v>Columbus</v>
      </c>
      <c r="E1782" t="str">
        <f>VLOOKUP(J1782,Location[],3,FALSE)</f>
        <v> Ohio</v>
      </c>
      <c r="F1782" t="str">
        <f>VLOOKUP(K1782,Dept[],2,FALSE)</f>
        <v>Customer Support</v>
      </c>
      <c r="G1782" s="11">
        <f t="shared" si="27"/>
        <v>43070</v>
      </c>
      <c r="H1782" t="str">
        <f>VLOOKUP(N1782,Status[],2,FALSE)</f>
        <v>Full-Time</v>
      </c>
      <c r="J1782" s="7">
        <v>1014</v>
      </c>
      <c r="K1782">
        <v>14</v>
      </c>
      <c r="L1782">
        <v>2017</v>
      </c>
      <c r="M1782">
        <v>12</v>
      </c>
      <c r="N1782">
        <v>1</v>
      </c>
    </row>
    <row r="1783" spans="1:14" x14ac:dyDescent="0.25">
      <c r="A1783" t="s">
        <v>4005</v>
      </c>
      <c r="B1783" t="s">
        <v>5</v>
      </c>
      <c r="C1783" t="s">
        <v>184</v>
      </c>
      <c r="D1783" t="str">
        <f>VLOOKUP(J1783,Location[],2,FALSE)</f>
        <v>San Francisco</v>
      </c>
      <c r="E1783" t="str">
        <f>VLOOKUP(J1783,Location[],3,FALSE)</f>
        <v> California</v>
      </c>
      <c r="F1783" t="str">
        <f>VLOOKUP(K1783,Dept[],2,FALSE)</f>
        <v>Customer Support</v>
      </c>
      <c r="G1783" s="11">
        <f t="shared" si="27"/>
        <v>42036</v>
      </c>
      <c r="H1783" t="str">
        <f>VLOOKUP(N1783,Status[],2,FALSE)</f>
        <v>Full-Time</v>
      </c>
      <c r="J1783" s="7">
        <v>1013</v>
      </c>
      <c r="K1783">
        <v>14</v>
      </c>
      <c r="L1783">
        <v>2015</v>
      </c>
      <c r="M1783">
        <v>2</v>
      </c>
      <c r="N1783">
        <v>1</v>
      </c>
    </row>
    <row r="1784" spans="1:14" x14ac:dyDescent="0.25">
      <c r="A1784" t="s">
        <v>4006</v>
      </c>
      <c r="B1784" t="s">
        <v>361</v>
      </c>
      <c r="C1784" t="s">
        <v>544</v>
      </c>
      <c r="D1784" t="str">
        <f>VLOOKUP(J1784,Location[],2,FALSE)</f>
        <v>Columbus</v>
      </c>
      <c r="E1784" t="str">
        <f>VLOOKUP(J1784,Location[],3,FALSE)</f>
        <v> Ohio</v>
      </c>
      <c r="F1784" t="str">
        <f>VLOOKUP(K1784,Dept[],2,FALSE)</f>
        <v>Sales</v>
      </c>
      <c r="G1784" s="11">
        <f t="shared" si="27"/>
        <v>44044</v>
      </c>
      <c r="H1784" t="str">
        <f>VLOOKUP(N1784,Status[],2,FALSE)</f>
        <v>Full-Time</v>
      </c>
      <c r="J1784" s="7">
        <v>1014</v>
      </c>
      <c r="K1784">
        <v>22</v>
      </c>
      <c r="L1784">
        <v>2020</v>
      </c>
      <c r="M1784">
        <v>8</v>
      </c>
      <c r="N1784">
        <v>1</v>
      </c>
    </row>
    <row r="1785" spans="1:14" x14ac:dyDescent="0.25">
      <c r="A1785" t="s">
        <v>4007</v>
      </c>
      <c r="B1785" t="s">
        <v>1093</v>
      </c>
      <c r="C1785" t="s">
        <v>667</v>
      </c>
      <c r="D1785" t="str">
        <f>VLOOKUP(J1785,Location[],2,FALSE)</f>
        <v>Portland</v>
      </c>
      <c r="E1785" t="str">
        <f>VLOOKUP(J1785,Location[],3,FALSE)</f>
        <v> Oregon</v>
      </c>
      <c r="F1785" t="str">
        <f>VLOOKUP(K1785,Dept[],2,FALSE)</f>
        <v>Customer Support</v>
      </c>
      <c r="G1785" s="11">
        <f t="shared" si="27"/>
        <v>42064</v>
      </c>
      <c r="H1785" t="str">
        <f>VLOOKUP(N1785,Status[],2,FALSE)</f>
        <v>Full-Time</v>
      </c>
      <c r="J1785" s="7">
        <v>1026</v>
      </c>
      <c r="K1785">
        <v>14</v>
      </c>
      <c r="L1785">
        <v>2015</v>
      </c>
      <c r="M1785">
        <v>3</v>
      </c>
      <c r="N1785">
        <v>1</v>
      </c>
    </row>
    <row r="1786" spans="1:14" x14ac:dyDescent="0.25">
      <c r="A1786" t="s">
        <v>4008</v>
      </c>
      <c r="B1786" t="s">
        <v>666</v>
      </c>
      <c r="C1786" t="s">
        <v>667</v>
      </c>
      <c r="D1786" t="str">
        <f>VLOOKUP(J1786,Location[],2,FALSE)</f>
        <v>San Antonio</v>
      </c>
      <c r="E1786" t="str">
        <f>VLOOKUP(J1786,Location[],3,FALSE)</f>
        <v> Texas</v>
      </c>
      <c r="F1786" t="str">
        <f>VLOOKUP(K1786,Dept[],2,FALSE)</f>
        <v>Customer Support</v>
      </c>
      <c r="G1786" s="11">
        <f t="shared" si="27"/>
        <v>42095</v>
      </c>
      <c r="H1786" t="str">
        <f>VLOOKUP(N1786,Status[],2,FALSE)</f>
        <v>Full-Time</v>
      </c>
      <c r="J1786" s="7">
        <v>1007</v>
      </c>
      <c r="K1786">
        <v>14</v>
      </c>
      <c r="L1786">
        <v>2015</v>
      </c>
      <c r="M1786">
        <v>4</v>
      </c>
      <c r="N1786">
        <v>1</v>
      </c>
    </row>
    <row r="1787" spans="1:14" x14ac:dyDescent="0.25">
      <c r="A1787" t="s">
        <v>4009</v>
      </c>
      <c r="B1787" t="s">
        <v>198</v>
      </c>
      <c r="C1787" t="s">
        <v>1311</v>
      </c>
      <c r="D1787" t="str">
        <f>VLOOKUP(J1787,Location[],2,FALSE)</f>
        <v>Los Angeles</v>
      </c>
      <c r="E1787" t="str">
        <f>VLOOKUP(J1787,Location[],3,FALSE)</f>
        <v> California</v>
      </c>
      <c r="F1787" t="str">
        <f>VLOOKUP(K1787,Dept[],2,FALSE)</f>
        <v>Marketing</v>
      </c>
      <c r="G1787" s="11">
        <f t="shared" si="27"/>
        <v>41852</v>
      </c>
      <c r="H1787" t="str">
        <f>VLOOKUP(N1787,Status[],2,FALSE)</f>
        <v>Full-Time</v>
      </c>
      <c r="J1787" s="7">
        <v>1002</v>
      </c>
      <c r="K1787">
        <v>19</v>
      </c>
      <c r="L1787">
        <v>2014</v>
      </c>
      <c r="M1787">
        <v>8</v>
      </c>
      <c r="N1787">
        <v>1</v>
      </c>
    </row>
    <row r="1788" spans="1:14" x14ac:dyDescent="0.25">
      <c r="A1788" t="s">
        <v>4010</v>
      </c>
      <c r="B1788" t="s">
        <v>874</v>
      </c>
      <c r="C1788" t="s">
        <v>75</v>
      </c>
      <c r="D1788" t="str">
        <f>VLOOKUP(J1788,Location[],2,FALSE)</f>
        <v>Phoenix</v>
      </c>
      <c r="E1788" t="str">
        <f>VLOOKUP(J1788,Location[],3,FALSE)</f>
        <v> Arizona</v>
      </c>
      <c r="F1788" t="str">
        <f>VLOOKUP(K1788,Dept[],2,FALSE)</f>
        <v>Accounting</v>
      </c>
      <c r="G1788" s="11">
        <f t="shared" si="27"/>
        <v>42125</v>
      </c>
      <c r="H1788" t="str">
        <f>VLOOKUP(N1788,Status[],2,FALSE)</f>
        <v>Full-Time</v>
      </c>
      <c r="J1788" s="7">
        <v>1005</v>
      </c>
      <c r="K1788">
        <v>11</v>
      </c>
      <c r="L1788">
        <v>2015</v>
      </c>
      <c r="M1788">
        <v>5</v>
      </c>
      <c r="N1788">
        <v>1</v>
      </c>
    </row>
    <row r="1789" spans="1:14" x14ac:dyDescent="0.25">
      <c r="A1789" t="s">
        <v>4011</v>
      </c>
      <c r="B1789" t="s">
        <v>546</v>
      </c>
      <c r="C1789" t="s">
        <v>75</v>
      </c>
      <c r="D1789" t="str">
        <f>VLOOKUP(J1789,Location[],2,FALSE)</f>
        <v>Los Angeles</v>
      </c>
      <c r="E1789" t="str">
        <f>VLOOKUP(J1789,Location[],3,FALSE)</f>
        <v> California</v>
      </c>
      <c r="F1789" t="str">
        <f>VLOOKUP(K1789,Dept[],2,FALSE)</f>
        <v>Marketing</v>
      </c>
      <c r="G1789" s="11">
        <f t="shared" si="27"/>
        <v>43678</v>
      </c>
      <c r="H1789" t="str">
        <f>VLOOKUP(N1789,Status[],2,FALSE)</f>
        <v>Full-Time</v>
      </c>
      <c r="J1789" s="7">
        <v>1002</v>
      </c>
      <c r="K1789">
        <v>19</v>
      </c>
      <c r="L1789">
        <v>2019</v>
      </c>
      <c r="M1789">
        <v>8</v>
      </c>
      <c r="N1789">
        <v>1</v>
      </c>
    </row>
    <row r="1790" spans="1:14" x14ac:dyDescent="0.25">
      <c r="A1790" t="s">
        <v>4012</v>
      </c>
      <c r="B1790" t="s">
        <v>1492</v>
      </c>
      <c r="C1790" t="s">
        <v>75</v>
      </c>
      <c r="D1790" t="str">
        <f>VLOOKUP(J1790,Location[],2,FALSE)</f>
        <v>Honolulu</v>
      </c>
      <c r="E1790" t="str">
        <f>VLOOKUP(J1790,Location[],3,FALSE)</f>
        <v> Hawaii</v>
      </c>
      <c r="F1790" t="str">
        <f>VLOOKUP(K1790,Dept[],2,FALSE)</f>
        <v>Sales</v>
      </c>
      <c r="G1790" s="11">
        <f t="shared" si="27"/>
        <v>42887</v>
      </c>
      <c r="H1790" t="str">
        <f>VLOOKUP(N1790,Status[],2,FALSE)</f>
        <v>Full-Time</v>
      </c>
      <c r="J1790" s="7">
        <v>1056</v>
      </c>
      <c r="K1790">
        <v>22</v>
      </c>
      <c r="L1790">
        <v>2017</v>
      </c>
      <c r="M1790">
        <v>6</v>
      </c>
      <c r="N1790">
        <v>1</v>
      </c>
    </row>
    <row r="1791" spans="1:14" x14ac:dyDescent="0.25">
      <c r="A1791" t="s">
        <v>4013</v>
      </c>
      <c r="B1791" t="s">
        <v>1755</v>
      </c>
      <c r="C1791" t="s">
        <v>75</v>
      </c>
      <c r="D1791" t="str">
        <f>VLOOKUP(J1791,Location[],2,FALSE)</f>
        <v>New York City</v>
      </c>
      <c r="E1791" t="str">
        <f>VLOOKUP(J1791,Location[],3,FALSE)</f>
        <v> New York</v>
      </c>
      <c r="F1791" t="str">
        <f>VLOOKUP(K1791,Dept[],2,FALSE)</f>
        <v>Accounting</v>
      </c>
      <c r="G1791" s="11">
        <f t="shared" si="27"/>
        <v>41883</v>
      </c>
      <c r="H1791" t="str">
        <f>VLOOKUP(N1791,Status[],2,FALSE)</f>
        <v>Full-Time</v>
      </c>
      <c r="J1791" s="7">
        <v>1001</v>
      </c>
      <c r="K1791">
        <v>11</v>
      </c>
      <c r="L1791">
        <v>2014</v>
      </c>
      <c r="M1791">
        <v>9</v>
      </c>
      <c r="N1791">
        <v>1</v>
      </c>
    </row>
    <row r="1792" spans="1:14" x14ac:dyDescent="0.25">
      <c r="A1792" t="s">
        <v>4014</v>
      </c>
      <c r="B1792" t="s">
        <v>108</v>
      </c>
      <c r="C1792" t="s">
        <v>75</v>
      </c>
      <c r="D1792" t="str">
        <f>VLOOKUP(J1792,Location[],2,FALSE)</f>
        <v>Stockton</v>
      </c>
      <c r="E1792" t="str">
        <f>VLOOKUP(J1792,Location[],3,FALSE)</f>
        <v> California</v>
      </c>
      <c r="F1792" t="str">
        <f>VLOOKUP(K1792,Dept[],2,FALSE)</f>
        <v>Customer Support</v>
      </c>
      <c r="G1792" s="11">
        <f t="shared" si="27"/>
        <v>44166</v>
      </c>
      <c r="H1792" t="str">
        <f>VLOOKUP(N1792,Status[],2,FALSE)</f>
        <v>Full-Time</v>
      </c>
      <c r="J1792" s="7">
        <v>1061</v>
      </c>
      <c r="K1792">
        <v>14</v>
      </c>
      <c r="L1792">
        <v>2020</v>
      </c>
      <c r="M1792">
        <v>12</v>
      </c>
      <c r="N1792">
        <v>1</v>
      </c>
    </row>
    <row r="1793" spans="1:14" x14ac:dyDescent="0.25">
      <c r="A1793" t="s">
        <v>4015</v>
      </c>
      <c r="B1793" t="s">
        <v>43</v>
      </c>
      <c r="C1793" t="s">
        <v>75</v>
      </c>
      <c r="D1793" t="str">
        <f>VLOOKUP(J1793,Location[],2,FALSE)</f>
        <v>New York City</v>
      </c>
      <c r="E1793" t="str">
        <f>VLOOKUP(J1793,Location[],3,FALSE)</f>
        <v> New York</v>
      </c>
      <c r="F1793" t="str">
        <f>VLOOKUP(K1793,Dept[],2,FALSE)</f>
        <v>Administration</v>
      </c>
      <c r="G1793" s="11">
        <f t="shared" si="27"/>
        <v>43647</v>
      </c>
      <c r="H1793" t="str">
        <f>VLOOKUP(N1793,Status[],2,FALSE)</f>
        <v>Full-Time</v>
      </c>
      <c r="J1793" s="7">
        <v>1001</v>
      </c>
      <c r="K1793">
        <v>12</v>
      </c>
      <c r="L1793">
        <v>2019</v>
      </c>
      <c r="M1793">
        <v>7</v>
      </c>
      <c r="N1793">
        <v>1</v>
      </c>
    </row>
    <row r="1794" spans="1:14" x14ac:dyDescent="0.25">
      <c r="A1794" t="s">
        <v>4016</v>
      </c>
      <c r="B1794" t="s">
        <v>1031</v>
      </c>
      <c r="C1794" t="s">
        <v>75</v>
      </c>
      <c r="D1794" t="str">
        <f>VLOOKUP(J1794,Location[],2,FALSE)</f>
        <v>New York City</v>
      </c>
      <c r="E1794" t="str">
        <f>VLOOKUP(J1794,Location[],3,FALSE)</f>
        <v> New York</v>
      </c>
      <c r="F1794" t="str">
        <f>VLOOKUP(K1794,Dept[],2,FALSE)</f>
        <v>Media</v>
      </c>
      <c r="G1794" s="11">
        <f t="shared" si="27"/>
        <v>44866</v>
      </c>
      <c r="H1794" t="str">
        <f>VLOOKUP(N1794,Status[],2,FALSE)</f>
        <v>Full-Time</v>
      </c>
      <c r="J1794" s="7">
        <v>1001</v>
      </c>
      <c r="K1794">
        <v>20</v>
      </c>
      <c r="L1794">
        <v>2022</v>
      </c>
      <c r="M1794">
        <v>11</v>
      </c>
      <c r="N1794">
        <v>1</v>
      </c>
    </row>
    <row r="1795" spans="1:14" x14ac:dyDescent="0.25">
      <c r="A1795" t="s">
        <v>4017</v>
      </c>
      <c r="B1795" t="s">
        <v>5</v>
      </c>
      <c r="C1795" t="s">
        <v>75</v>
      </c>
      <c r="D1795" t="str">
        <f>VLOOKUP(J1795,Location[],2,FALSE)</f>
        <v>Los Angeles</v>
      </c>
      <c r="E1795" t="str">
        <f>VLOOKUP(J1795,Location[],3,FALSE)</f>
        <v> California</v>
      </c>
      <c r="F1795" t="str">
        <f>VLOOKUP(K1795,Dept[],2,FALSE)</f>
        <v>Customer Support</v>
      </c>
      <c r="G1795" s="11">
        <f t="shared" si="27"/>
        <v>41153</v>
      </c>
      <c r="H1795" t="str">
        <f>VLOOKUP(N1795,Status[],2,FALSE)</f>
        <v>Full-Time</v>
      </c>
      <c r="J1795" s="7">
        <v>1002</v>
      </c>
      <c r="K1795">
        <v>14</v>
      </c>
      <c r="L1795">
        <v>2012</v>
      </c>
      <c r="M1795">
        <v>9</v>
      </c>
      <c r="N1795">
        <v>1</v>
      </c>
    </row>
    <row r="1796" spans="1:14" x14ac:dyDescent="0.25">
      <c r="A1796" t="s">
        <v>4018</v>
      </c>
      <c r="B1796" t="s">
        <v>171</v>
      </c>
      <c r="C1796" t="s">
        <v>1914</v>
      </c>
      <c r="D1796" t="str">
        <f>VLOOKUP(J1796,Location[],2,FALSE)</f>
        <v>Boston</v>
      </c>
      <c r="E1796" t="str">
        <f>VLOOKUP(J1796,Location[],3,FALSE)</f>
        <v> Massachusetts</v>
      </c>
      <c r="F1796" t="str">
        <f>VLOOKUP(K1796,Dept[],2,FALSE)</f>
        <v>IT</v>
      </c>
      <c r="G1796" s="11">
        <f t="shared" si="27"/>
        <v>44896</v>
      </c>
      <c r="H1796" t="str">
        <f>VLOOKUP(N1796,Status[],2,FALSE)</f>
        <v>Full-Time</v>
      </c>
      <c r="J1796" s="7">
        <v>1021</v>
      </c>
      <c r="K1796">
        <v>17</v>
      </c>
      <c r="L1796">
        <v>2022</v>
      </c>
      <c r="M1796">
        <v>12</v>
      </c>
      <c r="N1796">
        <v>1</v>
      </c>
    </row>
    <row r="1797" spans="1:14" x14ac:dyDescent="0.25">
      <c r="A1797" t="s">
        <v>4019</v>
      </c>
      <c r="B1797" t="s">
        <v>1082</v>
      </c>
      <c r="C1797" t="s">
        <v>896</v>
      </c>
      <c r="D1797" t="str">
        <f>VLOOKUP(J1797,Location[],2,FALSE)</f>
        <v>New York City</v>
      </c>
      <c r="E1797" t="str">
        <f>VLOOKUP(J1797,Location[],3,FALSE)</f>
        <v> New York</v>
      </c>
      <c r="F1797" t="str">
        <f>VLOOKUP(K1797,Dept[],2,FALSE)</f>
        <v>Accounting</v>
      </c>
      <c r="G1797" s="11">
        <f t="shared" ref="G1797:G1860" si="28">DATE(L1797,M1797,1)</f>
        <v>42583</v>
      </c>
      <c r="H1797" t="str">
        <f>VLOOKUP(N1797,Status[],2,FALSE)</f>
        <v>Full-Time</v>
      </c>
      <c r="J1797" s="7">
        <v>1001</v>
      </c>
      <c r="K1797">
        <v>11</v>
      </c>
      <c r="L1797">
        <v>2016</v>
      </c>
      <c r="M1797">
        <v>8</v>
      </c>
      <c r="N1797">
        <v>1</v>
      </c>
    </row>
    <row r="1798" spans="1:14" x14ac:dyDescent="0.25">
      <c r="A1798" t="s">
        <v>4020</v>
      </c>
      <c r="B1798" t="s">
        <v>361</v>
      </c>
      <c r="C1798" t="s">
        <v>896</v>
      </c>
      <c r="D1798" t="str">
        <f>VLOOKUP(J1798,Location[],2,FALSE)</f>
        <v>Baltimore</v>
      </c>
      <c r="E1798" t="str">
        <f>VLOOKUP(J1798,Location[],3,FALSE)</f>
        <v> Maryland</v>
      </c>
      <c r="F1798" t="str">
        <f>VLOOKUP(K1798,Dept[],2,FALSE)</f>
        <v>Media</v>
      </c>
      <c r="G1798" s="11">
        <f t="shared" si="28"/>
        <v>43739</v>
      </c>
      <c r="H1798" t="str">
        <f>VLOOKUP(N1798,Status[],2,FALSE)</f>
        <v>Full-Time</v>
      </c>
      <c r="J1798" s="7">
        <v>1030</v>
      </c>
      <c r="K1798">
        <v>20</v>
      </c>
      <c r="L1798">
        <v>2019</v>
      </c>
      <c r="M1798">
        <v>10</v>
      </c>
      <c r="N1798">
        <v>1</v>
      </c>
    </row>
    <row r="1799" spans="1:14" x14ac:dyDescent="0.25">
      <c r="A1799" t="s">
        <v>4021</v>
      </c>
      <c r="B1799" t="s">
        <v>95</v>
      </c>
      <c r="C1799" t="s">
        <v>896</v>
      </c>
      <c r="D1799" t="str">
        <f>VLOOKUP(J1799,Location[],2,FALSE)</f>
        <v>Indianapolis</v>
      </c>
      <c r="E1799" t="str">
        <f>VLOOKUP(J1799,Location[],3,FALSE)</f>
        <v> Indiana</v>
      </c>
      <c r="F1799" t="str">
        <f>VLOOKUP(K1799,Dept[],2,FALSE)</f>
        <v>Customer Support</v>
      </c>
      <c r="G1799" s="11">
        <f t="shared" si="28"/>
        <v>44682</v>
      </c>
      <c r="H1799" t="str">
        <f>VLOOKUP(N1799,Status[],2,FALSE)</f>
        <v>Full-Time</v>
      </c>
      <c r="J1799" s="7">
        <v>1016</v>
      </c>
      <c r="K1799">
        <v>14</v>
      </c>
      <c r="L1799">
        <v>2022</v>
      </c>
      <c r="M1799">
        <v>5</v>
      </c>
      <c r="N1799">
        <v>1</v>
      </c>
    </row>
    <row r="1800" spans="1:14" x14ac:dyDescent="0.25">
      <c r="A1800" t="s">
        <v>4022</v>
      </c>
      <c r="B1800" t="s">
        <v>886</v>
      </c>
      <c r="C1800" t="s">
        <v>896</v>
      </c>
      <c r="D1800" t="str">
        <f>VLOOKUP(J1800,Location[],2,FALSE)</f>
        <v>Nashville</v>
      </c>
      <c r="E1800" t="str">
        <f>VLOOKUP(J1800,Location[],3,FALSE)</f>
        <v> Tennessee</v>
      </c>
      <c r="F1800" t="str">
        <f>VLOOKUP(K1800,Dept[],2,FALSE)</f>
        <v>Assessment</v>
      </c>
      <c r="G1800" s="11">
        <f t="shared" si="28"/>
        <v>43405</v>
      </c>
      <c r="H1800" t="str">
        <f>VLOOKUP(N1800,Status[],2,FALSE)</f>
        <v>Full-Time</v>
      </c>
      <c r="J1800" s="7">
        <v>1024</v>
      </c>
      <c r="K1800">
        <v>13</v>
      </c>
      <c r="L1800">
        <v>2018</v>
      </c>
      <c r="M1800">
        <v>11</v>
      </c>
      <c r="N1800">
        <v>1</v>
      </c>
    </row>
    <row r="1801" spans="1:14" x14ac:dyDescent="0.25">
      <c r="A1801" t="s">
        <v>4023</v>
      </c>
      <c r="B1801" t="s">
        <v>2021</v>
      </c>
      <c r="C1801" t="s">
        <v>896</v>
      </c>
      <c r="D1801" t="str">
        <f>VLOOKUP(J1801,Location[],2,FALSE)</f>
        <v>Charlotte</v>
      </c>
      <c r="E1801" t="str">
        <f>VLOOKUP(J1801,Location[],3,FALSE)</f>
        <v> North Carolina</v>
      </c>
      <c r="F1801" t="str">
        <f>VLOOKUP(K1801,Dept[],2,FALSE)</f>
        <v>IT</v>
      </c>
      <c r="G1801" s="11">
        <f t="shared" si="28"/>
        <v>43617</v>
      </c>
      <c r="H1801" t="str">
        <f>VLOOKUP(N1801,Status[],2,FALSE)</f>
        <v>Full-Time</v>
      </c>
      <c r="J1801" s="7">
        <v>1017</v>
      </c>
      <c r="K1801">
        <v>17</v>
      </c>
      <c r="L1801">
        <v>2019</v>
      </c>
      <c r="M1801">
        <v>6</v>
      </c>
      <c r="N1801">
        <v>1</v>
      </c>
    </row>
    <row r="1802" spans="1:14" x14ac:dyDescent="0.25">
      <c r="A1802" t="s">
        <v>4024</v>
      </c>
      <c r="B1802" t="s">
        <v>9</v>
      </c>
      <c r="C1802" t="s">
        <v>1505</v>
      </c>
      <c r="D1802" t="str">
        <f>VLOOKUP(J1802,Location[],2,FALSE)</f>
        <v>New York City</v>
      </c>
      <c r="E1802" t="str">
        <f>VLOOKUP(J1802,Location[],3,FALSE)</f>
        <v> New York</v>
      </c>
      <c r="F1802" t="str">
        <f>VLOOKUP(K1802,Dept[],2,FALSE)</f>
        <v>Shipping</v>
      </c>
      <c r="G1802" s="11">
        <f t="shared" si="28"/>
        <v>40848</v>
      </c>
      <c r="H1802" t="str">
        <f>VLOOKUP(N1802,Status[],2,FALSE)</f>
        <v>Full-Time</v>
      </c>
      <c r="J1802" s="7">
        <v>1001</v>
      </c>
      <c r="K1802">
        <v>23</v>
      </c>
      <c r="L1802">
        <v>2011</v>
      </c>
      <c r="M1802">
        <v>11</v>
      </c>
      <c r="N1802">
        <v>1</v>
      </c>
    </row>
    <row r="1803" spans="1:14" x14ac:dyDescent="0.25">
      <c r="A1803" t="s">
        <v>4025</v>
      </c>
      <c r="B1803" t="s">
        <v>237</v>
      </c>
      <c r="C1803" t="s">
        <v>238</v>
      </c>
      <c r="D1803" t="str">
        <f>VLOOKUP(J1803,Location[],2,FALSE)</f>
        <v>Miami</v>
      </c>
      <c r="E1803" t="str">
        <f>VLOOKUP(J1803,Location[],3,FALSE)</f>
        <v> Florida</v>
      </c>
      <c r="F1803" t="str">
        <f>VLOOKUP(K1803,Dept[],2,FALSE)</f>
        <v>Accounting</v>
      </c>
      <c r="G1803" s="11">
        <f t="shared" si="28"/>
        <v>44013</v>
      </c>
      <c r="H1803" t="str">
        <f>VLOOKUP(N1803,Status[],2,FALSE)</f>
        <v>Full-Time</v>
      </c>
      <c r="J1803" s="7">
        <v>1043</v>
      </c>
      <c r="K1803">
        <v>11</v>
      </c>
      <c r="L1803">
        <v>2020</v>
      </c>
      <c r="M1803">
        <v>7</v>
      </c>
      <c r="N1803">
        <v>1</v>
      </c>
    </row>
    <row r="1804" spans="1:14" x14ac:dyDescent="0.25">
      <c r="A1804" t="s">
        <v>4026</v>
      </c>
      <c r="B1804" t="s">
        <v>1766</v>
      </c>
      <c r="C1804" t="s">
        <v>1767</v>
      </c>
      <c r="D1804" t="str">
        <f>VLOOKUP(J1804,Location[],2,FALSE)</f>
        <v>Albuquerque</v>
      </c>
      <c r="E1804" t="str">
        <f>VLOOKUP(J1804,Location[],3,FALSE)</f>
        <v> New Mexico</v>
      </c>
      <c r="F1804" t="str">
        <f>VLOOKUP(K1804,Dept[],2,FALSE)</f>
        <v>Legal</v>
      </c>
      <c r="G1804" s="11">
        <f t="shared" si="28"/>
        <v>45261</v>
      </c>
      <c r="H1804" t="str">
        <f>VLOOKUP(N1804,Status[],2,FALSE)</f>
        <v>Full-Time</v>
      </c>
      <c r="J1804" s="7">
        <v>1032</v>
      </c>
      <c r="K1804">
        <v>18</v>
      </c>
      <c r="L1804">
        <v>2023</v>
      </c>
      <c r="M1804">
        <v>12</v>
      </c>
      <c r="N1804">
        <v>1</v>
      </c>
    </row>
    <row r="1805" spans="1:14" x14ac:dyDescent="0.25">
      <c r="A1805" t="s">
        <v>4027</v>
      </c>
      <c r="B1805" t="s">
        <v>235</v>
      </c>
      <c r="C1805" t="s">
        <v>1810</v>
      </c>
      <c r="D1805" t="str">
        <f>VLOOKUP(J1805,Location[],2,FALSE)</f>
        <v>Durham</v>
      </c>
      <c r="E1805" t="str">
        <f>VLOOKUP(J1805,Location[],3,FALSE)</f>
        <v> North Carolina</v>
      </c>
      <c r="F1805" t="str">
        <f>VLOOKUP(K1805,Dept[],2,FALSE)</f>
        <v>Marketing</v>
      </c>
      <c r="G1805" s="11">
        <f t="shared" si="28"/>
        <v>43221</v>
      </c>
      <c r="H1805" t="str">
        <f>VLOOKUP(N1805,Status[],2,FALSE)</f>
        <v>Full-Time</v>
      </c>
      <c r="J1805" s="7">
        <v>1077</v>
      </c>
      <c r="K1805">
        <v>19</v>
      </c>
      <c r="L1805">
        <v>2018</v>
      </c>
      <c r="M1805">
        <v>5</v>
      </c>
      <c r="N1805">
        <v>1</v>
      </c>
    </row>
    <row r="1806" spans="1:14" x14ac:dyDescent="0.25">
      <c r="A1806" t="s">
        <v>4028</v>
      </c>
      <c r="B1806" t="s">
        <v>489</v>
      </c>
      <c r="C1806" t="s">
        <v>1868</v>
      </c>
      <c r="D1806" t="str">
        <f>VLOOKUP(J1806,Location[],2,FALSE)</f>
        <v>San Antonio</v>
      </c>
      <c r="E1806" t="str">
        <f>VLOOKUP(J1806,Location[],3,FALSE)</f>
        <v> Texas</v>
      </c>
      <c r="F1806" t="str">
        <f>VLOOKUP(K1806,Dept[],2,FALSE)</f>
        <v>Sales</v>
      </c>
      <c r="G1806" s="11">
        <f t="shared" si="28"/>
        <v>42309</v>
      </c>
      <c r="H1806" t="str">
        <f>VLOOKUP(N1806,Status[],2,FALSE)</f>
        <v>Full-Time</v>
      </c>
      <c r="J1806" s="7">
        <v>1007</v>
      </c>
      <c r="K1806">
        <v>22</v>
      </c>
      <c r="L1806">
        <v>2015</v>
      </c>
      <c r="M1806">
        <v>11</v>
      </c>
      <c r="N1806">
        <v>1</v>
      </c>
    </row>
    <row r="1807" spans="1:14" x14ac:dyDescent="0.25">
      <c r="A1807" t="s">
        <v>4029</v>
      </c>
      <c r="B1807" t="s">
        <v>163</v>
      </c>
      <c r="C1807" t="s">
        <v>2093</v>
      </c>
      <c r="D1807" t="str">
        <f>VLOOKUP(J1807,Location[],2,FALSE)</f>
        <v>Albuquerque</v>
      </c>
      <c r="E1807" t="str">
        <f>VLOOKUP(J1807,Location[],3,FALSE)</f>
        <v> New Mexico</v>
      </c>
      <c r="F1807" t="str">
        <f>VLOOKUP(K1807,Dept[],2,FALSE)</f>
        <v>Assessment</v>
      </c>
      <c r="G1807" s="11">
        <f t="shared" si="28"/>
        <v>42856</v>
      </c>
      <c r="H1807" t="str">
        <f>VLOOKUP(N1807,Status[],2,FALSE)</f>
        <v>Full-Time</v>
      </c>
      <c r="J1807" s="7">
        <v>1032</v>
      </c>
      <c r="K1807">
        <v>13</v>
      </c>
      <c r="L1807">
        <v>2017</v>
      </c>
      <c r="M1807">
        <v>5</v>
      </c>
      <c r="N1807">
        <v>1</v>
      </c>
    </row>
    <row r="1808" spans="1:14" x14ac:dyDescent="0.25">
      <c r="A1808" t="s">
        <v>4030</v>
      </c>
      <c r="B1808" t="s">
        <v>674</v>
      </c>
      <c r="C1808" t="s">
        <v>1934</v>
      </c>
      <c r="D1808" t="str">
        <f>VLOOKUP(J1808,Location[],2,FALSE)</f>
        <v>Charlotte</v>
      </c>
      <c r="E1808" t="str">
        <f>VLOOKUP(J1808,Location[],3,FALSE)</f>
        <v> North Carolina</v>
      </c>
      <c r="F1808" t="str">
        <f>VLOOKUP(K1808,Dept[],2,FALSE)</f>
        <v>Assessment</v>
      </c>
      <c r="G1808" s="11">
        <f t="shared" si="28"/>
        <v>41030</v>
      </c>
      <c r="H1808" t="str">
        <f>VLOOKUP(N1808,Status[],2,FALSE)</f>
        <v>Full-Time</v>
      </c>
      <c r="J1808" s="7">
        <v>1017</v>
      </c>
      <c r="K1808">
        <v>13</v>
      </c>
      <c r="L1808">
        <v>2012</v>
      </c>
      <c r="M1808">
        <v>5</v>
      </c>
      <c r="N1808">
        <v>1</v>
      </c>
    </row>
    <row r="1809" spans="1:14" x14ac:dyDescent="0.25">
      <c r="A1809" t="s">
        <v>4031</v>
      </c>
      <c r="B1809" t="s">
        <v>222</v>
      </c>
      <c r="C1809" t="s">
        <v>2081</v>
      </c>
      <c r="D1809" t="str">
        <f>VLOOKUP(J1809,Location[],2,FALSE)</f>
        <v>Los Angeles</v>
      </c>
      <c r="E1809" t="str">
        <f>VLOOKUP(J1809,Location[],3,FALSE)</f>
        <v> California</v>
      </c>
      <c r="F1809" t="str">
        <f>VLOOKUP(K1809,Dept[],2,FALSE)</f>
        <v>Accounting</v>
      </c>
      <c r="G1809" s="11">
        <f t="shared" si="28"/>
        <v>42248</v>
      </c>
      <c r="H1809" t="str">
        <f>VLOOKUP(N1809,Status[],2,FALSE)</f>
        <v>Part-Time</v>
      </c>
      <c r="J1809" s="7">
        <v>1002</v>
      </c>
      <c r="K1809">
        <v>11</v>
      </c>
      <c r="L1809">
        <v>2015</v>
      </c>
      <c r="M1809">
        <v>9</v>
      </c>
      <c r="N1809">
        <v>0</v>
      </c>
    </row>
    <row r="1810" spans="1:14" x14ac:dyDescent="0.25">
      <c r="A1810" t="s">
        <v>4032</v>
      </c>
      <c r="B1810" t="s">
        <v>561</v>
      </c>
      <c r="C1810" t="s">
        <v>562</v>
      </c>
      <c r="D1810" t="str">
        <f>VLOOKUP(J1810,Location[],2,FALSE)</f>
        <v>San Antonio</v>
      </c>
      <c r="E1810" t="str">
        <f>VLOOKUP(J1810,Location[],3,FALSE)</f>
        <v> Texas</v>
      </c>
      <c r="F1810" t="str">
        <f>VLOOKUP(K1810,Dept[],2,FALSE)</f>
        <v>Finance</v>
      </c>
      <c r="G1810" s="11">
        <f t="shared" si="28"/>
        <v>41275</v>
      </c>
      <c r="H1810" t="str">
        <f>VLOOKUP(N1810,Status[],2,FALSE)</f>
        <v>Full-Time</v>
      </c>
      <c r="J1810" s="7">
        <v>1007</v>
      </c>
      <c r="K1810">
        <v>15</v>
      </c>
      <c r="L1810">
        <v>2013</v>
      </c>
      <c r="M1810">
        <v>1</v>
      </c>
      <c r="N1810">
        <v>1</v>
      </c>
    </row>
    <row r="1811" spans="1:14" x14ac:dyDescent="0.25">
      <c r="A1811" t="s">
        <v>4033</v>
      </c>
      <c r="B1811" t="s">
        <v>5</v>
      </c>
      <c r="C1811" t="s">
        <v>689</v>
      </c>
      <c r="D1811" t="str">
        <f>VLOOKUP(J1811,Location[],2,FALSE)</f>
        <v>Austin</v>
      </c>
      <c r="E1811" t="str">
        <f>VLOOKUP(J1811,Location[],3,FALSE)</f>
        <v> Texas</v>
      </c>
      <c r="F1811" t="str">
        <f>VLOOKUP(K1811,Dept[],2,FALSE)</f>
        <v>Assessment</v>
      </c>
      <c r="G1811" s="11">
        <f t="shared" si="28"/>
        <v>42522</v>
      </c>
      <c r="H1811" t="str">
        <f>VLOOKUP(N1811,Status[],2,FALSE)</f>
        <v>Full-Time</v>
      </c>
      <c r="J1811" s="7">
        <v>1011</v>
      </c>
      <c r="K1811">
        <v>13</v>
      </c>
      <c r="L1811">
        <v>2016</v>
      </c>
      <c r="M1811">
        <v>6</v>
      </c>
      <c r="N1811">
        <v>1</v>
      </c>
    </row>
    <row r="1812" spans="1:14" x14ac:dyDescent="0.25">
      <c r="A1812" t="s">
        <v>4034</v>
      </c>
      <c r="B1812" t="s">
        <v>593</v>
      </c>
      <c r="C1812" t="s">
        <v>594</v>
      </c>
      <c r="D1812" t="str">
        <f>VLOOKUP(J1812,Location[],2,FALSE)</f>
        <v>Memphis</v>
      </c>
      <c r="E1812" t="str">
        <f>VLOOKUP(J1812,Location[],3,FALSE)</f>
        <v> Tennessee</v>
      </c>
      <c r="F1812" t="str">
        <f>VLOOKUP(K1812,Dept[],2,FALSE)</f>
        <v>Administration</v>
      </c>
      <c r="G1812" s="11">
        <f t="shared" si="28"/>
        <v>42461</v>
      </c>
      <c r="H1812" t="str">
        <f>VLOOKUP(N1812,Status[],2,FALSE)</f>
        <v>Part-Time</v>
      </c>
      <c r="J1812" s="7">
        <v>1025</v>
      </c>
      <c r="K1812">
        <v>12</v>
      </c>
      <c r="L1812">
        <v>2016</v>
      </c>
      <c r="M1812">
        <v>4</v>
      </c>
      <c r="N1812">
        <v>0</v>
      </c>
    </row>
    <row r="1813" spans="1:14" x14ac:dyDescent="0.25">
      <c r="A1813" t="s">
        <v>4035</v>
      </c>
      <c r="B1813" t="s">
        <v>98</v>
      </c>
      <c r="C1813" t="s">
        <v>594</v>
      </c>
      <c r="D1813" t="str">
        <f>VLOOKUP(J1813,Location[],2,FALSE)</f>
        <v>San Antonio</v>
      </c>
      <c r="E1813" t="str">
        <f>VLOOKUP(J1813,Location[],3,FALSE)</f>
        <v> Texas</v>
      </c>
      <c r="F1813" t="str">
        <f>VLOOKUP(K1813,Dept[],2,FALSE)</f>
        <v>Assessment</v>
      </c>
      <c r="G1813" s="11">
        <f t="shared" si="28"/>
        <v>42005</v>
      </c>
      <c r="H1813" t="str">
        <f>VLOOKUP(N1813,Status[],2,FALSE)</f>
        <v>Full-Time</v>
      </c>
      <c r="J1813" s="7">
        <v>1007</v>
      </c>
      <c r="K1813">
        <v>13</v>
      </c>
      <c r="L1813">
        <v>2015</v>
      </c>
      <c r="M1813">
        <v>1</v>
      </c>
      <c r="N1813">
        <v>1</v>
      </c>
    </row>
    <row r="1814" spans="1:14" x14ac:dyDescent="0.25">
      <c r="A1814" t="s">
        <v>4036</v>
      </c>
      <c r="B1814" t="s">
        <v>246</v>
      </c>
      <c r="C1814" t="s">
        <v>1235</v>
      </c>
      <c r="D1814" t="str">
        <f>VLOOKUP(J1814,Location[],2,FALSE)</f>
        <v>Indianapolis</v>
      </c>
      <c r="E1814" t="str">
        <f>VLOOKUP(J1814,Location[],3,FALSE)</f>
        <v> Indiana</v>
      </c>
      <c r="F1814" t="str">
        <f>VLOOKUP(K1814,Dept[],2,FALSE)</f>
        <v>Sales</v>
      </c>
      <c r="G1814" s="11">
        <f t="shared" si="28"/>
        <v>43770</v>
      </c>
      <c r="H1814" t="str">
        <f>VLOOKUP(N1814,Status[],2,FALSE)</f>
        <v>Full-Time</v>
      </c>
      <c r="J1814" s="7">
        <v>1016</v>
      </c>
      <c r="K1814">
        <v>22</v>
      </c>
      <c r="L1814">
        <v>2019</v>
      </c>
      <c r="M1814">
        <v>11</v>
      </c>
      <c r="N1814">
        <v>1</v>
      </c>
    </row>
    <row r="1815" spans="1:14" x14ac:dyDescent="0.25">
      <c r="A1815" t="s">
        <v>4037</v>
      </c>
      <c r="B1815" t="s">
        <v>394</v>
      </c>
      <c r="C1815" t="s">
        <v>1845</v>
      </c>
      <c r="D1815" t="str">
        <f>VLOOKUP(J1815,Location[],2,FALSE)</f>
        <v>Fresno</v>
      </c>
      <c r="E1815" t="str">
        <f>VLOOKUP(J1815,Location[],3,FALSE)</f>
        <v> California</v>
      </c>
      <c r="F1815" t="str">
        <f>VLOOKUP(K1815,Dept[],2,FALSE)</f>
        <v>Legal</v>
      </c>
      <c r="G1815" s="11">
        <f t="shared" si="28"/>
        <v>43770</v>
      </c>
      <c r="H1815" t="str">
        <f>VLOOKUP(N1815,Status[],2,FALSE)</f>
        <v>Full-Time</v>
      </c>
      <c r="J1815" s="7">
        <v>1034</v>
      </c>
      <c r="K1815">
        <v>18</v>
      </c>
      <c r="L1815">
        <v>2019</v>
      </c>
      <c r="M1815">
        <v>11</v>
      </c>
      <c r="N1815">
        <v>1</v>
      </c>
    </row>
    <row r="1816" spans="1:14" x14ac:dyDescent="0.25">
      <c r="A1816" t="s">
        <v>4038</v>
      </c>
      <c r="B1816" t="s">
        <v>224</v>
      </c>
      <c r="C1816" t="s">
        <v>225</v>
      </c>
      <c r="D1816" t="str">
        <f>VLOOKUP(J1816,Location[],2,FALSE)</f>
        <v>Indianapolis</v>
      </c>
      <c r="E1816" t="str">
        <f>VLOOKUP(J1816,Location[],3,FALSE)</f>
        <v> Indiana</v>
      </c>
      <c r="F1816" t="str">
        <f>VLOOKUP(K1816,Dept[],2,FALSE)</f>
        <v>IT</v>
      </c>
      <c r="G1816" s="11">
        <f t="shared" si="28"/>
        <v>43862</v>
      </c>
      <c r="H1816" t="str">
        <f>VLOOKUP(N1816,Status[],2,FALSE)</f>
        <v>Full-Time</v>
      </c>
      <c r="J1816" s="7">
        <v>1016</v>
      </c>
      <c r="K1816">
        <v>17</v>
      </c>
      <c r="L1816">
        <v>2020</v>
      </c>
      <c r="M1816">
        <v>2</v>
      </c>
      <c r="N1816">
        <v>1</v>
      </c>
    </row>
    <row r="1817" spans="1:14" x14ac:dyDescent="0.25">
      <c r="A1817" t="s">
        <v>4039</v>
      </c>
      <c r="B1817" t="s">
        <v>29</v>
      </c>
      <c r="C1817" t="s">
        <v>30</v>
      </c>
      <c r="D1817" t="str">
        <f>VLOOKUP(J1817,Location[],2,FALSE)</f>
        <v>Chicago</v>
      </c>
      <c r="E1817" t="str">
        <f>VLOOKUP(J1817,Location[],3,FALSE)</f>
        <v> Illinois</v>
      </c>
      <c r="F1817" t="str">
        <f>VLOOKUP(K1817,Dept[],2,FALSE)</f>
        <v>Legal</v>
      </c>
      <c r="G1817" s="11">
        <f t="shared" si="28"/>
        <v>41214</v>
      </c>
      <c r="H1817" t="str">
        <f>VLOOKUP(N1817,Status[],2,FALSE)</f>
        <v>Full-Time</v>
      </c>
      <c r="J1817" s="7">
        <v>1003</v>
      </c>
      <c r="K1817">
        <v>18</v>
      </c>
      <c r="L1817">
        <v>2012</v>
      </c>
      <c r="M1817">
        <v>11</v>
      </c>
      <c r="N1817">
        <v>1</v>
      </c>
    </row>
    <row r="1818" spans="1:14" x14ac:dyDescent="0.25">
      <c r="A1818" t="s">
        <v>2245</v>
      </c>
      <c r="B1818" t="s">
        <v>91</v>
      </c>
      <c r="C1818" t="s">
        <v>30</v>
      </c>
      <c r="D1818" t="str">
        <f>VLOOKUP(J1818,Location[],2,FALSE)</f>
        <v>New York City</v>
      </c>
      <c r="E1818" t="str">
        <f>VLOOKUP(J1818,Location[],3,FALSE)</f>
        <v> New York</v>
      </c>
      <c r="F1818" t="str">
        <f>VLOOKUP(K1818,Dept[],2,FALSE)</f>
        <v>Administration</v>
      </c>
      <c r="G1818" s="11">
        <f t="shared" si="28"/>
        <v>42309</v>
      </c>
      <c r="H1818" t="str">
        <f>VLOOKUP(N1818,Status[],2,FALSE)</f>
        <v>Full-Time</v>
      </c>
      <c r="J1818" s="7">
        <v>1001</v>
      </c>
      <c r="K1818">
        <v>12</v>
      </c>
      <c r="L1818">
        <v>2015</v>
      </c>
      <c r="M1818">
        <v>11</v>
      </c>
      <c r="N1818">
        <v>1</v>
      </c>
    </row>
    <row r="1819" spans="1:14" x14ac:dyDescent="0.25">
      <c r="A1819" t="s">
        <v>4040</v>
      </c>
      <c r="B1819" t="s">
        <v>307</v>
      </c>
      <c r="C1819" t="s">
        <v>30</v>
      </c>
      <c r="D1819" t="str">
        <f>VLOOKUP(J1819,Location[],2,FALSE)</f>
        <v>Pittsburgh</v>
      </c>
      <c r="E1819" t="str">
        <f>VLOOKUP(J1819,Location[],3,FALSE)</f>
        <v> Pennsylvania</v>
      </c>
      <c r="F1819" t="str">
        <f>VLOOKUP(K1819,Dept[],2,FALSE)</f>
        <v>Administration</v>
      </c>
      <c r="G1819" s="11">
        <f t="shared" si="28"/>
        <v>41306</v>
      </c>
      <c r="H1819" t="str">
        <f>VLOOKUP(N1819,Status[],2,FALSE)</f>
        <v>Part-Time</v>
      </c>
      <c r="J1819" s="7">
        <v>1065</v>
      </c>
      <c r="K1819">
        <v>12</v>
      </c>
      <c r="L1819">
        <v>2013</v>
      </c>
      <c r="M1819">
        <v>2</v>
      </c>
      <c r="N1819">
        <v>0</v>
      </c>
    </row>
    <row r="1820" spans="1:14" x14ac:dyDescent="0.25">
      <c r="A1820" t="s">
        <v>4041</v>
      </c>
      <c r="B1820" t="s">
        <v>1272</v>
      </c>
      <c r="C1820" t="s">
        <v>30</v>
      </c>
      <c r="D1820" t="str">
        <f>VLOOKUP(J1820,Location[],2,FALSE)</f>
        <v>New York City</v>
      </c>
      <c r="E1820" t="str">
        <f>VLOOKUP(J1820,Location[],3,FALSE)</f>
        <v> New York</v>
      </c>
      <c r="F1820" t="str">
        <f>VLOOKUP(K1820,Dept[],2,FALSE)</f>
        <v>Customer Support</v>
      </c>
      <c r="G1820" s="11">
        <f t="shared" si="28"/>
        <v>42005</v>
      </c>
      <c r="H1820" t="str">
        <f>VLOOKUP(N1820,Status[],2,FALSE)</f>
        <v>Part-Time</v>
      </c>
      <c r="J1820" s="7">
        <v>1001</v>
      </c>
      <c r="K1820">
        <v>14</v>
      </c>
      <c r="L1820">
        <v>2015</v>
      </c>
      <c r="M1820">
        <v>1</v>
      </c>
      <c r="N1820">
        <v>0</v>
      </c>
    </row>
    <row r="1821" spans="1:14" x14ac:dyDescent="0.25">
      <c r="A1821" t="s">
        <v>4042</v>
      </c>
      <c r="B1821" t="s">
        <v>1699</v>
      </c>
      <c r="C1821" t="s">
        <v>1152</v>
      </c>
      <c r="D1821" t="str">
        <f>VLOOKUP(J1821,Location[],2,FALSE)</f>
        <v>Chicago</v>
      </c>
      <c r="E1821" t="str">
        <f>VLOOKUP(J1821,Location[],3,FALSE)</f>
        <v> Illinois</v>
      </c>
      <c r="F1821" t="str">
        <f>VLOOKUP(K1821,Dept[],2,FALSE)</f>
        <v>Accounting</v>
      </c>
      <c r="G1821" s="11">
        <f t="shared" si="28"/>
        <v>43252</v>
      </c>
      <c r="H1821" t="str">
        <f>VLOOKUP(N1821,Status[],2,FALSE)</f>
        <v>Part-Time</v>
      </c>
      <c r="J1821" s="7">
        <v>1003</v>
      </c>
      <c r="K1821">
        <v>11</v>
      </c>
      <c r="L1821">
        <v>2018</v>
      </c>
      <c r="M1821">
        <v>6</v>
      </c>
      <c r="N1821">
        <v>0</v>
      </c>
    </row>
    <row r="1822" spans="1:14" x14ac:dyDescent="0.25">
      <c r="A1822" t="s">
        <v>4043</v>
      </c>
      <c r="B1822" t="s">
        <v>202</v>
      </c>
      <c r="C1822" t="s">
        <v>1152</v>
      </c>
      <c r="D1822" t="str">
        <f>VLOOKUP(J1822,Location[],2,FALSE)</f>
        <v>Charlotte</v>
      </c>
      <c r="E1822" t="str">
        <f>VLOOKUP(J1822,Location[],3,FALSE)</f>
        <v> North Carolina</v>
      </c>
      <c r="F1822" t="str">
        <f>VLOOKUP(K1822,Dept[],2,FALSE)</f>
        <v>Finance</v>
      </c>
      <c r="G1822" s="11">
        <f t="shared" si="28"/>
        <v>41061</v>
      </c>
      <c r="H1822" t="str">
        <f>VLOOKUP(N1822,Status[],2,FALSE)</f>
        <v>Full-Time</v>
      </c>
      <c r="J1822" s="7">
        <v>1017</v>
      </c>
      <c r="K1822">
        <v>15</v>
      </c>
      <c r="L1822">
        <v>2012</v>
      </c>
      <c r="M1822">
        <v>6</v>
      </c>
      <c r="N1822">
        <v>1</v>
      </c>
    </row>
    <row r="1823" spans="1:14" x14ac:dyDescent="0.25">
      <c r="A1823" t="s">
        <v>4044</v>
      </c>
      <c r="B1823" t="s">
        <v>1658</v>
      </c>
      <c r="C1823" t="s">
        <v>1659</v>
      </c>
      <c r="D1823" t="str">
        <f>VLOOKUP(J1823,Location[],2,FALSE)</f>
        <v>Houston</v>
      </c>
      <c r="E1823" t="str">
        <f>VLOOKUP(J1823,Location[],3,FALSE)</f>
        <v> Texas</v>
      </c>
      <c r="F1823" t="str">
        <f>VLOOKUP(K1823,Dept[],2,FALSE)</f>
        <v>R&amp;D</v>
      </c>
      <c r="G1823" s="11">
        <f t="shared" si="28"/>
        <v>40940</v>
      </c>
      <c r="H1823" t="str">
        <f>VLOOKUP(N1823,Status[],2,FALSE)</f>
        <v>Part-Time</v>
      </c>
      <c r="J1823" s="7">
        <v>1004</v>
      </c>
      <c r="K1823">
        <v>21</v>
      </c>
      <c r="L1823">
        <v>2012</v>
      </c>
      <c r="M1823">
        <v>2</v>
      </c>
      <c r="N1823">
        <v>0</v>
      </c>
    </row>
    <row r="1824" spans="1:14" x14ac:dyDescent="0.25">
      <c r="A1824" t="s">
        <v>4045</v>
      </c>
      <c r="B1824" t="s">
        <v>608</v>
      </c>
      <c r="C1824" t="s">
        <v>1968</v>
      </c>
      <c r="D1824" t="str">
        <f>VLOOKUP(J1824,Location[],2,FALSE)</f>
        <v>Houston</v>
      </c>
      <c r="E1824" t="str">
        <f>VLOOKUP(J1824,Location[],3,FALSE)</f>
        <v> Texas</v>
      </c>
      <c r="F1824" t="str">
        <f>VLOOKUP(K1824,Dept[],2,FALSE)</f>
        <v>Legal</v>
      </c>
      <c r="G1824" s="11">
        <f t="shared" si="28"/>
        <v>42248</v>
      </c>
      <c r="H1824" t="str">
        <f>VLOOKUP(N1824,Status[],2,FALSE)</f>
        <v>Full-Time</v>
      </c>
      <c r="J1824" s="7">
        <v>1004</v>
      </c>
      <c r="K1824">
        <v>18</v>
      </c>
      <c r="L1824">
        <v>2015</v>
      </c>
      <c r="M1824">
        <v>9</v>
      </c>
      <c r="N1824">
        <v>1</v>
      </c>
    </row>
    <row r="1825" spans="1:14" x14ac:dyDescent="0.25">
      <c r="A1825" t="s">
        <v>4046</v>
      </c>
      <c r="B1825" t="s">
        <v>1347</v>
      </c>
      <c r="C1825" t="s">
        <v>1348</v>
      </c>
      <c r="D1825" t="str">
        <f>VLOOKUP(J1825,Location[],2,FALSE)</f>
        <v>Indianapolis</v>
      </c>
      <c r="E1825" t="str">
        <f>VLOOKUP(J1825,Location[],3,FALSE)</f>
        <v> Indiana</v>
      </c>
      <c r="F1825" t="str">
        <f>VLOOKUP(K1825,Dept[],2,FALSE)</f>
        <v>Customer Support</v>
      </c>
      <c r="G1825" s="11">
        <f t="shared" si="28"/>
        <v>43983</v>
      </c>
      <c r="H1825" t="str">
        <f>VLOOKUP(N1825,Status[],2,FALSE)</f>
        <v>Full-Time</v>
      </c>
      <c r="J1825" s="7">
        <v>1016</v>
      </c>
      <c r="K1825">
        <v>14</v>
      </c>
      <c r="L1825">
        <v>2020</v>
      </c>
      <c r="M1825">
        <v>6</v>
      </c>
      <c r="N1825">
        <v>1</v>
      </c>
    </row>
    <row r="1826" spans="1:14" x14ac:dyDescent="0.25">
      <c r="A1826" t="s">
        <v>4047</v>
      </c>
      <c r="B1826" t="s">
        <v>292</v>
      </c>
      <c r="C1826" t="s">
        <v>1745</v>
      </c>
      <c r="D1826" t="str">
        <f>VLOOKUP(J1826,Location[],2,FALSE)</f>
        <v>Lexington</v>
      </c>
      <c r="E1826" t="str">
        <f>VLOOKUP(J1826,Location[],3,FALSE)</f>
        <v> Kentucky</v>
      </c>
      <c r="F1826" t="str">
        <f>VLOOKUP(K1826,Dept[],2,FALSE)</f>
        <v>Legal</v>
      </c>
      <c r="G1826" s="11">
        <f t="shared" si="28"/>
        <v>40787</v>
      </c>
      <c r="H1826" t="str">
        <f>VLOOKUP(N1826,Status[],2,FALSE)</f>
        <v>Part-Time</v>
      </c>
      <c r="J1826" s="7">
        <v>1060</v>
      </c>
      <c r="K1826">
        <v>18</v>
      </c>
      <c r="L1826">
        <v>2011</v>
      </c>
      <c r="M1826">
        <v>9</v>
      </c>
      <c r="N1826">
        <v>0</v>
      </c>
    </row>
    <row r="1827" spans="1:14" x14ac:dyDescent="0.25">
      <c r="A1827" t="s">
        <v>4048</v>
      </c>
      <c r="B1827" t="s">
        <v>527</v>
      </c>
      <c r="C1827" t="s">
        <v>1820</v>
      </c>
      <c r="D1827" t="str">
        <f>VLOOKUP(J1827,Location[],2,FALSE)</f>
        <v>Omaha</v>
      </c>
      <c r="E1827" t="str">
        <f>VLOOKUP(J1827,Location[],3,FALSE)</f>
        <v> Nebraska</v>
      </c>
      <c r="F1827" t="str">
        <f>VLOOKUP(K1827,Dept[],2,FALSE)</f>
        <v>Customer Support</v>
      </c>
      <c r="G1827" s="11">
        <f t="shared" si="28"/>
        <v>45200</v>
      </c>
      <c r="H1827" t="str">
        <f>VLOOKUP(N1827,Status[],2,FALSE)</f>
        <v>Full-Time</v>
      </c>
      <c r="J1827" s="7">
        <v>1040</v>
      </c>
      <c r="K1827">
        <v>14</v>
      </c>
      <c r="L1827">
        <v>2023</v>
      </c>
      <c r="M1827">
        <v>10</v>
      </c>
      <c r="N1827">
        <v>1</v>
      </c>
    </row>
    <row r="1828" spans="1:14" x14ac:dyDescent="0.25">
      <c r="A1828" t="s">
        <v>4049</v>
      </c>
      <c r="B1828" t="s">
        <v>253</v>
      </c>
      <c r="C1828" t="s">
        <v>2048</v>
      </c>
      <c r="D1828" t="str">
        <f>VLOOKUP(J1828,Location[],2,FALSE)</f>
        <v>Chicago</v>
      </c>
      <c r="E1828" t="str">
        <f>VLOOKUP(J1828,Location[],3,FALSE)</f>
        <v> Illinois</v>
      </c>
      <c r="F1828" t="str">
        <f>VLOOKUP(K1828,Dept[],2,FALSE)</f>
        <v>Customer Support</v>
      </c>
      <c r="G1828" s="11">
        <f t="shared" si="28"/>
        <v>43739</v>
      </c>
      <c r="H1828" t="str">
        <f>VLOOKUP(N1828,Status[],2,FALSE)</f>
        <v>Part-Time</v>
      </c>
      <c r="J1828" s="7">
        <v>1003</v>
      </c>
      <c r="K1828">
        <v>14</v>
      </c>
      <c r="L1828">
        <v>2019</v>
      </c>
      <c r="M1828">
        <v>10</v>
      </c>
      <c r="N1828">
        <v>0</v>
      </c>
    </row>
    <row r="1829" spans="1:14" x14ac:dyDescent="0.25">
      <c r="A1829" t="s">
        <v>4050</v>
      </c>
      <c r="B1829" t="s">
        <v>939</v>
      </c>
      <c r="C1829" t="s">
        <v>1672</v>
      </c>
      <c r="D1829" t="str">
        <f>VLOOKUP(J1829,Location[],2,FALSE)</f>
        <v>Jacksonville</v>
      </c>
      <c r="E1829" t="str">
        <f>VLOOKUP(J1829,Location[],3,FALSE)</f>
        <v> Florida</v>
      </c>
      <c r="F1829" t="str">
        <f>VLOOKUP(K1829,Dept[],2,FALSE)</f>
        <v>Administration</v>
      </c>
      <c r="G1829" s="11">
        <f t="shared" si="28"/>
        <v>42248</v>
      </c>
      <c r="H1829" t="str">
        <f>VLOOKUP(N1829,Status[],2,FALSE)</f>
        <v>Full-Time</v>
      </c>
      <c r="J1829" s="7">
        <v>1012</v>
      </c>
      <c r="K1829">
        <v>12</v>
      </c>
      <c r="L1829">
        <v>2015</v>
      </c>
      <c r="M1829">
        <v>9</v>
      </c>
      <c r="N1829">
        <v>1</v>
      </c>
    </row>
    <row r="1830" spans="1:14" x14ac:dyDescent="0.25">
      <c r="A1830" t="s">
        <v>4051</v>
      </c>
      <c r="B1830" t="s">
        <v>601</v>
      </c>
      <c r="C1830" t="s">
        <v>2090</v>
      </c>
      <c r="D1830" t="str">
        <f>VLOOKUP(J1830,Location[],2,FALSE)</f>
        <v>Houston</v>
      </c>
      <c r="E1830" t="str">
        <f>VLOOKUP(J1830,Location[],3,FALSE)</f>
        <v> Texas</v>
      </c>
      <c r="F1830" t="str">
        <f>VLOOKUP(K1830,Dept[],2,FALSE)</f>
        <v>Sales</v>
      </c>
      <c r="G1830" s="11">
        <f t="shared" si="28"/>
        <v>42370</v>
      </c>
      <c r="H1830" t="str">
        <f>VLOOKUP(N1830,Status[],2,FALSE)</f>
        <v>Part-Time</v>
      </c>
      <c r="J1830" s="7">
        <v>1004</v>
      </c>
      <c r="K1830">
        <v>22</v>
      </c>
      <c r="L1830">
        <v>2016</v>
      </c>
      <c r="M1830">
        <v>1</v>
      </c>
      <c r="N1830">
        <v>0</v>
      </c>
    </row>
    <row r="1831" spans="1:14" x14ac:dyDescent="0.25">
      <c r="A1831" t="s">
        <v>4052</v>
      </c>
      <c r="B1831" t="s">
        <v>83</v>
      </c>
      <c r="C1831" t="s">
        <v>70</v>
      </c>
      <c r="D1831" t="str">
        <f>VLOOKUP(J1831,Location[],2,FALSE)</f>
        <v>New York City</v>
      </c>
      <c r="E1831" t="str">
        <f>VLOOKUP(J1831,Location[],3,FALSE)</f>
        <v> New York</v>
      </c>
      <c r="F1831" t="str">
        <f>VLOOKUP(K1831,Dept[],2,FALSE)</f>
        <v>Human Resources</v>
      </c>
      <c r="G1831" s="11">
        <f t="shared" si="28"/>
        <v>44713</v>
      </c>
      <c r="H1831" t="str">
        <f>VLOOKUP(N1831,Status[],2,FALSE)</f>
        <v>Full-Time</v>
      </c>
      <c r="J1831" s="7">
        <v>1001</v>
      </c>
      <c r="K1831">
        <v>16</v>
      </c>
      <c r="L1831">
        <v>2022</v>
      </c>
      <c r="M1831">
        <v>6</v>
      </c>
      <c r="N1831">
        <v>1</v>
      </c>
    </row>
    <row r="1832" spans="1:14" x14ac:dyDescent="0.25">
      <c r="A1832" t="s">
        <v>4053</v>
      </c>
      <c r="B1832" t="s">
        <v>69</v>
      </c>
      <c r="C1832" t="s">
        <v>70</v>
      </c>
      <c r="D1832" t="str">
        <f>VLOOKUP(J1832,Location[],2,FALSE)</f>
        <v>Raleigh</v>
      </c>
      <c r="E1832" t="str">
        <f>VLOOKUP(J1832,Location[],3,FALSE)</f>
        <v> North Carolina</v>
      </c>
      <c r="F1832" t="str">
        <f>VLOOKUP(K1832,Dept[],2,FALSE)</f>
        <v>Administration</v>
      </c>
      <c r="G1832" s="11">
        <f t="shared" si="28"/>
        <v>42644</v>
      </c>
      <c r="H1832" t="str">
        <f>VLOOKUP(N1832,Status[],2,FALSE)</f>
        <v>Part-Time</v>
      </c>
      <c r="J1832" s="7">
        <v>1041</v>
      </c>
      <c r="K1832">
        <v>12</v>
      </c>
      <c r="L1832">
        <v>2016</v>
      </c>
      <c r="M1832">
        <v>10</v>
      </c>
      <c r="N1832">
        <v>0</v>
      </c>
    </row>
    <row r="1833" spans="1:14" x14ac:dyDescent="0.25">
      <c r="A1833" t="s">
        <v>4054</v>
      </c>
      <c r="B1833" t="s">
        <v>561</v>
      </c>
      <c r="C1833" t="s">
        <v>922</v>
      </c>
      <c r="D1833" t="str">
        <f>VLOOKUP(J1833,Location[],2,FALSE)</f>
        <v>San Antonio</v>
      </c>
      <c r="E1833" t="str">
        <f>VLOOKUP(J1833,Location[],3,FALSE)</f>
        <v> Texas</v>
      </c>
      <c r="F1833" t="str">
        <f>VLOOKUP(K1833,Dept[],2,FALSE)</f>
        <v>Human Resources</v>
      </c>
      <c r="G1833" s="11">
        <f t="shared" si="28"/>
        <v>41214</v>
      </c>
      <c r="H1833" t="str">
        <f>VLOOKUP(N1833,Status[],2,FALSE)</f>
        <v>Full-Time</v>
      </c>
      <c r="J1833" s="7">
        <v>1007</v>
      </c>
      <c r="K1833">
        <v>16</v>
      </c>
      <c r="L1833">
        <v>2012</v>
      </c>
      <c r="M1833">
        <v>11</v>
      </c>
      <c r="N1833">
        <v>1</v>
      </c>
    </row>
    <row r="1834" spans="1:14" x14ac:dyDescent="0.25">
      <c r="A1834" t="s">
        <v>4055</v>
      </c>
      <c r="B1834" t="s">
        <v>852</v>
      </c>
      <c r="C1834" t="s">
        <v>1326</v>
      </c>
      <c r="D1834" t="str">
        <f>VLOOKUP(J1834,Location[],2,FALSE)</f>
        <v>Dallas</v>
      </c>
      <c r="E1834" t="str">
        <f>VLOOKUP(J1834,Location[],3,FALSE)</f>
        <v> Texas</v>
      </c>
      <c r="F1834" t="str">
        <f>VLOOKUP(K1834,Dept[],2,FALSE)</f>
        <v>Finance</v>
      </c>
      <c r="G1834" s="11">
        <f t="shared" si="28"/>
        <v>44986</v>
      </c>
      <c r="H1834" t="str">
        <f>VLOOKUP(N1834,Status[],2,FALSE)</f>
        <v>Part-Time</v>
      </c>
      <c r="J1834" s="7">
        <v>1009</v>
      </c>
      <c r="K1834">
        <v>15</v>
      </c>
      <c r="L1834">
        <v>2023</v>
      </c>
      <c r="M1834">
        <v>3</v>
      </c>
      <c r="N1834">
        <v>0</v>
      </c>
    </row>
    <row r="1835" spans="1:14" x14ac:dyDescent="0.25">
      <c r="A1835" t="s">
        <v>4056</v>
      </c>
      <c r="B1835" t="s">
        <v>1518</v>
      </c>
      <c r="C1835" t="s">
        <v>1519</v>
      </c>
      <c r="D1835" t="str">
        <f>VLOOKUP(J1835,Location[],2,FALSE)</f>
        <v>Oklahoma City</v>
      </c>
      <c r="E1835" t="str">
        <f>VLOOKUP(J1835,Location[],3,FALSE)</f>
        <v> Oklahoma</v>
      </c>
      <c r="F1835" t="str">
        <f>VLOOKUP(K1835,Dept[],2,FALSE)</f>
        <v>Media</v>
      </c>
      <c r="G1835" s="11">
        <f t="shared" si="28"/>
        <v>42705</v>
      </c>
      <c r="H1835" t="str">
        <f>VLOOKUP(N1835,Status[],2,FALSE)</f>
        <v>Full-Time</v>
      </c>
      <c r="J1835" s="7">
        <v>1027</v>
      </c>
      <c r="K1835">
        <v>20</v>
      </c>
      <c r="L1835">
        <v>2016</v>
      </c>
      <c r="M1835">
        <v>12</v>
      </c>
      <c r="N1835">
        <v>1</v>
      </c>
    </row>
    <row r="1836" spans="1:14" x14ac:dyDescent="0.25">
      <c r="A1836" t="s">
        <v>4057</v>
      </c>
      <c r="B1836" t="s">
        <v>1049</v>
      </c>
      <c r="C1836" t="s">
        <v>1050</v>
      </c>
      <c r="D1836" t="str">
        <f>VLOOKUP(J1836,Location[],2,FALSE)</f>
        <v>Los Angeles</v>
      </c>
      <c r="E1836" t="str">
        <f>VLOOKUP(J1836,Location[],3,FALSE)</f>
        <v> California</v>
      </c>
      <c r="F1836" t="str">
        <f>VLOOKUP(K1836,Dept[],2,FALSE)</f>
        <v>Marketing</v>
      </c>
      <c r="G1836" s="11">
        <f t="shared" si="28"/>
        <v>43647</v>
      </c>
      <c r="H1836" t="str">
        <f>VLOOKUP(N1836,Status[],2,FALSE)</f>
        <v>Full-Time</v>
      </c>
      <c r="J1836" s="7">
        <v>1002</v>
      </c>
      <c r="K1836">
        <v>19</v>
      </c>
      <c r="L1836">
        <v>2019</v>
      </c>
      <c r="M1836">
        <v>7</v>
      </c>
      <c r="N1836">
        <v>1</v>
      </c>
    </row>
    <row r="1837" spans="1:14" x14ac:dyDescent="0.25">
      <c r="A1837" t="s">
        <v>4058</v>
      </c>
      <c r="B1837" t="s">
        <v>1537</v>
      </c>
      <c r="C1837" t="s">
        <v>1050</v>
      </c>
      <c r="D1837" t="str">
        <f>VLOOKUP(J1837,Location[],2,FALSE)</f>
        <v>Chicago</v>
      </c>
      <c r="E1837" t="str">
        <f>VLOOKUP(J1837,Location[],3,FALSE)</f>
        <v> Illinois</v>
      </c>
      <c r="F1837" t="str">
        <f>VLOOKUP(K1837,Dept[],2,FALSE)</f>
        <v>Administration</v>
      </c>
      <c r="G1837" s="11">
        <f t="shared" si="28"/>
        <v>43709</v>
      </c>
      <c r="H1837" t="str">
        <f>VLOOKUP(N1837,Status[],2,FALSE)</f>
        <v>Part-Time</v>
      </c>
      <c r="J1837" s="7">
        <v>1003</v>
      </c>
      <c r="K1837">
        <v>12</v>
      </c>
      <c r="L1837">
        <v>2019</v>
      </c>
      <c r="M1837">
        <v>9</v>
      </c>
      <c r="N1837">
        <v>0</v>
      </c>
    </row>
    <row r="1838" spans="1:14" x14ac:dyDescent="0.25">
      <c r="A1838" t="s">
        <v>4059</v>
      </c>
      <c r="B1838" t="s">
        <v>85</v>
      </c>
      <c r="C1838" t="s">
        <v>1414</v>
      </c>
      <c r="D1838" t="str">
        <f>VLOOKUP(J1838,Location[],2,FALSE)</f>
        <v>New York City</v>
      </c>
      <c r="E1838" t="str">
        <f>VLOOKUP(J1838,Location[],3,FALSE)</f>
        <v> New York</v>
      </c>
      <c r="F1838" t="str">
        <f>VLOOKUP(K1838,Dept[],2,FALSE)</f>
        <v>Accounting</v>
      </c>
      <c r="G1838" s="11">
        <f t="shared" si="28"/>
        <v>42064</v>
      </c>
      <c r="H1838" t="str">
        <f>VLOOKUP(N1838,Status[],2,FALSE)</f>
        <v>Part-Time</v>
      </c>
      <c r="J1838" s="7">
        <v>1001</v>
      </c>
      <c r="K1838">
        <v>11</v>
      </c>
      <c r="L1838">
        <v>2015</v>
      </c>
      <c r="M1838">
        <v>3</v>
      </c>
      <c r="N1838">
        <v>0</v>
      </c>
    </row>
    <row r="1839" spans="1:14" x14ac:dyDescent="0.25">
      <c r="A1839" t="s">
        <v>4060</v>
      </c>
      <c r="B1839" t="s">
        <v>85</v>
      </c>
      <c r="C1839" t="s">
        <v>1357</v>
      </c>
      <c r="D1839" t="str">
        <f>VLOOKUP(J1839,Location[],2,FALSE)</f>
        <v>Dallas</v>
      </c>
      <c r="E1839" t="str">
        <f>VLOOKUP(J1839,Location[],3,FALSE)</f>
        <v> Texas</v>
      </c>
      <c r="F1839" t="str">
        <f>VLOOKUP(K1839,Dept[],2,FALSE)</f>
        <v>Administration</v>
      </c>
      <c r="G1839" s="11">
        <f t="shared" si="28"/>
        <v>42339</v>
      </c>
      <c r="H1839" t="str">
        <f>VLOOKUP(N1839,Status[],2,FALSE)</f>
        <v>Part-Time</v>
      </c>
      <c r="J1839" s="7">
        <v>1009</v>
      </c>
      <c r="K1839">
        <v>12</v>
      </c>
      <c r="L1839">
        <v>2015</v>
      </c>
      <c r="M1839">
        <v>12</v>
      </c>
      <c r="N1839">
        <v>0</v>
      </c>
    </row>
    <row r="1840" spans="1:14" x14ac:dyDescent="0.25">
      <c r="A1840" t="s">
        <v>4061</v>
      </c>
      <c r="B1840" t="s">
        <v>521</v>
      </c>
      <c r="C1840" t="s">
        <v>522</v>
      </c>
      <c r="D1840" t="str">
        <f>VLOOKUP(J1840,Location[],2,FALSE)</f>
        <v>Henderson</v>
      </c>
      <c r="E1840" t="str">
        <f>VLOOKUP(J1840,Location[],3,FALSE)</f>
        <v> Nevada</v>
      </c>
      <c r="F1840" t="str">
        <f>VLOOKUP(K1840,Dept[],2,FALSE)</f>
        <v>Marketing</v>
      </c>
      <c r="G1840" s="11">
        <f t="shared" si="28"/>
        <v>41275</v>
      </c>
      <c r="H1840" t="str">
        <f>VLOOKUP(N1840,Status[],2,FALSE)</f>
        <v>Full-Time</v>
      </c>
      <c r="J1840" s="7">
        <v>1064</v>
      </c>
      <c r="K1840">
        <v>19</v>
      </c>
      <c r="L1840">
        <v>2013</v>
      </c>
      <c r="M1840">
        <v>1</v>
      </c>
      <c r="N1840">
        <v>1</v>
      </c>
    </row>
    <row r="1841" spans="1:14" x14ac:dyDescent="0.25">
      <c r="A1841" t="s">
        <v>4062</v>
      </c>
      <c r="B1841" t="s">
        <v>2065</v>
      </c>
      <c r="C1841" t="s">
        <v>2066</v>
      </c>
      <c r="D1841" t="str">
        <f>VLOOKUP(J1841,Location[],2,FALSE)</f>
        <v>Memphis</v>
      </c>
      <c r="E1841" t="str">
        <f>VLOOKUP(J1841,Location[],3,FALSE)</f>
        <v> Tennessee</v>
      </c>
      <c r="F1841" t="str">
        <f>VLOOKUP(K1841,Dept[],2,FALSE)</f>
        <v>Customer Support</v>
      </c>
      <c r="G1841" s="11">
        <f t="shared" si="28"/>
        <v>43070</v>
      </c>
      <c r="H1841" t="str">
        <f>VLOOKUP(N1841,Status[],2,FALSE)</f>
        <v>Full-Time</v>
      </c>
      <c r="J1841" s="7">
        <v>1025</v>
      </c>
      <c r="K1841">
        <v>14</v>
      </c>
      <c r="L1841">
        <v>2017</v>
      </c>
      <c r="M1841">
        <v>12</v>
      </c>
      <c r="N1841">
        <v>1</v>
      </c>
    </row>
    <row r="1842" spans="1:14" x14ac:dyDescent="0.25">
      <c r="A1842" t="s">
        <v>4063</v>
      </c>
      <c r="B1842" t="s">
        <v>1907</v>
      </c>
      <c r="C1842" t="s">
        <v>1908</v>
      </c>
      <c r="D1842" t="str">
        <f>VLOOKUP(J1842,Location[],2,FALSE)</f>
        <v>Houston</v>
      </c>
      <c r="E1842" t="str">
        <f>VLOOKUP(J1842,Location[],3,FALSE)</f>
        <v> Texas</v>
      </c>
      <c r="F1842" t="str">
        <f>VLOOKUP(K1842,Dept[],2,FALSE)</f>
        <v>Assessment</v>
      </c>
      <c r="G1842" s="11">
        <f t="shared" si="28"/>
        <v>41061</v>
      </c>
      <c r="H1842" t="str">
        <f>VLOOKUP(N1842,Status[],2,FALSE)</f>
        <v>Full-Time</v>
      </c>
      <c r="J1842" s="7">
        <v>1004</v>
      </c>
      <c r="K1842">
        <v>13</v>
      </c>
      <c r="L1842">
        <v>2012</v>
      </c>
      <c r="M1842">
        <v>6</v>
      </c>
      <c r="N1842">
        <v>1</v>
      </c>
    </row>
    <row r="1843" spans="1:14" x14ac:dyDescent="0.25">
      <c r="A1843" t="s">
        <v>4064</v>
      </c>
      <c r="B1843" t="s">
        <v>766</v>
      </c>
      <c r="C1843" t="s">
        <v>2049</v>
      </c>
      <c r="D1843" t="str">
        <f>VLOOKUP(J1843,Location[],2,FALSE)</f>
        <v>San Jose</v>
      </c>
      <c r="E1843" t="str">
        <f>VLOOKUP(J1843,Location[],3,FALSE)</f>
        <v> California</v>
      </c>
      <c r="F1843" t="str">
        <f>VLOOKUP(K1843,Dept[],2,FALSE)</f>
        <v>Administration</v>
      </c>
      <c r="G1843" s="11">
        <f t="shared" si="28"/>
        <v>40848</v>
      </c>
      <c r="H1843" t="str">
        <f>VLOOKUP(N1843,Status[],2,FALSE)</f>
        <v>Full-Time</v>
      </c>
      <c r="J1843" s="7">
        <v>1010</v>
      </c>
      <c r="K1843">
        <v>12</v>
      </c>
      <c r="L1843">
        <v>2011</v>
      </c>
      <c r="M1843">
        <v>11</v>
      </c>
      <c r="N1843">
        <v>1</v>
      </c>
    </row>
    <row r="1844" spans="1:14" x14ac:dyDescent="0.25">
      <c r="A1844" t="s">
        <v>4065</v>
      </c>
      <c r="B1844" t="s">
        <v>1448</v>
      </c>
      <c r="C1844" t="s">
        <v>1449</v>
      </c>
      <c r="D1844" t="str">
        <f>VLOOKUP(J1844,Location[],2,FALSE)</f>
        <v>Lubbock</v>
      </c>
      <c r="E1844" t="str">
        <f>VLOOKUP(J1844,Location[],3,FALSE)</f>
        <v> Texas</v>
      </c>
      <c r="F1844" t="str">
        <f>VLOOKUP(K1844,Dept[],2,FALSE)</f>
        <v>Administration</v>
      </c>
      <c r="G1844" s="11">
        <f t="shared" si="28"/>
        <v>41913</v>
      </c>
      <c r="H1844" t="str">
        <f>VLOOKUP(N1844,Status[],2,FALSE)</f>
        <v>Part-Time</v>
      </c>
      <c r="J1844" s="7">
        <v>1083</v>
      </c>
      <c r="K1844">
        <v>12</v>
      </c>
      <c r="L1844">
        <v>2014</v>
      </c>
      <c r="M1844">
        <v>10</v>
      </c>
      <c r="N1844">
        <v>0</v>
      </c>
    </row>
    <row r="1845" spans="1:14" x14ac:dyDescent="0.25">
      <c r="A1845" t="s">
        <v>4066</v>
      </c>
      <c r="B1845" t="s">
        <v>1071</v>
      </c>
      <c r="C1845" t="s">
        <v>1072</v>
      </c>
      <c r="D1845" t="str">
        <f>VLOOKUP(J1845,Location[],2,FALSE)</f>
        <v>Washington, D.C.</v>
      </c>
      <c r="E1845" t="str">
        <f>VLOOKUP(J1845,Location[],3,FALSE)</f>
        <v> District of Columbia</v>
      </c>
      <c r="F1845" t="str">
        <f>VLOOKUP(K1845,Dept[],2,FALSE)</f>
        <v>IT</v>
      </c>
      <c r="G1845" s="11">
        <f t="shared" si="28"/>
        <v>43282</v>
      </c>
      <c r="H1845" t="str">
        <f>VLOOKUP(N1845,Status[],2,FALSE)</f>
        <v>Part-Time</v>
      </c>
      <c r="J1845" s="7">
        <v>1020</v>
      </c>
      <c r="K1845">
        <v>17</v>
      </c>
      <c r="L1845">
        <v>2018</v>
      </c>
      <c r="M1845">
        <v>7</v>
      </c>
      <c r="N1845">
        <v>0</v>
      </c>
    </row>
    <row r="1846" spans="1:14" x14ac:dyDescent="0.25">
      <c r="A1846" t="s">
        <v>4067</v>
      </c>
      <c r="B1846" t="s">
        <v>807</v>
      </c>
      <c r="C1846" t="s">
        <v>909</v>
      </c>
      <c r="D1846" t="str">
        <f>VLOOKUP(J1846,Location[],2,FALSE)</f>
        <v>Indianapolis</v>
      </c>
      <c r="E1846" t="str">
        <f>VLOOKUP(J1846,Location[],3,FALSE)</f>
        <v> Indiana</v>
      </c>
      <c r="F1846" t="str">
        <f>VLOOKUP(K1846,Dept[],2,FALSE)</f>
        <v>IT</v>
      </c>
      <c r="G1846" s="11">
        <f t="shared" si="28"/>
        <v>44531</v>
      </c>
      <c r="H1846" t="str">
        <f>VLOOKUP(N1846,Status[],2,FALSE)</f>
        <v>Full-Time</v>
      </c>
      <c r="J1846" s="7">
        <v>1016</v>
      </c>
      <c r="K1846">
        <v>17</v>
      </c>
      <c r="L1846">
        <v>2021</v>
      </c>
      <c r="M1846">
        <v>12</v>
      </c>
      <c r="N1846">
        <v>1</v>
      </c>
    </row>
    <row r="1847" spans="1:14" x14ac:dyDescent="0.25">
      <c r="A1847" t="s">
        <v>4068</v>
      </c>
      <c r="B1847" t="s">
        <v>43</v>
      </c>
      <c r="C1847" t="s">
        <v>44</v>
      </c>
      <c r="D1847" t="str">
        <f>VLOOKUP(J1847,Location[],2,FALSE)</f>
        <v>Durham</v>
      </c>
      <c r="E1847" t="str">
        <f>VLOOKUP(J1847,Location[],3,FALSE)</f>
        <v> North Carolina</v>
      </c>
      <c r="F1847" t="str">
        <f>VLOOKUP(K1847,Dept[],2,FALSE)</f>
        <v>Finance</v>
      </c>
      <c r="G1847" s="11">
        <f t="shared" si="28"/>
        <v>41122</v>
      </c>
      <c r="H1847" t="str">
        <f>VLOOKUP(N1847,Status[],2,FALSE)</f>
        <v>Full-Time</v>
      </c>
      <c r="J1847" s="7">
        <v>1077</v>
      </c>
      <c r="K1847">
        <v>15</v>
      </c>
      <c r="L1847">
        <v>2012</v>
      </c>
      <c r="M1847">
        <v>8</v>
      </c>
      <c r="N1847">
        <v>1</v>
      </c>
    </row>
    <row r="1848" spans="1:14" x14ac:dyDescent="0.25">
      <c r="A1848" t="s">
        <v>4069</v>
      </c>
      <c r="B1848" t="s">
        <v>39</v>
      </c>
      <c r="C1848" t="s">
        <v>1105</v>
      </c>
      <c r="D1848" t="str">
        <f>VLOOKUP(J1848,Location[],2,FALSE)</f>
        <v>Tulsa</v>
      </c>
      <c r="E1848" t="str">
        <f>VLOOKUP(J1848,Location[],3,FALSE)</f>
        <v> Oklahoma</v>
      </c>
      <c r="F1848" t="str">
        <f>VLOOKUP(K1848,Dept[],2,FALSE)</f>
        <v>Assessment</v>
      </c>
      <c r="G1848" s="11">
        <f t="shared" si="28"/>
        <v>41609</v>
      </c>
      <c r="H1848" t="str">
        <f>VLOOKUP(N1848,Status[],2,FALSE)</f>
        <v>Full-Time</v>
      </c>
      <c r="J1848" s="7">
        <v>1047</v>
      </c>
      <c r="K1848">
        <v>13</v>
      </c>
      <c r="L1848">
        <v>2013</v>
      </c>
      <c r="M1848">
        <v>12</v>
      </c>
      <c r="N1848">
        <v>1</v>
      </c>
    </row>
    <row r="1849" spans="1:14" x14ac:dyDescent="0.25">
      <c r="A1849" t="s">
        <v>4070</v>
      </c>
      <c r="B1849" t="s">
        <v>727</v>
      </c>
      <c r="C1849" t="s">
        <v>728</v>
      </c>
      <c r="D1849" t="str">
        <f>VLOOKUP(J1849,Location[],2,FALSE)</f>
        <v>Saint Paul</v>
      </c>
      <c r="E1849" t="str">
        <f>VLOOKUP(J1849,Location[],3,FALSE)</f>
        <v> Minnesota</v>
      </c>
      <c r="F1849" t="str">
        <f>VLOOKUP(K1849,Dept[],2,FALSE)</f>
        <v>Marketing</v>
      </c>
      <c r="G1849" s="11">
        <f t="shared" si="28"/>
        <v>42522</v>
      </c>
      <c r="H1849" t="str">
        <f>VLOOKUP(N1849,Status[],2,FALSE)</f>
        <v>Full-Time</v>
      </c>
      <c r="J1849" s="7">
        <v>1063</v>
      </c>
      <c r="K1849">
        <v>19</v>
      </c>
      <c r="L1849">
        <v>2016</v>
      </c>
      <c r="M1849">
        <v>6</v>
      </c>
      <c r="N1849">
        <v>1</v>
      </c>
    </row>
    <row r="1850" spans="1:14" x14ac:dyDescent="0.25">
      <c r="A1850" t="s">
        <v>4071</v>
      </c>
      <c r="B1850" t="s">
        <v>83</v>
      </c>
      <c r="C1850" t="s">
        <v>84</v>
      </c>
      <c r="D1850" t="str">
        <f>VLOOKUP(J1850,Location[],2,FALSE)</f>
        <v>Phoenix</v>
      </c>
      <c r="E1850" t="str">
        <f>VLOOKUP(J1850,Location[],3,FALSE)</f>
        <v> Arizona</v>
      </c>
      <c r="F1850" t="str">
        <f>VLOOKUP(K1850,Dept[],2,FALSE)</f>
        <v>Assessment</v>
      </c>
      <c r="G1850" s="11">
        <f t="shared" si="28"/>
        <v>43252</v>
      </c>
      <c r="H1850" t="str">
        <f>VLOOKUP(N1850,Status[],2,FALSE)</f>
        <v>Full-Time</v>
      </c>
      <c r="J1850" s="7">
        <v>1005</v>
      </c>
      <c r="K1850">
        <v>13</v>
      </c>
      <c r="L1850">
        <v>2018</v>
      </c>
      <c r="M1850">
        <v>6</v>
      </c>
      <c r="N1850">
        <v>1</v>
      </c>
    </row>
    <row r="1851" spans="1:14" x14ac:dyDescent="0.25">
      <c r="A1851" t="s">
        <v>3043</v>
      </c>
      <c r="B1851" t="s">
        <v>697</v>
      </c>
      <c r="C1851" t="s">
        <v>698</v>
      </c>
      <c r="D1851" t="str">
        <f>VLOOKUP(J1851,Location[],2,FALSE)</f>
        <v>San Antonio</v>
      </c>
      <c r="E1851" t="str">
        <f>VLOOKUP(J1851,Location[],3,FALSE)</f>
        <v> Texas</v>
      </c>
      <c r="F1851" t="str">
        <f>VLOOKUP(K1851,Dept[],2,FALSE)</f>
        <v>Accounting</v>
      </c>
      <c r="G1851" s="11">
        <f t="shared" si="28"/>
        <v>42156</v>
      </c>
      <c r="H1851" t="str">
        <f>VLOOKUP(N1851,Status[],2,FALSE)</f>
        <v>Full-Time</v>
      </c>
      <c r="J1851" s="7">
        <v>1007</v>
      </c>
      <c r="K1851">
        <v>11</v>
      </c>
      <c r="L1851">
        <v>2015</v>
      </c>
      <c r="M1851">
        <v>6</v>
      </c>
      <c r="N1851">
        <v>1</v>
      </c>
    </row>
    <row r="1852" spans="1:14" x14ac:dyDescent="0.25">
      <c r="A1852" t="s">
        <v>4072</v>
      </c>
      <c r="B1852" t="s">
        <v>103</v>
      </c>
      <c r="C1852" t="s">
        <v>272</v>
      </c>
      <c r="D1852" t="str">
        <f>VLOOKUP(J1852,Location[],2,FALSE)</f>
        <v>Oklahoma City</v>
      </c>
      <c r="E1852" t="str">
        <f>VLOOKUP(J1852,Location[],3,FALSE)</f>
        <v> Oklahoma</v>
      </c>
      <c r="F1852" t="str">
        <f>VLOOKUP(K1852,Dept[],2,FALSE)</f>
        <v>Media</v>
      </c>
      <c r="G1852" s="11">
        <f t="shared" si="28"/>
        <v>44774</v>
      </c>
      <c r="H1852" t="str">
        <f>VLOOKUP(N1852,Status[],2,FALSE)</f>
        <v>Full-Time</v>
      </c>
      <c r="J1852" s="7">
        <v>1027</v>
      </c>
      <c r="K1852">
        <v>20</v>
      </c>
      <c r="L1852">
        <v>2022</v>
      </c>
      <c r="M1852">
        <v>8</v>
      </c>
      <c r="N1852">
        <v>1</v>
      </c>
    </row>
    <row r="1853" spans="1:14" x14ac:dyDescent="0.25">
      <c r="A1853" t="s">
        <v>4073</v>
      </c>
      <c r="B1853" t="s">
        <v>767</v>
      </c>
      <c r="C1853" t="s">
        <v>1803</v>
      </c>
      <c r="D1853" t="str">
        <f>VLOOKUP(J1853,Location[],2,FALSE)</f>
        <v>San Francisco</v>
      </c>
      <c r="E1853" t="str">
        <f>VLOOKUP(J1853,Location[],3,FALSE)</f>
        <v> California</v>
      </c>
      <c r="F1853" t="str">
        <f>VLOOKUP(K1853,Dept[],2,FALSE)</f>
        <v>Sales</v>
      </c>
      <c r="G1853" s="11">
        <f t="shared" si="28"/>
        <v>45170</v>
      </c>
      <c r="H1853" t="str">
        <f>VLOOKUP(N1853,Status[],2,FALSE)</f>
        <v>Part-Time</v>
      </c>
      <c r="J1853" s="7">
        <v>1013</v>
      </c>
      <c r="K1853">
        <v>22</v>
      </c>
      <c r="L1853">
        <v>2023</v>
      </c>
      <c r="M1853">
        <v>9</v>
      </c>
      <c r="N1853">
        <v>0</v>
      </c>
    </row>
    <row r="1854" spans="1:14" x14ac:dyDescent="0.25">
      <c r="A1854" t="s">
        <v>4074</v>
      </c>
      <c r="B1854" t="s">
        <v>190</v>
      </c>
      <c r="C1854" t="s">
        <v>1827</v>
      </c>
      <c r="D1854" t="str">
        <f>VLOOKUP(J1854,Location[],2,FALSE)</f>
        <v>San Antonio</v>
      </c>
      <c r="E1854" t="str">
        <f>VLOOKUP(J1854,Location[],3,FALSE)</f>
        <v> Texas</v>
      </c>
      <c r="F1854" t="str">
        <f>VLOOKUP(K1854,Dept[],2,FALSE)</f>
        <v>Customer Support</v>
      </c>
      <c r="G1854" s="11">
        <f t="shared" si="28"/>
        <v>44713</v>
      </c>
      <c r="H1854" t="str">
        <f>VLOOKUP(N1854,Status[],2,FALSE)</f>
        <v>Full-Time</v>
      </c>
      <c r="J1854" s="7">
        <v>1007</v>
      </c>
      <c r="K1854">
        <v>14</v>
      </c>
      <c r="L1854">
        <v>2022</v>
      </c>
      <c r="M1854">
        <v>6</v>
      </c>
      <c r="N1854">
        <v>1</v>
      </c>
    </row>
    <row r="1855" spans="1:14" x14ac:dyDescent="0.25">
      <c r="A1855" t="s">
        <v>4075</v>
      </c>
      <c r="B1855" t="s">
        <v>45</v>
      </c>
      <c r="C1855" t="s">
        <v>1827</v>
      </c>
      <c r="D1855" t="str">
        <f>VLOOKUP(J1855,Location[],2,FALSE)</f>
        <v>St. Petersburg</v>
      </c>
      <c r="E1855" t="str">
        <f>VLOOKUP(J1855,Location[],3,FALSE)</f>
        <v> Florida</v>
      </c>
      <c r="F1855" t="str">
        <f>VLOOKUP(K1855,Dept[],2,FALSE)</f>
        <v>Administration</v>
      </c>
      <c r="G1855" s="11">
        <f t="shared" si="28"/>
        <v>44166</v>
      </c>
      <c r="H1855" t="str">
        <f>VLOOKUP(N1855,Status[],2,FALSE)</f>
        <v>Part-Time</v>
      </c>
      <c r="J1855" s="7">
        <v>1079</v>
      </c>
      <c r="K1855">
        <v>12</v>
      </c>
      <c r="L1855">
        <v>2020</v>
      </c>
      <c r="M1855">
        <v>12</v>
      </c>
      <c r="N1855">
        <v>0</v>
      </c>
    </row>
    <row r="1856" spans="1:14" x14ac:dyDescent="0.25">
      <c r="A1856" t="s">
        <v>4076</v>
      </c>
      <c r="B1856" t="s">
        <v>455</v>
      </c>
      <c r="C1856" t="s">
        <v>2058</v>
      </c>
      <c r="D1856" t="str">
        <f>VLOOKUP(J1856,Location[],2,FALSE)</f>
        <v>Philadelphia</v>
      </c>
      <c r="E1856" t="str">
        <f>VLOOKUP(J1856,Location[],3,FALSE)</f>
        <v> Pennsylvania</v>
      </c>
      <c r="F1856" t="str">
        <f>VLOOKUP(K1856,Dept[],2,FALSE)</f>
        <v>Assessment</v>
      </c>
      <c r="G1856" s="11">
        <f t="shared" si="28"/>
        <v>42614</v>
      </c>
      <c r="H1856" t="str">
        <f>VLOOKUP(N1856,Status[],2,FALSE)</f>
        <v>Full-Time</v>
      </c>
      <c r="J1856" s="7">
        <v>1006</v>
      </c>
      <c r="K1856">
        <v>13</v>
      </c>
      <c r="L1856">
        <v>2016</v>
      </c>
      <c r="M1856">
        <v>9</v>
      </c>
      <c r="N1856">
        <v>1</v>
      </c>
    </row>
    <row r="1857" spans="1:14" x14ac:dyDescent="0.25">
      <c r="A1857" t="s">
        <v>4077</v>
      </c>
      <c r="B1857" t="s">
        <v>427</v>
      </c>
      <c r="C1857" t="s">
        <v>1528</v>
      </c>
      <c r="D1857" t="str">
        <f>VLOOKUP(J1857,Location[],2,FALSE)</f>
        <v>New York City</v>
      </c>
      <c r="E1857" t="str">
        <f>VLOOKUP(J1857,Location[],3,FALSE)</f>
        <v> New York</v>
      </c>
      <c r="F1857" t="str">
        <f>VLOOKUP(K1857,Dept[],2,FALSE)</f>
        <v>Legal</v>
      </c>
      <c r="G1857" s="11">
        <f t="shared" si="28"/>
        <v>41821</v>
      </c>
      <c r="H1857" t="str">
        <f>VLOOKUP(N1857,Status[],2,FALSE)</f>
        <v>Full-Time</v>
      </c>
      <c r="J1857" s="7">
        <v>1001</v>
      </c>
      <c r="K1857">
        <v>18</v>
      </c>
      <c r="L1857">
        <v>2014</v>
      </c>
      <c r="M1857">
        <v>7</v>
      </c>
      <c r="N1857">
        <v>1</v>
      </c>
    </row>
    <row r="1858" spans="1:14" x14ac:dyDescent="0.25">
      <c r="A1858" t="s">
        <v>4078</v>
      </c>
      <c r="B1858" t="s">
        <v>284</v>
      </c>
      <c r="C1858" t="s">
        <v>557</v>
      </c>
      <c r="D1858" t="str">
        <f>VLOOKUP(J1858,Location[],2,FALSE)</f>
        <v>Long Beach</v>
      </c>
      <c r="E1858" t="str">
        <f>VLOOKUP(J1858,Location[],3,FALSE)</f>
        <v> California</v>
      </c>
      <c r="F1858" t="str">
        <f>VLOOKUP(K1858,Dept[],2,FALSE)</f>
        <v>Sales</v>
      </c>
      <c r="G1858" s="11">
        <f t="shared" si="28"/>
        <v>41821</v>
      </c>
      <c r="H1858" t="str">
        <f>VLOOKUP(N1858,Status[],2,FALSE)</f>
        <v>Full-Time</v>
      </c>
      <c r="J1858" s="7">
        <v>1039</v>
      </c>
      <c r="K1858">
        <v>22</v>
      </c>
      <c r="L1858">
        <v>2014</v>
      </c>
      <c r="M1858">
        <v>7</v>
      </c>
      <c r="N1858">
        <v>1</v>
      </c>
    </row>
    <row r="1859" spans="1:14" x14ac:dyDescent="0.25">
      <c r="A1859" t="s">
        <v>4079</v>
      </c>
      <c r="B1859" t="s">
        <v>556</v>
      </c>
      <c r="C1859" t="s">
        <v>557</v>
      </c>
      <c r="D1859" t="str">
        <f>VLOOKUP(J1859,Location[],2,FALSE)</f>
        <v>Reno</v>
      </c>
      <c r="E1859" t="str">
        <f>VLOOKUP(J1859,Location[],3,FALSE)</f>
        <v> Nevada</v>
      </c>
      <c r="F1859" t="str">
        <f>VLOOKUP(K1859,Dept[],2,FALSE)</f>
        <v>Legal</v>
      </c>
      <c r="G1859" s="11">
        <f t="shared" si="28"/>
        <v>42248</v>
      </c>
      <c r="H1859" t="str">
        <f>VLOOKUP(N1859,Status[],2,FALSE)</f>
        <v>Full-Time</v>
      </c>
      <c r="J1859" s="7">
        <v>1086</v>
      </c>
      <c r="K1859">
        <v>18</v>
      </c>
      <c r="L1859">
        <v>2015</v>
      </c>
      <c r="M1859">
        <v>9</v>
      </c>
      <c r="N1859">
        <v>1</v>
      </c>
    </row>
    <row r="1860" spans="1:14" x14ac:dyDescent="0.25">
      <c r="A1860" t="s">
        <v>4080</v>
      </c>
      <c r="B1860" t="s">
        <v>1838</v>
      </c>
      <c r="C1860" t="s">
        <v>560</v>
      </c>
      <c r="D1860" t="str">
        <f>VLOOKUP(J1860,Location[],2,FALSE)</f>
        <v>Los Angeles</v>
      </c>
      <c r="E1860" t="str">
        <f>VLOOKUP(J1860,Location[],3,FALSE)</f>
        <v> California</v>
      </c>
      <c r="F1860" t="str">
        <f>VLOOKUP(K1860,Dept[],2,FALSE)</f>
        <v>Administration</v>
      </c>
      <c r="G1860" s="11">
        <f t="shared" si="28"/>
        <v>40725</v>
      </c>
      <c r="H1860" t="str">
        <f>VLOOKUP(N1860,Status[],2,FALSE)</f>
        <v>Full-Time</v>
      </c>
      <c r="J1860" s="7">
        <v>1002</v>
      </c>
      <c r="K1860">
        <v>12</v>
      </c>
      <c r="L1860">
        <v>2011</v>
      </c>
      <c r="M1860">
        <v>7</v>
      </c>
      <c r="N1860">
        <v>1</v>
      </c>
    </row>
    <row r="1861" spans="1:14" x14ac:dyDescent="0.25">
      <c r="A1861" t="s">
        <v>4081</v>
      </c>
      <c r="B1861" t="s">
        <v>186</v>
      </c>
      <c r="C1861" t="s">
        <v>560</v>
      </c>
      <c r="D1861" t="str">
        <f>VLOOKUP(J1861,Location[],2,FALSE)</f>
        <v>Tucson</v>
      </c>
      <c r="E1861" t="str">
        <f>VLOOKUP(J1861,Location[],3,FALSE)</f>
        <v> Arizona</v>
      </c>
      <c r="F1861" t="str">
        <f>VLOOKUP(K1861,Dept[],2,FALSE)</f>
        <v>Administration</v>
      </c>
      <c r="G1861" s="11">
        <f t="shared" ref="G1861:G1924" si="29">DATE(L1861,M1861,1)</f>
        <v>41365</v>
      </c>
      <c r="H1861" t="str">
        <f>VLOOKUP(N1861,Status[],2,FALSE)</f>
        <v>Full-Time</v>
      </c>
      <c r="J1861" s="7">
        <v>1033</v>
      </c>
      <c r="K1861">
        <v>12</v>
      </c>
      <c r="L1861">
        <v>2013</v>
      </c>
      <c r="M1861">
        <v>4</v>
      </c>
      <c r="N1861">
        <v>1</v>
      </c>
    </row>
    <row r="1862" spans="1:14" x14ac:dyDescent="0.25">
      <c r="A1862" t="s">
        <v>4082</v>
      </c>
      <c r="B1862" t="s">
        <v>122</v>
      </c>
      <c r="C1862" t="s">
        <v>560</v>
      </c>
      <c r="D1862" t="str">
        <f>VLOOKUP(J1862,Location[],2,FALSE)</f>
        <v>Corpus Christi</v>
      </c>
      <c r="E1862" t="str">
        <f>VLOOKUP(J1862,Location[],3,FALSE)</f>
        <v> Texas</v>
      </c>
      <c r="F1862" t="str">
        <f>VLOOKUP(K1862,Dept[],2,FALSE)</f>
        <v>Customer Support</v>
      </c>
      <c r="G1862" s="11">
        <f t="shared" si="29"/>
        <v>40725</v>
      </c>
      <c r="H1862" t="str">
        <f>VLOOKUP(N1862,Status[],2,FALSE)</f>
        <v>Full-Time</v>
      </c>
      <c r="J1862" s="7">
        <v>1059</v>
      </c>
      <c r="K1862">
        <v>14</v>
      </c>
      <c r="L1862">
        <v>2011</v>
      </c>
      <c r="M1862">
        <v>7</v>
      </c>
      <c r="N1862">
        <v>1</v>
      </c>
    </row>
    <row r="1863" spans="1:14" x14ac:dyDescent="0.25">
      <c r="A1863" t="s">
        <v>4083</v>
      </c>
      <c r="B1863" t="s">
        <v>1966</v>
      </c>
      <c r="C1863" t="s">
        <v>2001</v>
      </c>
      <c r="D1863" t="str">
        <f>VLOOKUP(J1863,Location[],2,FALSE)</f>
        <v>Saint Paul</v>
      </c>
      <c r="E1863" t="str">
        <f>VLOOKUP(J1863,Location[],3,FALSE)</f>
        <v> Minnesota</v>
      </c>
      <c r="F1863" t="str">
        <f>VLOOKUP(K1863,Dept[],2,FALSE)</f>
        <v>Sales</v>
      </c>
      <c r="G1863" s="11">
        <f t="shared" si="29"/>
        <v>45170</v>
      </c>
      <c r="H1863" t="str">
        <f>VLOOKUP(N1863,Status[],2,FALSE)</f>
        <v>Full-Time</v>
      </c>
      <c r="J1863" s="7">
        <v>1063</v>
      </c>
      <c r="K1863">
        <v>22</v>
      </c>
      <c r="L1863">
        <v>2023</v>
      </c>
      <c r="M1863">
        <v>9</v>
      </c>
      <c r="N1863">
        <v>1</v>
      </c>
    </row>
    <row r="1864" spans="1:14" x14ac:dyDescent="0.25">
      <c r="A1864" t="s">
        <v>4084</v>
      </c>
      <c r="B1864" t="s">
        <v>149</v>
      </c>
      <c r="C1864" t="s">
        <v>2001</v>
      </c>
      <c r="D1864" t="str">
        <f>VLOOKUP(J1864,Location[],2,FALSE)</f>
        <v>Los Angeles</v>
      </c>
      <c r="E1864" t="str">
        <f>VLOOKUP(J1864,Location[],3,FALSE)</f>
        <v> California</v>
      </c>
      <c r="F1864" t="str">
        <f>VLOOKUP(K1864,Dept[],2,FALSE)</f>
        <v>Customer Support</v>
      </c>
      <c r="G1864" s="11">
        <f t="shared" si="29"/>
        <v>42795</v>
      </c>
      <c r="H1864" t="str">
        <f>VLOOKUP(N1864,Status[],2,FALSE)</f>
        <v>Full-Time</v>
      </c>
      <c r="J1864" s="7">
        <v>1002</v>
      </c>
      <c r="K1864">
        <v>14</v>
      </c>
      <c r="L1864">
        <v>2017</v>
      </c>
      <c r="M1864">
        <v>3</v>
      </c>
      <c r="N1864">
        <v>1</v>
      </c>
    </row>
    <row r="1865" spans="1:14" x14ac:dyDescent="0.25">
      <c r="A1865" t="s">
        <v>4085</v>
      </c>
      <c r="B1865" t="s">
        <v>1919</v>
      </c>
      <c r="C1865" t="s">
        <v>1920</v>
      </c>
      <c r="D1865" t="str">
        <f>VLOOKUP(J1865,Location[],2,FALSE)</f>
        <v>Cincinnati</v>
      </c>
      <c r="E1865" t="str">
        <f>VLOOKUP(J1865,Location[],3,FALSE)</f>
        <v> Ohio</v>
      </c>
      <c r="F1865" t="str">
        <f>VLOOKUP(K1865,Dept[],2,FALSE)</f>
        <v>Media</v>
      </c>
      <c r="G1865" s="11">
        <f t="shared" si="29"/>
        <v>44378</v>
      </c>
      <c r="H1865" t="str">
        <f>VLOOKUP(N1865,Status[],2,FALSE)</f>
        <v>Part-Time</v>
      </c>
      <c r="J1865" s="7">
        <v>1066</v>
      </c>
      <c r="K1865">
        <v>20</v>
      </c>
      <c r="L1865">
        <v>2021</v>
      </c>
      <c r="M1865">
        <v>7</v>
      </c>
      <c r="N1865">
        <v>0</v>
      </c>
    </row>
    <row r="1866" spans="1:14" x14ac:dyDescent="0.25">
      <c r="A1866" t="s">
        <v>4086</v>
      </c>
      <c r="B1866" t="s">
        <v>250</v>
      </c>
      <c r="C1866" t="s">
        <v>514</v>
      </c>
      <c r="D1866" t="str">
        <f>VLOOKUP(J1866,Location[],2,FALSE)</f>
        <v>San Diego</v>
      </c>
      <c r="E1866" t="str">
        <f>VLOOKUP(J1866,Location[],3,FALSE)</f>
        <v> California</v>
      </c>
      <c r="F1866" t="str">
        <f>VLOOKUP(K1866,Dept[],2,FALSE)</f>
        <v>Sales</v>
      </c>
      <c r="G1866" s="11">
        <f t="shared" si="29"/>
        <v>44378</v>
      </c>
      <c r="H1866" t="str">
        <f>VLOOKUP(N1866,Status[],2,FALSE)</f>
        <v>Full-Time</v>
      </c>
      <c r="J1866" s="7">
        <v>1008</v>
      </c>
      <c r="K1866">
        <v>22</v>
      </c>
      <c r="L1866">
        <v>2021</v>
      </c>
      <c r="M1866">
        <v>7</v>
      </c>
      <c r="N1866">
        <v>1</v>
      </c>
    </row>
    <row r="1867" spans="1:14" x14ac:dyDescent="0.25">
      <c r="A1867" t="s">
        <v>4087</v>
      </c>
      <c r="B1867" t="s">
        <v>115</v>
      </c>
      <c r="C1867" t="s">
        <v>1639</v>
      </c>
      <c r="D1867" t="str">
        <f>VLOOKUP(J1867,Location[],2,FALSE)</f>
        <v>Arlington</v>
      </c>
      <c r="E1867" t="str">
        <f>VLOOKUP(J1867,Location[],3,FALSE)</f>
        <v> Texas</v>
      </c>
      <c r="F1867" t="str">
        <f>VLOOKUP(K1867,Dept[],2,FALSE)</f>
        <v>Accounting</v>
      </c>
      <c r="G1867" s="11">
        <f t="shared" si="29"/>
        <v>42125</v>
      </c>
      <c r="H1867" t="str">
        <f>VLOOKUP(N1867,Status[],2,FALSE)</f>
        <v>Full-Time</v>
      </c>
      <c r="J1867" s="7">
        <v>1048</v>
      </c>
      <c r="K1867">
        <v>11</v>
      </c>
      <c r="L1867">
        <v>2015</v>
      </c>
      <c r="M1867">
        <v>5</v>
      </c>
      <c r="N1867">
        <v>1</v>
      </c>
    </row>
    <row r="1868" spans="1:14" x14ac:dyDescent="0.25">
      <c r="A1868" t="s">
        <v>4088</v>
      </c>
      <c r="B1868" t="s">
        <v>354</v>
      </c>
      <c r="C1868" t="s">
        <v>1501</v>
      </c>
      <c r="D1868" t="str">
        <f>VLOOKUP(J1868,Location[],2,FALSE)</f>
        <v>Dallas</v>
      </c>
      <c r="E1868" t="str">
        <f>VLOOKUP(J1868,Location[],3,FALSE)</f>
        <v> Texas</v>
      </c>
      <c r="F1868" t="str">
        <f>VLOOKUP(K1868,Dept[],2,FALSE)</f>
        <v>Media</v>
      </c>
      <c r="G1868" s="11">
        <f t="shared" si="29"/>
        <v>42675</v>
      </c>
      <c r="H1868" t="str">
        <f>VLOOKUP(N1868,Status[],2,FALSE)</f>
        <v>Full-Time</v>
      </c>
      <c r="J1868" s="7">
        <v>1009</v>
      </c>
      <c r="K1868">
        <v>20</v>
      </c>
      <c r="L1868">
        <v>2016</v>
      </c>
      <c r="M1868">
        <v>11</v>
      </c>
      <c r="N1868">
        <v>1</v>
      </c>
    </row>
    <row r="1869" spans="1:14" x14ac:dyDescent="0.25">
      <c r="A1869" t="s">
        <v>4089</v>
      </c>
      <c r="B1869" t="s">
        <v>1369</v>
      </c>
      <c r="C1869" t="s">
        <v>1370</v>
      </c>
      <c r="D1869" t="str">
        <f>VLOOKUP(J1869,Location[],2,FALSE)</f>
        <v>Philadelphia</v>
      </c>
      <c r="E1869" t="str">
        <f>VLOOKUP(J1869,Location[],3,FALSE)</f>
        <v> Pennsylvania</v>
      </c>
      <c r="F1869" t="str">
        <f>VLOOKUP(K1869,Dept[],2,FALSE)</f>
        <v>Legal</v>
      </c>
      <c r="G1869" s="11">
        <f t="shared" si="29"/>
        <v>43739</v>
      </c>
      <c r="H1869" t="str">
        <f>VLOOKUP(N1869,Status[],2,FALSE)</f>
        <v>Full-Time</v>
      </c>
      <c r="J1869" s="7">
        <v>1006</v>
      </c>
      <c r="K1869">
        <v>18</v>
      </c>
      <c r="L1869">
        <v>2019</v>
      </c>
      <c r="M1869">
        <v>10</v>
      </c>
      <c r="N1869">
        <v>1</v>
      </c>
    </row>
    <row r="1870" spans="1:14" x14ac:dyDescent="0.25">
      <c r="A1870" t="s">
        <v>4090</v>
      </c>
      <c r="B1870" t="s">
        <v>1168</v>
      </c>
      <c r="C1870" t="s">
        <v>1169</v>
      </c>
      <c r="D1870" t="str">
        <f>VLOOKUP(J1870,Location[],2,FALSE)</f>
        <v>Glendale</v>
      </c>
      <c r="E1870" t="str">
        <f>VLOOKUP(J1870,Location[],3,FALSE)</f>
        <v> Arizona</v>
      </c>
      <c r="F1870" t="str">
        <f>VLOOKUP(K1870,Dept[],2,FALSE)</f>
        <v>Administration</v>
      </c>
      <c r="G1870" s="11">
        <f t="shared" si="29"/>
        <v>41944</v>
      </c>
      <c r="H1870" t="str">
        <f>VLOOKUP(N1870,Status[],2,FALSE)</f>
        <v>Full-Time</v>
      </c>
      <c r="J1870" s="7">
        <v>1087</v>
      </c>
      <c r="K1870">
        <v>12</v>
      </c>
      <c r="L1870">
        <v>2014</v>
      </c>
      <c r="M1870">
        <v>11</v>
      </c>
      <c r="N1870">
        <v>1</v>
      </c>
    </row>
    <row r="1871" spans="1:14" x14ac:dyDescent="0.25">
      <c r="A1871" t="s">
        <v>4091</v>
      </c>
      <c r="B1871" t="s">
        <v>418</v>
      </c>
      <c r="C1871" t="s">
        <v>1169</v>
      </c>
      <c r="D1871" t="str">
        <f>VLOOKUP(J1871,Location[],2,FALSE)</f>
        <v>Philadelphia</v>
      </c>
      <c r="E1871" t="str">
        <f>VLOOKUP(J1871,Location[],3,FALSE)</f>
        <v> Pennsylvania</v>
      </c>
      <c r="F1871" t="str">
        <f>VLOOKUP(K1871,Dept[],2,FALSE)</f>
        <v>Human Resources</v>
      </c>
      <c r="G1871" s="11">
        <f t="shared" si="29"/>
        <v>44562</v>
      </c>
      <c r="H1871" t="str">
        <f>VLOOKUP(N1871,Status[],2,FALSE)</f>
        <v>Full-Time</v>
      </c>
      <c r="J1871" s="7">
        <v>1006</v>
      </c>
      <c r="K1871">
        <v>16</v>
      </c>
      <c r="L1871">
        <v>2022</v>
      </c>
      <c r="M1871">
        <v>1</v>
      </c>
      <c r="N1871">
        <v>1</v>
      </c>
    </row>
    <row r="1872" spans="1:14" x14ac:dyDescent="0.25">
      <c r="A1872" t="s">
        <v>4092</v>
      </c>
      <c r="B1872" t="s">
        <v>1952</v>
      </c>
      <c r="C1872" t="s">
        <v>1169</v>
      </c>
      <c r="D1872" t="str">
        <f>VLOOKUP(J1872,Location[],2,FALSE)</f>
        <v>Seattle</v>
      </c>
      <c r="E1872" t="str">
        <f>VLOOKUP(J1872,Location[],3,FALSE)</f>
        <v> Washington</v>
      </c>
      <c r="F1872" t="str">
        <f>VLOOKUP(K1872,Dept[],2,FALSE)</f>
        <v>Legal</v>
      </c>
      <c r="G1872" s="11">
        <f t="shared" si="29"/>
        <v>43374</v>
      </c>
      <c r="H1872" t="str">
        <f>VLOOKUP(N1872,Status[],2,FALSE)</f>
        <v>Full-Time</v>
      </c>
      <c r="J1872" s="7">
        <v>1018</v>
      </c>
      <c r="K1872">
        <v>18</v>
      </c>
      <c r="L1872">
        <v>2018</v>
      </c>
      <c r="M1872">
        <v>10</v>
      </c>
      <c r="N1872">
        <v>1</v>
      </c>
    </row>
    <row r="1873" spans="1:14" x14ac:dyDescent="0.25">
      <c r="A1873" t="s">
        <v>4093</v>
      </c>
      <c r="B1873" t="s">
        <v>880</v>
      </c>
      <c r="C1873" t="s">
        <v>1978</v>
      </c>
      <c r="D1873" t="str">
        <f>VLOOKUP(J1873,Location[],2,FALSE)</f>
        <v>San Antonio</v>
      </c>
      <c r="E1873" t="str">
        <f>VLOOKUP(J1873,Location[],3,FALSE)</f>
        <v> Texas</v>
      </c>
      <c r="F1873" t="str">
        <f>VLOOKUP(K1873,Dept[],2,FALSE)</f>
        <v>Sales</v>
      </c>
      <c r="G1873" s="11">
        <f t="shared" si="29"/>
        <v>43922</v>
      </c>
      <c r="H1873" t="str">
        <f>VLOOKUP(N1873,Status[],2,FALSE)</f>
        <v>Full-Time</v>
      </c>
      <c r="J1873" s="7">
        <v>1007</v>
      </c>
      <c r="K1873">
        <v>22</v>
      </c>
      <c r="L1873">
        <v>2020</v>
      </c>
      <c r="M1873">
        <v>4</v>
      </c>
      <c r="N1873">
        <v>1</v>
      </c>
    </row>
    <row r="1874" spans="1:14" x14ac:dyDescent="0.25">
      <c r="A1874" t="s">
        <v>4094</v>
      </c>
      <c r="B1874" t="s">
        <v>1939</v>
      </c>
      <c r="C1874" t="s">
        <v>1940</v>
      </c>
      <c r="D1874" t="str">
        <f>VLOOKUP(J1874,Location[],2,FALSE)</f>
        <v>Jacksonville</v>
      </c>
      <c r="E1874" t="str">
        <f>VLOOKUP(J1874,Location[],3,FALSE)</f>
        <v> Florida</v>
      </c>
      <c r="F1874" t="str">
        <f>VLOOKUP(K1874,Dept[],2,FALSE)</f>
        <v>Sales</v>
      </c>
      <c r="G1874" s="11">
        <f t="shared" si="29"/>
        <v>41000</v>
      </c>
      <c r="H1874" t="str">
        <f>VLOOKUP(N1874,Status[],2,FALSE)</f>
        <v>Full-Time</v>
      </c>
      <c r="J1874" s="7">
        <v>1012</v>
      </c>
      <c r="K1874">
        <v>22</v>
      </c>
      <c r="L1874">
        <v>2012</v>
      </c>
      <c r="M1874">
        <v>4</v>
      </c>
      <c r="N1874">
        <v>1</v>
      </c>
    </row>
    <row r="1875" spans="1:14" x14ac:dyDescent="0.25">
      <c r="A1875" t="s">
        <v>4095</v>
      </c>
      <c r="B1875" t="s">
        <v>108</v>
      </c>
      <c r="C1875" t="s">
        <v>1747</v>
      </c>
      <c r="D1875" t="str">
        <f>VLOOKUP(J1875,Location[],2,FALSE)</f>
        <v>Chicago</v>
      </c>
      <c r="E1875" t="str">
        <f>VLOOKUP(J1875,Location[],3,FALSE)</f>
        <v> Illinois</v>
      </c>
      <c r="F1875" t="str">
        <f>VLOOKUP(K1875,Dept[],2,FALSE)</f>
        <v>Administration</v>
      </c>
      <c r="G1875" s="11">
        <f t="shared" si="29"/>
        <v>40787</v>
      </c>
      <c r="H1875" t="str">
        <f>VLOOKUP(N1875,Status[],2,FALSE)</f>
        <v>Part-Time</v>
      </c>
      <c r="J1875" s="7">
        <v>1003</v>
      </c>
      <c r="K1875">
        <v>12</v>
      </c>
      <c r="L1875">
        <v>2011</v>
      </c>
      <c r="M1875">
        <v>9</v>
      </c>
      <c r="N1875">
        <v>0</v>
      </c>
    </row>
    <row r="1876" spans="1:14" x14ac:dyDescent="0.25">
      <c r="A1876" t="s">
        <v>4096</v>
      </c>
      <c r="B1876" t="s">
        <v>357</v>
      </c>
      <c r="C1876" t="s">
        <v>1870</v>
      </c>
      <c r="D1876" t="str">
        <f>VLOOKUP(J1876,Location[],2,FALSE)</f>
        <v>Houston</v>
      </c>
      <c r="E1876" t="str">
        <f>VLOOKUP(J1876,Location[],3,FALSE)</f>
        <v> Texas</v>
      </c>
      <c r="F1876" t="str">
        <f>VLOOKUP(K1876,Dept[],2,FALSE)</f>
        <v>Sales</v>
      </c>
      <c r="G1876" s="11">
        <f t="shared" si="29"/>
        <v>41913</v>
      </c>
      <c r="H1876" t="str">
        <f>VLOOKUP(N1876,Status[],2,FALSE)</f>
        <v>Full-Time</v>
      </c>
      <c r="J1876" s="7">
        <v>1004</v>
      </c>
      <c r="K1876">
        <v>22</v>
      </c>
      <c r="L1876">
        <v>2014</v>
      </c>
      <c r="M1876">
        <v>10</v>
      </c>
      <c r="N1876">
        <v>1</v>
      </c>
    </row>
    <row r="1877" spans="1:14" x14ac:dyDescent="0.25">
      <c r="A1877" t="s">
        <v>4097</v>
      </c>
      <c r="B1877" t="s">
        <v>71</v>
      </c>
      <c r="C1877" t="s">
        <v>1941</v>
      </c>
      <c r="D1877" t="str">
        <f>VLOOKUP(J1877,Location[],2,FALSE)</f>
        <v>Baltimore</v>
      </c>
      <c r="E1877" t="str">
        <f>VLOOKUP(J1877,Location[],3,FALSE)</f>
        <v> Maryland</v>
      </c>
      <c r="F1877" t="str">
        <f>VLOOKUP(K1877,Dept[],2,FALSE)</f>
        <v>Accounting</v>
      </c>
      <c r="G1877" s="11">
        <f t="shared" si="29"/>
        <v>44774</v>
      </c>
      <c r="H1877" t="str">
        <f>VLOOKUP(N1877,Status[],2,FALSE)</f>
        <v>Full-Time</v>
      </c>
      <c r="J1877" s="7">
        <v>1030</v>
      </c>
      <c r="K1877">
        <v>11</v>
      </c>
      <c r="L1877">
        <v>2022</v>
      </c>
      <c r="M1877">
        <v>8</v>
      </c>
      <c r="N1877">
        <v>1</v>
      </c>
    </row>
    <row r="1878" spans="1:14" x14ac:dyDescent="0.25">
      <c r="A1878" t="s">
        <v>4098</v>
      </c>
      <c r="B1878" t="s">
        <v>117</v>
      </c>
      <c r="C1878" t="s">
        <v>707</v>
      </c>
      <c r="D1878" t="str">
        <f>VLOOKUP(J1878,Location[],2,FALSE)</f>
        <v>San Diego</v>
      </c>
      <c r="E1878" t="str">
        <f>VLOOKUP(J1878,Location[],3,FALSE)</f>
        <v> California</v>
      </c>
      <c r="F1878" t="str">
        <f>VLOOKUP(K1878,Dept[],2,FALSE)</f>
        <v>Administration</v>
      </c>
      <c r="G1878" s="11">
        <f t="shared" si="29"/>
        <v>44440</v>
      </c>
      <c r="H1878" t="str">
        <f>VLOOKUP(N1878,Status[],2,FALSE)</f>
        <v>Full-Time</v>
      </c>
      <c r="J1878" s="7">
        <v>1008</v>
      </c>
      <c r="K1878">
        <v>12</v>
      </c>
      <c r="L1878">
        <v>2021</v>
      </c>
      <c r="M1878">
        <v>9</v>
      </c>
      <c r="N1878">
        <v>1</v>
      </c>
    </row>
    <row r="1879" spans="1:14" x14ac:dyDescent="0.25">
      <c r="A1879" t="s">
        <v>4099</v>
      </c>
      <c r="B1879" t="s">
        <v>1847</v>
      </c>
      <c r="C1879" t="s">
        <v>493</v>
      </c>
      <c r="D1879" t="str">
        <f>VLOOKUP(J1879,Location[],2,FALSE)</f>
        <v>San Diego</v>
      </c>
      <c r="E1879" t="str">
        <f>VLOOKUP(J1879,Location[],3,FALSE)</f>
        <v> California</v>
      </c>
      <c r="F1879" t="str">
        <f>VLOOKUP(K1879,Dept[],2,FALSE)</f>
        <v>Customer Support</v>
      </c>
      <c r="G1879" s="11">
        <f t="shared" si="29"/>
        <v>41334</v>
      </c>
      <c r="H1879" t="str">
        <f>VLOOKUP(N1879,Status[],2,FALSE)</f>
        <v>Part-Time</v>
      </c>
      <c r="J1879" s="7">
        <v>1008</v>
      </c>
      <c r="K1879">
        <v>14</v>
      </c>
      <c r="L1879">
        <v>2013</v>
      </c>
      <c r="M1879">
        <v>3</v>
      </c>
      <c r="N1879">
        <v>0</v>
      </c>
    </row>
    <row r="1880" spans="1:14" x14ac:dyDescent="0.25">
      <c r="A1880" t="s">
        <v>4100</v>
      </c>
      <c r="B1880" t="s">
        <v>475</v>
      </c>
      <c r="C1880" t="s">
        <v>493</v>
      </c>
      <c r="D1880" t="str">
        <f>VLOOKUP(J1880,Location[],2,FALSE)</f>
        <v>Los Angeles</v>
      </c>
      <c r="E1880" t="str">
        <f>VLOOKUP(J1880,Location[],3,FALSE)</f>
        <v> California</v>
      </c>
      <c r="F1880" t="str">
        <f>VLOOKUP(K1880,Dept[],2,FALSE)</f>
        <v>Sales</v>
      </c>
      <c r="G1880" s="11">
        <f t="shared" si="29"/>
        <v>44256</v>
      </c>
      <c r="H1880" t="str">
        <f>VLOOKUP(N1880,Status[],2,FALSE)</f>
        <v>Part-Time</v>
      </c>
      <c r="J1880" s="7">
        <v>1002</v>
      </c>
      <c r="K1880">
        <v>22</v>
      </c>
      <c r="L1880">
        <v>2021</v>
      </c>
      <c r="M1880">
        <v>3</v>
      </c>
      <c r="N1880">
        <v>0</v>
      </c>
    </row>
    <row r="1881" spans="1:14" x14ac:dyDescent="0.25">
      <c r="A1881" t="s">
        <v>4101</v>
      </c>
      <c r="B1881" t="s">
        <v>676</v>
      </c>
      <c r="C1881" t="s">
        <v>493</v>
      </c>
      <c r="D1881" t="str">
        <f>VLOOKUP(J1881,Location[],2,FALSE)</f>
        <v>Colorado Springs</v>
      </c>
      <c r="E1881" t="str">
        <f>VLOOKUP(J1881,Location[],3,FALSE)</f>
        <v> Colorado</v>
      </c>
      <c r="F1881" t="str">
        <f>VLOOKUP(K1881,Dept[],2,FALSE)</f>
        <v>R&amp;D</v>
      </c>
      <c r="G1881" s="11">
        <f t="shared" si="29"/>
        <v>40634</v>
      </c>
      <c r="H1881" t="str">
        <f>VLOOKUP(N1881,Status[],2,FALSE)</f>
        <v>Full-Time</v>
      </c>
      <c r="J1881" s="7">
        <v>1042</v>
      </c>
      <c r="K1881">
        <v>21</v>
      </c>
      <c r="L1881">
        <v>2011</v>
      </c>
      <c r="M1881">
        <v>4</v>
      </c>
      <c r="N1881">
        <v>1</v>
      </c>
    </row>
    <row r="1882" spans="1:14" x14ac:dyDescent="0.25">
      <c r="A1882" t="s">
        <v>4102</v>
      </c>
      <c r="B1882" t="s">
        <v>492</v>
      </c>
      <c r="C1882" t="s">
        <v>493</v>
      </c>
      <c r="D1882" t="str">
        <f>VLOOKUP(J1882,Location[],2,FALSE)</f>
        <v>Anaheim</v>
      </c>
      <c r="E1882" t="str">
        <f>VLOOKUP(J1882,Location[],3,FALSE)</f>
        <v> California</v>
      </c>
      <c r="F1882" t="str">
        <f>VLOOKUP(K1882,Dept[],2,FALSE)</f>
        <v>Legal</v>
      </c>
      <c r="G1882" s="11">
        <f t="shared" si="29"/>
        <v>43983</v>
      </c>
      <c r="H1882" t="str">
        <f>VLOOKUP(N1882,Status[],2,FALSE)</f>
        <v>Full-Time</v>
      </c>
      <c r="J1882" s="7">
        <v>1055</v>
      </c>
      <c r="K1882">
        <v>18</v>
      </c>
      <c r="L1882">
        <v>2020</v>
      </c>
      <c r="M1882">
        <v>6</v>
      </c>
      <c r="N1882">
        <v>1</v>
      </c>
    </row>
    <row r="1883" spans="1:14" x14ac:dyDescent="0.25">
      <c r="A1883" t="s">
        <v>4103</v>
      </c>
      <c r="B1883" t="s">
        <v>98</v>
      </c>
      <c r="C1883" t="s">
        <v>99</v>
      </c>
      <c r="D1883" t="str">
        <f>VLOOKUP(J1883,Location[],2,FALSE)</f>
        <v>San Francisco</v>
      </c>
      <c r="E1883" t="str">
        <f>VLOOKUP(J1883,Location[],3,FALSE)</f>
        <v> California</v>
      </c>
      <c r="F1883" t="str">
        <f>VLOOKUP(K1883,Dept[],2,FALSE)</f>
        <v>Sales</v>
      </c>
      <c r="G1883" s="11">
        <f t="shared" si="29"/>
        <v>40756</v>
      </c>
      <c r="H1883" t="str">
        <f>VLOOKUP(N1883,Status[],2,FALSE)</f>
        <v>Full-Time</v>
      </c>
      <c r="J1883" s="7">
        <v>1013</v>
      </c>
      <c r="K1883">
        <v>22</v>
      </c>
      <c r="L1883">
        <v>2011</v>
      </c>
      <c r="M1883">
        <v>8</v>
      </c>
      <c r="N1883">
        <v>1</v>
      </c>
    </row>
    <row r="1884" spans="1:14" x14ac:dyDescent="0.25">
      <c r="A1884" t="s">
        <v>4104</v>
      </c>
      <c r="B1884" t="s">
        <v>394</v>
      </c>
      <c r="C1884" t="s">
        <v>395</v>
      </c>
      <c r="D1884" t="str">
        <f>VLOOKUP(J1884,Location[],2,FALSE)</f>
        <v>Portland</v>
      </c>
      <c r="E1884" t="str">
        <f>VLOOKUP(J1884,Location[],3,FALSE)</f>
        <v> Oregon</v>
      </c>
      <c r="F1884" t="str">
        <f>VLOOKUP(K1884,Dept[],2,FALSE)</f>
        <v>Human Resources</v>
      </c>
      <c r="G1884" s="11">
        <f t="shared" si="29"/>
        <v>44621</v>
      </c>
      <c r="H1884" t="str">
        <f>VLOOKUP(N1884,Status[],2,FALSE)</f>
        <v>Full-Time</v>
      </c>
      <c r="J1884" s="7">
        <v>1026</v>
      </c>
      <c r="K1884">
        <v>16</v>
      </c>
      <c r="L1884">
        <v>2022</v>
      </c>
      <c r="M1884">
        <v>3</v>
      </c>
      <c r="N1884">
        <v>1</v>
      </c>
    </row>
    <row r="1885" spans="1:14" x14ac:dyDescent="0.25">
      <c r="A1885" t="s">
        <v>4105</v>
      </c>
      <c r="B1885" t="s">
        <v>938</v>
      </c>
      <c r="C1885" t="s">
        <v>395</v>
      </c>
      <c r="D1885" t="str">
        <f>VLOOKUP(J1885,Location[],2,FALSE)</f>
        <v>El Paso</v>
      </c>
      <c r="E1885" t="str">
        <f>VLOOKUP(J1885,Location[],3,FALSE)</f>
        <v> Texas</v>
      </c>
      <c r="F1885" t="str">
        <f>VLOOKUP(K1885,Dept[],2,FALSE)</f>
        <v>Human Resources</v>
      </c>
      <c r="G1885" s="11">
        <f t="shared" si="29"/>
        <v>42370</v>
      </c>
      <c r="H1885" t="str">
        <f>VLOOKUP(N1885,Status[],2,FALSE)</f>
        <v>Full-Time</v>
      </c>
      <c r="J1885" s="7">
        <v>1022</v>
      </c>
      <c r="K1885">
        <v>16</v>
      </c>
      <c r="L1885">
        <v>2016</v>
      </c>
      <c r="M1885">
        <v>1</v>
      </c>
      <c r="N1885">
        <v>1</v>
      </c>
    </row>
    <row r="1886" spans="1:14" x14ac:dyDescent="0.25">
      <c r="A1886" t="s">
        <v>4106</v>
      </c>
      <c r="B1886" t="s">
        <v>828</v>
      </c>
      <c r="C1886" t="s">
        <v>829</v>
      </c>
      <c r="D1886" t="str">
        <f>VLOOKUP(J1886,Location[],2,FALSE)</f>
        <v>Omaha</v>
      </c>
      <c r="E1886" t="str">
        <f>VLOOKUP(J1886,Location[],3,FALSE)</f>
        <v> Nebraska</v>
      </c>
      <c r="F1886" t="str">
        <f>VLOOKUP(K1886,Dept[],2,FALSE)</f>
        <v>Customer Support</v>
      </c>
      <c r="G1886" s="11">
        <f t="shared" si="29"/>
        <v>44713</v>
      </c>
      <c r="H1886" t="str">
        <f>VLOOKUP(N1886,Status[],2,FALSE)</f>
        <v>Full-Time</v>
      </c>
      <c r="J1886" s="7">
        <v>1040</v>
      </c>
      <c r="K1886">
        <v>14</v>
      </c>
      <c r="L1886">
        <v>2022</v>
      </c>
      <c r="M1886">
        <v>6</v>
      </c>
      <c r="N1886">
        <v>1</v>
      </c>
    </row>
    <row r="1887" spans="1:14" x14ac:dyDescent="0.25">
      <c r="A1887" t="s">
        <v>4107</v>
      </c>
      <c r="B1887" t="s">
        <v>1428</v>
      </c>
      <c r="C1887" t="s">
        <v>829</v>
      </c>
      <c r="D1887" t="str">
        <f>VLOOKUP(J1887,Location[],2,FALSE)</f>
        <v>New York City</v>
      </c>
      <c r="E1887" t="str">
        <f>VLOOKUP(J1887,Location[],3,FALSE)</f>
        <v> New York</v>
      </c>
      <c r="F1887" t="str">
        <f>VLOOKUP(K1887,Dept[],2,FALSE)</f>
        <v>Assessment</v>
      </c>
      <c r="G1887" s="11">
        <f t="shared" si="29"/>
        <v>44348</v>
      </c>
      <c r="H1887" t="str">
        <f>VLOOKUP(N1887,Status[],2,FALSE)</f>
        <v>Part-Time</v>
      </c>
      <c r="J1887" s="7">
        <v>1001</v>
      </c>
      <c r="K1887">
        <v>13</v>
      </c>
      <c r="L1887">
        <v>2021</v>
      </c>
      <c r="M1887">
        <v>6</v>
      </c>
      <c r="N1887">
        <v>0</v>
      </c>
    </row>
    <row r="1888" spans="1:14" x14ac:dyDescent="0.25">
      <c r="A1888" t="s">
        <v>4108</v>
      </c>
      <c r="B1888" t="s">
        <v>1897</v>
      </c>
      <c r="C1888" t="s">
        <v>1898</v>
      </c>
      <c r="D1888" t="str">
        <f>VLOOKUP(J1888,Location[],2,FALSE)</f>
        <v>San Jose</v>
      </c>
      <c r="E1888" t="str">
        <f>VLOOKUP(J1888,Location[],3,FALSE)</f>
        <v> California</v>
      </c>
      <c r="F1888" t="str">
        <f>VLOOKUP(K1888,Dept[],2,FALSE)</f>
        <v>Customer Support</v>
      </c>
      <c r="G1888" s="11">
        <f t="shared" si="29"/>
        <v>41883</v>
      </c>
      <c r="H1888" t="str">
        <f>VLOOKUP(N1888,Status[],2,FALSE)</f>
        <v>Part-Time</v>
      </c>
      <c r="J1888" s="7">
        <v>1010</v>
      </c>
      <c r="K1888">
        <v>14</v>
      </c>
      <c r="L1888">
        <v>2014</v>
      </c>
      <c r="M1888">
        <v>9</v>
      </c>
      <c r="N1888">
        <v>0</v>
      </c>
    </row>
    <row r="1889" spans="1:14" x14ac:dyDescent="0.25">
      <c r="A1889" t="s">
        <v>4109</v>
      </c>
      <c r="B1889" t="s">
        <v>448</v>
      </c>
      <c r="C1889" t="s">
        <v>1101</v>
      </c>
      <c r="D1889" t="str">
        <f>VLOOKUP(J1889,Location[],2,FALSE)</f>
        <v>Arlington</v>
      </c>
      <c r="E1889" t="str">
        <f>VLOOKUP(J1889,Location[],3,FALSE)</f>
        <v> Texas</v>
      </c>
      <c r="F1889" t="str">
        <f>VLOOKUP(K1889,Dept[],2,FALSE)</f>
        <v>Human Resources</v>
      </c>
      <c r="G1889" s="11">
        <f t="shared" si="29"/>
        <v>42948</v>
      </c>
      <c r="H1889" t="str">
        <f>VLOOKUP(N1889,Status[],2,FALSE)</f>
        <v>Full-Time</v>
      </c>
      <c r="J1889" s="7">
        <v>1048</v>
      </c>
      <c r="K1889">
        <v>16</v>
      </c>
      <c r="L1889">
        <v>2017</v>
      </c>
      <c r="M1889">
        <v>8</v>
      </c>
      <c r="N1889">
        <v>1</v>
      </c>
    </row>
    <row r="1890" spans="1:14" x14ac:dyDescent="0.25">
      <c r="A1890" t="s">
        <v>4110</v>
      </c>
      <c r="B1890" t="s">
        <v>466</v>
      </c>
      <c r="C1890" t="s">
        <v>467</v>
      </c>
      <c r="D1890" t="str">
        <f>VLOOKUP(J1890,Location[],2,FALSE)</f>
        <v>Los Angeles</v>
      </c>
      <c r="E1890" t="str">
        <f>VLOOKUP(J1890,Location[],3,FALSE)</f>
        <v> California</v>
      </c>
      <c r="F1890" t="str">
        <f>VLOOKUP(K1890,Dept[],2,FALSE)</f>
        <v>Administration</v>
      </c>
      <c r="G1890" s="11">
        <f t="shared" si="29"/>
        <v>44805</v>
      </c>
      <c r="H1890" t="str">
        <f>VLOOKUP(N1890,Status[],2,FALSE)</f>
        <v>Full-Time</v>
      </c>
      <c r="J1890" s="7">
        <v>1002</v>
      </c>
      <c r="K1890">
        <v>12</v>
      </c>
      <c r="L1890">
        <v>2022</v>
      </c>
      <c r="M1890">
        <v>9</v>
      </c>
      <c r="N1890">
        <v>1</v>
      </c>
    </row>
    <row r="1891" spans="1:14" x14ac:dyDescent="0.25">
      <c r="A1891" t="s">
        <v>4111</v>
      </c>
      <c r="B1891" t="s">
        <v>188</v>
      </c>
      <c r="C1891" t="s">
        <v>1065</v>
      </c>
      <c r="D1891" t="str">
        <f>VLOOKUP(J1891,Location[],2,FALSE)</f>
        <v>Fresno</v>
      </c>
      <c r="E1891" t="str">
        <f>VLOOKUP(J1891,Location[],3,FALSE)</f>
        <v> California</v>
      </c>
      <c r="F1891" t="str">
        <f>VLOOKUP(K1891,Dept[],2,FALSE)</f>
        <v>Assessment</v>
      </c>
      <c r="G1891" s="11">
        <f t="shared" si="29"/>
        <v>41518</v>
      </c>
      <c r="H1891" t="str">
        <f>VLOOKUP(N1891,Status[],2,FALSE)</f>
        <v>Full-Time</v>
      </c>
      <c r="J1891" s="7">
        <v>1034</v>
      </c>
      <c r="K1891">
        <v>13</v>
      </c>
      <c r="L1891">
        <v>2013</v>
      </c>
      <c r="M1891">
        <v>9</v>
      </c>
      <c r="N1891">
        <v>1</v>
      </c>
    </row>
    <row r="1892" spans="1:14" x14ac:dyDescent="0.25">
      <c r="A1892" t="s">
        <v>4112</v>
      </c>
      <c r="B1892" t="s">
        <v>19</v>
      </c>
      <c r="C1892" t="s">
        <v>1065</v>
      </c>
      <c r="D1892" t="str">
        <f>VLOOKUP(J1892,Location[],2,FALSE)</f>
        <v>Cincinnati</v>
      </c>
      <c r="E1892" t="str">
        <f>VLOOKUP(J1892,Location[],3,FALSE)</f>
        <v> Ohio</v>
      </c>
      <c r="F1892" t="str">
        <f>VLOOKUP(K1892,Dept[],2,FALSE)</f>
        <v>Customer Support</v>
      </c>
      <c r="G1892" s="11">
        <f t="shared" si="29"/>
        <v>43983</v>
      </c>
      <c r="H1892" t="str">
        <f>VLOOKUP(N1892,Status[],2,FALSE)</f>
        <v>Full-Time</v>
      </c>
      <c r="J1892" s="7">
        <v>1066</v>
      </c>
      <c r="K1892">
        <v>14</v>
      </c>
      <c r="L1892">
        <v>2020</v>
      </c>
      <c r="M1892">
        <v>6</v>
      </c>
      <c r="N1892">
        <v>1</v>
      </c>
    </row>
    <row r="1893" spans="1:14" x14ac:dyDescent="0.25">
      <c r="A1893" t="s">
        <v>4113</v>
      </c>
      <c r="B1893" t="s">
        <v>807</v>
      </c>
      <c r="C1893" t="s">
        <v>1065</v>
      </c>
      <c r="D1893" t="str">
        <f>VLOOKUP(J1893,Location[],2,FALSE)</f>
        <v>Chula Vista</v>
      </c>
      <c r="E1893" t="str">
        <f>VLOOKUP(J1893,Location[],3,FALSE)</f>
        <v> California</v>
      </c>
      <c r="F1893" t="str">
        <f>VLOOKUP(K1893,Dept[],2,FALSE)</f>
        <v>Finance</v>
      </c>
      <c r="G1893" s="11">
        <f t="shared" si="29"/>
        <v>43101</v>
      </c>
      <c r="H1893" t="str">
        <f>VLOOKUP(N1893,Status[],2,FALSE)</f>
        <v>Part-Time</v>
      </c>
      <c r="J1893" s="7">
        <v>1076</v>
      </c>
      <c r="K1893">
        <v>15</v>
      </c>
      <c r="L1893">
        <v>2018</v>
      </c>
      <c r="M1893">
        <v>1</v>
      </c>
      <c r="N1893">
        <v>0</v>
      </c>
    </row>
    <row r="1894" spans="1:14" x14ac:dyDescent="0.25">
      <c r="A1894" t="s">
        <v>4114</v>
      </c>
      <c r="B1894" t="s">
        <v>339</v>
      </c>
      <c r="C1894" t="s">
        <v>1065</v>
      </c>
      <c r="D1894" t="str">
        <f>VLOOKUP(J1894,Location[],2,FALSE)</f>
        <v>Los Angeles</v>
      </c>
      <c r="E1894" t="str">
        <f>VLOOKUP(J1894,Location[],3,FALSE)</f>
        <v> California</v>
      </c>
      <c r="F1894" t="str">
        <f>VLOOKUP(K1894,Dept[],2,FALSE)</f>
        <v>Assessment</v>
      </c>
      <c r="G1894" s="11">
        <f t="shared" si="29"/>
        <v>42767</v>
      </c>
      <c r="H1894" t="str">
        <f>VLOOKUP(N1894,Status[],2,FALSE)</f>
        <v>Full-Time</v>
      </c>
      <c r="J1894" s="7">
        <v>1002</v>
      </c>
      <c r="K1894">
        <v>13</v>
      </c>
      <c r="L1894">
        <v>2017</v>
      </c>
      <c r="M1894">
        <v>2</v>
      </c>
      <c r="N1894">
        <v>1</v>
      </c>
    </row>
    <row r="1895" spans="1:14" x14ac:dyDescent="0.25">
      <c r="A1895" t="s">
        <v>4115</v>
      </c>
      <c r="B1895" t="s">
        <v>307</v>
      </c>
      <c r="C1895" t="s">
        <v>1340</v>
      </c>
      <c r="D1895" t="str">
        <f>VLOOKUP(J1895,Location[],2,FALSE)</f>
        <v>Tucson</v>
      </c>
      <c r="E1895" t="str">
        <f>VLOOKUP(J1895,Location[],3,FALSE)</f>
        <v> Arizona</v>
      </c>
      <c r="F1895" t="str">
        <f>VLOOKUP(K1895,Dept[],2,FALSE)</f>
        <v>Administration</v>
      </c>
      <c r="G1895" s="11">
        <f t="shared" si="29"/>
        <v>44470</v>
      </c>
      <c r="H1895" t="str">
        <f>VLOOKUP(N1895,Status[],2,FALSE)</f>
        <v>Full-Time</v>
      </c>
      <c r="J1895" s="7">
        <v>1033</v>
      </c>
      <c r="K1895">
        <v>12</v>
      </c>
      <c r="L1895">
        <v>2021</v>
      </c>
      <c r="M1895">
        <v>10</v>
      </c>
      <c r="N1895">
        <v>1</v>
      </c>
    </row>
    <row r="1896" spans="1:14" x14ac:dyDescent="0.25">
      <c r="A1896" t="s">
        <v>4116</v>
      </c>
      <c r="B1896" t="s">
        <v>304</v>
      </c>
      <c r="C1896" t="s">
        <v>1340</v>
      </c>
      <c r="D1896" t="str">
        <f>VLOOKUP(J1896,Location[],2,FALSE)</f>
        <v>New York City</v>
      </c>
      <c r="E1896" t="str">
        <f>VLOOKUP(J1896,Location[],3,FALSE)</f>
        <v> New York</v>
      </c>
      <c r="F1896" t="str">
        <f>VLOOKUP(K1896,Dept[],2,FALSE)</f>
        <v>Marketing</v>
      </c>
      <c r="G1896" s="11">
        <f t="shared" si="29"/>
        <v>44013</v>
      </c>
      <c r="H1896" t="str">
        <f>VLOOKUP(N1896,Status[],2,FALSE)</f>
        <v>Full-Time</v>
      </c>
      <c r="J1896" s="7">
        <v>1001</v>
      </c>
      <c r="K1896">
        <v>19</v>
      </c>
      <c r="L1896">
        <v>2020</v>
      </c>
      <c r="M1896">
        <v>7</v>
      </c>
      <c r="N1896">
        <v>1</v>
      </c>
    </row>
    <row r="1897" spans="1:14" x14ac:dyDescent="0.25">
      <c r="A1897" t="s">
        <v>3428</v>
      </c>
      <c r="B1897" t="s">
        <v>1016</v>
      </c>
      <c r="C1897" t="s">
        <v>322</v>
      </c>
      <c r="D1897" t="str">
        <f>VLOOKUP(J1897,Location[],2,FALSE)</f>
        <v>New York City</v>
      </c>
      <c r="E1897" t="str">
        <f>VLOOKUP(J1897,Location[],3,FALSE)</f>
        <v> New York</v>
      </c>
      <c r="F1897" t="str">
        <f>VLOOKUP(K1897,Dept[],2,FALSE)</f>
        <v>Sales</v>
      </c>
      <c r="G1897" s="11">
        <f t="shared" si="29"/>
        <v>42644</v>
      </c>
      <c r="H1897" t="str">
        <f>VLOOKUP(N1897,Status[],2,FALSE)</f>
        <v>Full-Time</v>
      </c>
      <c r="J1897" s="7">
        <v>1001</v>
      </c>
      <c r="K1897">
        <v>22</v>
      </c>
      <c r="L1897">
        <v>2016</v>
      </c>
      <c r="M1897">
        <v>10</v>
      </c>
      <c r="N1897">
        <v>1</v>
      </c>
    </row>
    <row r="1898" spans="1:14" x14ac:dyDescent="0.25">
      <c r="A1898" t="s">
        <v>4117</v>
      </c>
      <c r="B1898" t="s">
        <v>1691</v>
      </c>
      <c r="C1898" t="s">
        <v>322</v>
      </c>
      <c r="D1898" t="str">
        <f>VLOOKUP(J1898,Location[],2,FALSE)</f>
        <v>Plano</v>
      </c>
      <c r="E1898" t="str">
        <f>VLOOKUP(J1898,Location[],3,FALSE)</f>
        <v> Texas</v>
      </c>
      <c r="F1898" t="str">
        <f>VLOOKUP(K1898,Dept[],2,FALSE)</f>
        <v>Assessment</v>
      </c>
      <c r="G1898" s="11">
        <f t="shared" si="29"/>
        <v>44501</v>
      </c>
      <c r="H1898" t="str">
        <f>VLOOKUP(N1898,Status[],2,FALSE)</f>
        <v>Part-Time</v>
      </c>
      <c r="J1898" s="7">
        <v>1069</v>
      </c>
      <c r="K1898">
        <v>13</v>
      </c>
      <c r="L1898">
        <v>2021</v>
      </c>
      <c r="M1898">
        <v>11</v>
      </c>
      <c r="N1898">
        <v>0</v>
      </c>
    </row>
    <row r="1899" spans="1:14" x14ac:dyDescent="0.25">
      <c r="A1899" t="s">
        <v>4118</v>
      </c>
      <c r="B1899" t="s">
        <v>321</v>
      </c>
      <c r="C1899" t="s">
        <v>322</v>
      </c>
      <c r="D1899" t="str">
        <f>VLOOKUP(J1899,Location[],2,FALSE)</f>
        <v>El Paso</v>
      </c>
      <c r="E1899" t="str">
        <f>VLOOKUP(J1899,Location[],3,FALSE)</f>
        <v> Texas</v>
      </c>
      <c r="F1899" t="str">
        <f>VLOOKUP(K1899,Dept[],2,FALSE)</f>
        <v>Legal</v>
      </c>
      <c r="G1899" s="11">
        <f t="shared" si="29"/>
        <v>42979</v>
      </c>
      <c r="H1899" t="str">
        <f>VLOOKUP(N1899,Status[],2,FALSE)</f>
        <v>Full-Time</v>
      </c>
      <c r="J1899" s="7">
        <v>1022</v>
      </c>
      <c r="K1899">
        <v>18</v>
      </c>
      <c r="L1899">
        <v>2017</v>
      </c>
      <c r="M1899">
        <v>9</v>
      </c>
      <c r="N1899">
        <v>1</v>
      </c>
    </row>
    <row r="1900" spans="1:14" x14ac:dyDescent="0.25">
      <c r="A1900" t="s">
        <v>4119</v>
      </c>
      <c r="B1900" t="s">
        <v>988</v>
      </c>
      <c r="C1900" t="s">
        <v>989</v>
      </c>
      <c r="D1900" t="str">
        <f>VLOOKUP(J1900,Location[],2,FALSE)</f>
        <v>New York City</v>
      </c>
      <c r="E1900" t="str">
        <f>VLOOKUP(J1900,Location[],3,FALSE)</f>
        <v> New York</v>
      </c>
      <c r="F1900" t="str">
        <f>VLOOKUP(K1900,Dept[],2,FALSE)</f>
        <v>IT</v>
      </c>
      <c r="G1900" s="11">
        <f t="shared" si="29"/>
        <v>42675</v>
      </c>
      <c r="H1900" t="str">
        <f>VLOOKUP(N1900,Status[],2,FALSE)</f>
        <v>Full-Time</v>
      </c>
      <c r="J1900" s="7">
        <v>1001</v>
      </c>
      <c r="K1900">
        <v>17</v>
      </c>
      <c r="L1900">
        <v>2016</v>
      </c>
      <c r="M1900">
        <v>11</v>
      </c>
      <c r="N1900">
        <v>1</v>
      </c>
    </row>
    <row r="1901" spans="1:14" x14ac:dyDescent="0.25">
      <c r="A1901" t="s">
        <v>4120</v>
      </c>
      <c r="B1901" t="s">
        <v>1450</v>
      </c>
      <c r="C1901" t="s">
        <v>1451</v>
      </c>
      <c r="D1901" t="str">
        <f>VLOOKUP(J1901,Location[],2,FALSE)</f>
        <v>Los Angeles</v>
      </c>
      <c r="E1901" t="str">
        <f>VLOOKUP(J1901,Location[],3,FALSE)</f>
        <v> California</v>
      </c>
      <c r="F1901" t="str">
        <f>VLOOKUP(K1901,Dept[],2,FALSE)</f>
        <v>Media</v>
      </c>
      <c r="G1901" s="11">
        <f t="shared" si="29"/>
        <v>43040</v>
      </c>
      <c r="H1901" t="str">
        <f>VLOOKUP(N1901,Status[],2,FALSE)</f>
        <v>Full-Time</v>
      </c>
      <c r="J1901" s="7">
        <v>1002</v>
      </c>
      <c r="K1901">
        <v>20</v>
      </c>
      <c r="L1901">
        <v>2017</v>
      </c>
      <c r="M1901">
        <v>11</v>
      </c>
      <c r="N1901">
        <v>1</v>
      </c>
    </row>
    <row r="1902" spans="1:14" x14ac:dyDescent="0.25">
      <c r="A1902" t="s">
        <v>4121</v>
      </c>
      <c r="B1902" t="s">
        <v>1460</v>
      </c>
      <c r="C1902" t="s">
        <v>1451</v>
      </c>
      <c r="D1902" t="str">
        <f>VLOOKUP(J1902,Location[],2,FALSE)</f>
        <v>Columbus</v>
      </c>
      <c r="E1902" t="str">
        <f>VLOOKUP(J1902,Location[],3,FALSE)</f>
        <v> Ohio</v>
      </c>
      <c r="F1902" t="str">
        <f>VLOOKUP(K1902,Dept[],2,FALSE)</f>
        <v>Sales</v>
      </c>
      <c r="G1902" s="11">
        <f t="shared" si="29"/>
        <v>42401</v>
      </c>
      <c r="H1902" t="str">
        <f>VLOOKUP(N1902,Status[],2,FALSE)</f>
        <v>Full-Time</v>
      </c>
      <c r="J1902" s="7">
        <v>1014</v>
      </c>
      <c r="K1902">
        <v>22</v>
      </c>
      <c r="L1902">
        <v>2016</v>
      </c>
      <c r="M1902">
        <v>2</v>
      </c>
      <c r="N1902">
        <v>1</v>
      </c>
    </row>
    <row r="1903" spans="1:14" x14ac:dyDescent="0.25">
      <c r="A1903" t="s">
        <v>4122</v>
      </c>
      <c r="B1903" t="s">
        <v>75</v>
      </c>
      <c r="C1903" t="s">
        <v>2055</v>
      </c>
      <c r="D1903" t="str">
        <f>VLOOKUP(J1903,Location[],2,FALSE)</f>
        <v>Oakland</v>
      </c>
      <c r="E1903" t="str">
        <f>VLOOKUP(J1903,Location[],3,FALSE)</f>
        <v> California</v>
      </c>
      <c r="F1903" t="str">
        <f>VLOOKUP(K1903,Dept[],2,FALSE)</f>
        <v>Administration</v>
      </c>
      <c r="G1903" s="11">
        <f t="shared" si="29"/>
        <v>42583</v>
      </c>
      <c r="H1903" t="str">
        <f>VLOOKUP(N1903,Status[],2,FALSE)</f>
        <v>Full-Time</v>
      </c>
      <c r="J1903" s="7">
        <v>1045</v>
      </c>
      <c r="K1903">
        <v>12</v>
      </c>
      <c r="L1903">
        <v>2016</v>
      </c>
      <c r="M1903">
        <v>8</v>
      </c>
      <c r="N1903">
        <v>1</v>
      </c>
    </row>
    <row r="1904" spans="1:14" x14ac:dyDescent="0.25">
      <c r="A1904" t="s">
        <v>4123</v>
      </c>
      <c r="B1904" t="s">
        <v>83</v>
      </c>
      <c r="C1904" t="s">
        <v>1821</v>
      </c>
      <c r="D1904" t="str">
        <f>VLOOKUP(J1904,Location[],2,FALSE)</f>
        <v>Lubbock</v>
      </c>
      <c r="E1904" t="str">
        <f>VLOOKUP(J1904,Location[],3,FALSE)</f>
        <v> Texas</v>
      </c>
      <c r="F1904" t="str">
        <f>VLOOKUP(K1904,Dept[],2,FALSE)</f>
        <v>Accounting</v>
      </c>
      <c r="G1904" s="11">
        <f t="shared" si="29"/>
        <v>41791</v>
      </c>
      <c r="H1904" t="str">
        <f>VLOOKUP(N1904,Status[],2,FALSE)</f>
        <v>Full-Time</v>
      </c>
      <c r="J1904" s="7">
        <v>1083</v>
      </c>
      <c r="K1904">
        <v>11</v>
      </c>
      <c r="L1904">
        <v>2014</v>
      </c>
      <c r="M1904">
        <v>6</v>
      </c>
      <c r="N1904">
        <v>1</v>
      </c>
    </row>
    <row r="1905" spans="1:14" x14ac:dyDescent="0.25">
      <c r="A1905" t="s">
        <v>4124</v>
      </c>
      <c r="B1905" t="s">
        <v>1557</v>
      </c>
      <c r="C1905" t="s">
        <v>1558</v>
      </c>
      <c r="D1905" t="str">
        <f>VLOOKUP(J1905,Location[],2,FALSE)</f>
        <v>Phoenix</v>
      </c>
      <c r="E1905" t="str">
        <f>VLOOKUP(J1905,Location[],3,FALSE)</f>
        <v> Arizona</v>
      </c>
      <c r="F1905" t="str">
        <f>VLOOKUP(K1905,Dept[],2,FALSE)</f>
        <v>R&amp;D</v>
      </c>
      <c r="G1905" s="11">
        <f t="shared" si="29"/>
        <v>41760</v>
      </c>
      <c r="H1905" t="str">
        <f>VLOOKUP(N1905,Status[],2,FALSE)</f>
        <v>Full-Time</v>
      </c>
      <c r="J1905" s="7">
        <v>1005</v>
      </c>
      <c r="K1905">
        <v>21</v>
      </c>
      <c r="L1905">
        <v>2014</v>
      </c>
      <c r="M1905">
        <v>5</v>
      </c>
      <c r="N1905">
        <v>1</v>
      </c>
    </row>
    <row r="1906" spans="1:14" x14ac:dyDescent="0.25">
      <c r="A1906" t="s">
        <v>4125</v>
      </c>
      <c r="B1906" t="s">
        <v>1905</v>
      </c>
      <c r="C1906" t="s">
        <v>1976</v>
      </c>
      <c r="D1906" t="str">
        <f>VLOOKUP(J1906,Location[],2,FALSE)</f>
        <v>Fort Wayne</v>
      </c>
      <c r="E1906" t="str">
        <f>VLOOKUP(J1906,Location[],3,FALSE)</f>
        <v> Indiana</v>
      </c>
      <c r="F1906" t="str">
        <f>VLOOKUP(K1906,Dept[],2,FALSE)</f>
        <v>Customer Support</v>
      </c>
      <c r="G1906" s="11">
        <f t="shared" si="29"/>
        <v>43586</v>
      </c>
      <c r="H1906" t="str">
        <f>VLOOKUP(N1906,Status[],2,FALSE)</f>
        <v>Full-Time</v>
      </c>
      <c r="J1906" s="7">
        <v>1078</v>
      </c>
      <c r="K1906">
        <v>14</v>
      </c>
      <c r="L1906">
        <v>2019</v>
      </c>
      <c r="M1906">
        <v>5</v>
      </c>
      <c r="N1906">
        <v>1</v>
      </c>
    </row>
    <row r="1907" spans="1:14" x14ac:dyDescent="0.25">
      <c r="A1907" t="s">
        <v>4126</v>
      </c>
      <c r="B1907" t="s">
        <v>893</v>
      </c>
      <c r="C1907" t="s">
        <v>894</v>
      </c>
      <c r="D1907" t="str">
        <f>VLOOKUP(J1907,Location[],2,FALSE)</f>
        <v>San Antonio</v>
      </c>
      <c r="E1907" t="str">
        <f>VLOOKUP(J1907,Location[],3,FALSE)</f>
        <v> Texas</v>
      </c>
      <c r="F1907" t="str">
        <f>VLOOKUP(K1907,Dept[],2,FALSE)</f>
        <v>Human Resources</v>
      </c>
      <c r="G1907" s="11">
        <f t="shared" si="29"/>
        <v>41640</v>
      </c>
      <c r="H1907" t="str">
        <f>VLOOKUP(N1907,Status[],2,FALSE)</f>
        <v>Full-Time</v>
      </c>
      <c r="J1907" s="7">
        <v>1007</v>
      </c>
      <c r="K1907">
        <v>16</v>
      </c>
      <c r="L1907">
        <v>2014</v>
      </c>
      <c r="M1907">
        <v>1</v>
      </c>
      <c r="N1907">
        <v>1</v>
      </c>
    </row>
    <row r="1908" spans="1:14" x14ac:dyDescent="0.25">
      <c r="A1908" t="s">
        <v>4127</v>
      </c>
      <c r="B1908" t="s">
        <v>2045</v>
      </c>
      <c r="C1908" t="s">
        <v>894</v>
      </c>
      <c r="D1908" t="str">
        <f>VLOOKUP(J1908,Location[],2,FALSE)</f>
        <v>Houston</v>
      </c>
      <c r="E1908" t="str">
        <f>VLOOKUP(J1908,Location[],3,FALSE)</f>
        <v> Texas</v>
      </c>
      <c r="F1908" t="str">
        <f>VLOOKUP(K1908,Dept[],2,FALSE)</f>
        <v>Legal</v>
      </c>
      <c r="G1908" s="11">
        <f t="shared" si="29"/>
        <v>43040</v>
      </c>
      <c r="H1908" t="str">
        <f>VLOOKUP(N1908,Status[],2,FALSE)</f>
        <v>Full-Time</v>
      </c>
      <c r="J1908" s="7">
        <v>1004</v>
      </c>
      <c r="K1908">
        <v>18</v>
      </c>
      <c r="L1908">
        <v>2017</v>
      </c>
      <c r="M1908">
        <v>11</v>
      </c>
      <c r="N1908">
        <v>1</v>
      </c>
    </row>
    <row r="1909" spans="1:14" x14ac:dyDescent="0.25">
      <c r="A1909" t="s">
        <v>4128</v>
      </c>
      <c r="B1909" t="s">
        <v>59</v>
      </c>
      <c r="C1909" t="s">
        <v>1329</v>
      </c>
      <c r="D1909" t="str">
        <f>VLOOKUP(J1909,Location[],2,FALSE)</f>
        <v>Los Angeles</v>
      </c>
      <c r="E1909" t="str">
        <f>VLOOKUP(J1909,Location[],3,FALSE)</f>
        <v> California</v>
      </c>
      <c r="F1909" t="str">
        <f>VLOOKUP(K1909,Dept[],2,FALSE)</f>
        <v>Sales</v>
      </c>
      <c r="G1909" s="11">
        <f t="shared" si="29"/>
        <v>41548</v>
      </c>
      <c r="H1909" t="str">
        <f>VLOOKUP(N1909,Status[],2,FALSE)</f>
        <v>Full-Time</v>
      </c>
      <c r="J1909" s="7">
        <v>1002</v>
      </c>
      <c r="K1909">
        <v>22</v>
      </c>
      <c r="L1909">
        <v>2013</v>
      </c>
      <c r="M1909">
        <v>10</v>
      </c>
      <c r="N1909">
        <v>1</v>
      </c>
    </row>
    <row r="1910" spans="1:14" x14ac:dyDescent="0.25">
      <c r="A1910" t="s">
        <v>4129</v>
      </c>
      <c r="B1910" t="s">
        <v>83</v>
      </c>
      <c r="C1910" t="s">
        <v>1329</v>
      </c>
      <c r="D1910" t="str">
        <f>VLOOKUP(J1910,Location[],2,FALSE)</f>
        <v>Denver</v>
      </c>
      <c r="E1910" t="str">
        <f>VLOOKUP(J1910,Location[],3,FALSE)</f>
        <v> Colorado</v>
      </c>
      <c r="F1910" t="str">
        <f>VLOOKUP(K1910,Dept[],2,FALSE)</f>
        <v>Sales</v>
      </c>
      <c r="G1910" s="11">
        <f t="shared" si="29"/>
        <v>44013</v>
      </c>
      <c r="H1910" t="str">
        <f>VLOOKUP(N1910,Status[],2,FALSE)</f>
        <v>Part-Time</v>
      </c>
      <c r="J1910" s="7">
        <v>1019</v>
      </c>
      <c r="K1910">
        <v>22</v>
      </c>
      <c r="L1910">
        <v>2020</v>
      </c>
      <c r="M1910">
        <v>7</v>
      </c>
      <c r="N1910">
        <v>0</v>
      </c>
    </row>
    <row r="1911" spans="1:14" x14ac:dyDescent="0.25">
      <c r="A1911" t="s">
        <v>4130</v>
      </c>
      <c r="B1911" t="s">
        <v>459</v>
      </c>
      <c r="C1911" t="s">
        <v>890</v>
      </c>
      <c r="D1911" t="str">
        <f>VLOOKUP(J1911,Location[],2,FALSE)</f>
        <v>San Antonio</v>
      </c>
      <c r="E1911" t="str">
        <f>VLOOKUP(J1911,Location[],3,FALSE)</f>
        <v> Texas</v>
      </c>
      <c r="F1911" t="str">
        <f>VLOOKUP(K1911,Dept[],2,FALSE)</f>
        <v>Customer Support</v>
      </c>
      <c r="G1911" s="11">
        <f t="shared" si="29"/>
        <v>42948</v>
      </c>
      <c r="H1911" t="str">
        <f>VLOOKUP(N1911,Status[],2,FALSE)</f>
        <v>Full-Time</v>
      </c>
      <c r="J1911" s="7">
        <v>1007</v>
      </c>
      <c r="K1911">
        <v>14</v>
      </c>
      <c r="L1911">
        <v>2017</v>
      </c>
      <c r="M1911">
        <v>8</v>
      </c>
      <c r="N1911">
        <v>1</v>
      </c>
    </row>
    <row r="1912" spans="1:14" x14ac:dyDescent="0.25">
      <c r="A1912" t="s">
        <v>4131</v>
      </c>
      <c r="B1912" t="s">
        <v>117</v>
      </c>
      <c r="C1912" t="s">
        <v>890</v>
      </c>
      <c r="D1912" t="str">
        <f>VLOOKUP(J1912,Location[],2,FALSE)</f>
        <v>Houston</v>
      </c>
      <c r="E1912" t="str">
        <f>VLOOKUP(J1912,Location[],3,FALSE)</f>
        <v> Texas</v>
      </c>
      <c r="F1912" t="str">
        <f>VLOOKUP(K1912,Dept[],2,FALSE)</f>
        <v>Marketing</v>
      </c>
      <c r="G1912" s="11">
        <f t="shared" si="29"/>
        <v>41791</v>
      </c>
      <c r="H1912" t="str">
        <f>VLOOKUP(N1912,Status[],2,FALSE)</f>
        <v>Full-Time</v>
      </c>
      <c r="J1912" s="7">
        <v>1004</v>
      </c>
      <c r="K1912">
        <v>19</v>
      </c>
      <c r="L1912">
        <v>2014</v>
      </c>
      <c r="M1912">
        <v>6</v>
      </c>
      <c r="N1912">
        <v>1</v>
      </c>
    </row>
    <row r="1913" spans="1:14" x14ac:dyDescent="0.25">
      <c r="A1913" t="s">
        <v>4132</v>
      </c>
      <c r="B1913" t="s">
        <v>144</v>
      </c>
      <c r="C1913" t="s">
        <v>733</v>
      </c>
      <c r="D1913" t="str">
        <f>VLOOKUP(J1913,Location[],2,FALSE)</f>
        <v>Philadelphia</v>
      </c>
      <c r="E1913" t="str">
        <f>VLOOKUP(J1913,Location[],3,FALSE)</f>
        <v> Pennsylvania</v>
      </c>
      <c r="F1913" t="str">
        <f>VLOOKUP(K1913,Dept[],2,FALSE)</f>
        <v>Accounting</v>
      </c>
      <c r="G1913" s="11">
        <f t="shared" si="29"/>
        <v>45231</v>
      </c>
      <c r="H1913" t="str">
        <f>VLOOKUP(N1913,Status[],2,FALSE)</f>
        <v>Full-Time</v>
      </c>
      <c r="J1913" s="7">
        <v>1006</v>
      </c>
      <c r="K1913">
        <v>11</v>
      </c>
      <c r="L1913">
        <v>2023</v>
      </c>
      <c r="M1913">
        <v>11</v>
      </c>
      <c r="N1913">
        <v>1</v>
      </c>
    </row>
    <row r="1914" spans="1:14" x14ac:dyDescent="0.25">
      <c r="A1914" t="s">
        <v>4133</v>
      </c>
      <c r="B1914" t="s">
        <v>363</v>
      </c>
      <c r="C1914" t="s">
        <v>1263</v>
      </c>
      <c r="D1914" t="str">
        <f>VLOOKUP(J1914,Location[],2,FALSE)</f>
        <v>Long Beach</v>
      </c>
      <c r="E1914" t="str">
        <f>VLOOKUP(J1914,Location[],3,FALSE)</f>
        <v> California</v>
      </c>
      <c r="F1914" t="str">
        <f>VLOOKUP(K1914,Dept[],2,FALSE)</f>
        <v>Legal</v>
      </c>
      <c r="G1914" s="11">
        <f t="shared" si="29"/>
        <v>44562</v>
      </c>
      <c r="H1914" t="str">
        <f>VLOOKUP(N1914,Status[],2,FALSE)</f>
        <v>Full-Time</v>
      </c>
      <c r="J1914" s="7">
        <v>1039</v>
      </c>
      <c r="K1914">
        <v>18</v>
      </c>
      <c r="L1914">
        <v>2022</v>
      </c>
      <c r="M1914">
        <v>1</v>
      </c>
      <c r="N1914">
        <v>1</v>
      </c>
    </row>
    <row r="1915" spans="1:14" x14ac:dyDescent="0.25">
      <c r="A1915" t="s">
        <v>4134</v>
      </c>
      <c r="B1915" t="s">
        <v>163</v>
      </c>
      <c r="C1915" t="s">
        <v>164</v>
      </c>
      <c r="D1915" t="str">
        <f>VLOOKUP(J1915,Location[],2,FALSE)</f>
        <v>New York City</v>
      </c>
      <c r="E1915" t="str">
        <f>VLOOKUP(J1915,Location[],3,FALSE)</f>
        <v> New York</v>
      </c>
      <c r="F1915" t="str">
        <f>VLOOKUP(K1915,Dept[],2,FALSE)</f>
        <v>IT</v>
      </c>
      <c r="G1915" s="11">
        <f t="shared" si="29"/>
        <v>44501</v>
      </c>
      <c r="H1915" t="str">
        <f>VLOOKUP(N1915,Status[],2,FALSE)</f>
        <v>Full-Time</v>
      </c>
      <c r="J1915" s="7">
        <v>1001</v>
      </c>
      <c r="K1915">
        <v>17</v>
      </c>
      <c r="L1915">
        <v>2021</v>
      </c>
      <c r="M1915">
        <v>11</v>
      </c>
      <c r="N1915">
        <v>1</v>
      </c>
    </row>
    <row r="1916" spans="1:14" x14ac:dyDescent="0.25">
      <c r="A1916" t="s">
        <v>4135</v>
      </c>
      <c r="B1916" t="s">
        <v>1666</v>
      </c>
      <c r="C1916" t="s">
        <v>2060</v>
      </c>
      <c r="D1916" t="str">
        <f>VLOOKUP(J1916,Location[],2,FALSE)</f>
        <v>Columbus</v>
      </c>
      <c r="E1916" t="str">
        <f>VLOOKUP(J1916,Location[],3,FALSE)</f>
        <v> Ohio</v>
      </c>
      <c r="F1916" t="str">
        <f>VLOOKUP(K1916,Dept[],2,FALSE)</f>
        <v>Marketing</v>
      </c>
      <c r="G1916" s="11">
        <f t="shared" si="29"/>
        <v>43009</v>
      </c>
      <c r="H1916" t="str">
        <f>VLOOKUP(N1916,Status[],2,FALSE)</f>
        <v>Full-Time</v>
      </c>
      <c r="J1916" s="7">
        <v>1014</v>
      </c>
      <c r="K1916">
        <v>19</v>
      </c>
      <c r="L1916">
        <v>2017</v>
      </c>
      <c r="M1916">
        <v>10</v>
      </c>
      <c r="N1916">
        <v>1</v>
      </c>
    </row>
    <row r="1917" spans="1:14" x14ac:dyDescent="0.25">
      <c r="A1917" t="s">
        <v>4136</v>
      </c>
      <c r="B1917" t="s">
        <v>561</v>
      </c>
      <c r="C1917" t="s">
        <v>1972</v>
      </c>
      <c r="D1917" t="str">
        <f>VLOOKUP(J1917,Location[],2,FALSE)</f>
        <v>Jacksonville</v>
      </c>
      <c r="E1917" t="str">
        <f>VLOOKUP(J1917,Location[],3,FALSE)</f>
        <v> Florida</v>
      </c>
      <c r="F1917" t="str">
        <f>VLOOKUP(K1917,Dept[],2,FALSE)</f>
        <v>Administration</v>
      </c>
      <c r="G1917" s="11">
        <f t="shared" si="29"/>
        <v>43132</v>
      </c>
      <c r="H1917" t="str">
        <f>VLOOKUP(N1917,Status[],2,FALSE)</f>
        <v>Full-Time</v>
      </c>
      <c r="J1917" s="7">
        <v>1012</v>
      </c>
      <c r="K1917">
        <v>12</v>
      </c>
      <c r="L1917">
        <v>2018</v>
      </c>
      <c r="M1917">
        <v>2</v>
      </c>
      <c r="N1917">
        <v>1</v>
      </c>
    </row>
    <row r="1918" spans="1:14" x14ac:dyDescent="0.25">
      <c r="A1918" t="s">
        <v>4137</v>
      </c>
      <c r="B1918" t="s">
        <v>448</v>
      </c>
      <c r="C1918" t="s">
        <v>271</v>
      </c>
      <c r="D1918" t="str">
        <f>VLOOKUP(J1918,Location[],2,FALSE)</f>
        <v>Austin</v>
      </c>
      <c r="E1918" t="str">
        <f>VLOOKUP(J1918,Location[],3,FALSE)</f>
        <v> Texas</v>
      </c>
      <c r="F1918" t="str">
        <f>VLOOKUP(K1918,Dept[],2,FALSE)</f>
        <v>Legal</v>
      </c>
      <c r="G1918" s="11">
        <f t="shared" si="29"/>
        <v>43313</v>
      </c>
      <c r="H1918" t="str">
        <f>VLOOKUP(N1918,Status[],2,FALSE)</f>
        <v>Full-Time</v>
      </c>
      <c r="J1918" s="7">
        <v>1011</v>
      </c>
      <c r="K1918">
        <v>18</v>
      </c>
      <c r="L1918">
        <v>2018</v>
      </c>
      <c r="M1918">
        <v>8</v>
      </c>
      <c r="N1918">
        <v>1</v>
      </c>
    </row>
    <row r="1919" spans="1:14" x14ac:dyDescent="0.25">
      <c r="A1919" t="s">
        <v>4138</v>
      </c>
      <c r="B1919" t="s">
        <v>494</v>
      </c>
      <c r="C1919" t="s">
        <v>271</v>
      </c>
      <c r="D1919" t="str">
        <f>VLOOKUP(J1919,Location[],2,FALSE)</f>
        <v>St. Louis</v>
      </c>
      <c r="E1919" t="str">
        <f>VLOOKUP(J1919,Location[],3,FALSE)</f>
        <v> Missouri</v>
      </c>
      <c r="F1919" t="str">
        <f>VLOOKUP(K1919,Dept[],2,FALSE)</f>
        <v>Sales</v>
      </c>
      <c r="G1919" s="11">
        <f t="shared" si="29"/>
        <v>41609</v>
      </c>
      <c r="H1919" t="str">
        <f>VLOOKUP(N1919,Status[],2,FALSE)</f>
        <v>Part-Time</v>
      </c>
      <c r="J1919" s="7">
        <v>1062</v>
      </c>
      <c r="K1919">
        <v>22</v>
      </c>
      <c r="L1919">
        <v>2013</v>
      </c>
      <c r="M1919">
        <v>12</v>
      </c>
      <c r="N1919">
        <v>0</v>
      </c>
    </row>
    <row r="1920" spans="1:14" x14ac:dyDescent="0.25">
      <c r="A1920" t="s">
        <v>4139</v>
      </c>
      <c r="B1920" t="s">
        <v>270</v>
      </c>
      <c r="C1920" t="s">
        <v>271</v>
      </c>
      <c r="D1920" t="str">
        <f>VLOOKUP(J1920,Location[],2,FALSE)</f>
        <v>Phoenix</v>
      </c>
      <c r="E1920" t="str">
        <f>VLOOKUP(J1920,Location[],3,FALSE)</f>
        <v> Arizona</v>
      </c>
      <c r="F1920" t="str">
        <f>VLOOKUP(K1920,Dept[],2,FALSE)</f>
        <v>Finance</v>
      </c>
      <c r="G1920" s="11">
        <f t="shared" si="29"/>
        <v>41913</v>
      </c>
      <c r="H1920" t="str">
        <f>VLOOKUP(N1920,Status[],2,FALSE)</f>
        <v>Full-Time</v>
      </c>
      <c r="J1920" s="7">
        <v>1005</v>
      </c>
      <c r="K1920">
        <v>15</v>
      </c>
      <c r="L1920">
        <v>2014</v>
      </c>
      <c r="M1920">
        <v>10</v>
      </c>
      <c r="N1920">
        <v>1</v>
      </c>
    </row>
    <row r="1921" spans="1:14" x14ac:dyDescent="0.25">
      <c r="A1921" t="s">
        <v>4140</v>
      </c>
      <c r="B1921" t="s">
        <v>1082</v>
      </c>
      <c r="C1921" t="s">
        <v>1244</v>
      </c>
      <c r="D1921" t="str">
        <f>VLOOKUP(J1921,Location[],2,FALSE)</f>
        <v>Phoenix</v>
      </c>
      <c r="E1921" t="str">
        <f>VLOOKUP(J1921,Location[],3,FALSE)</f>
        <v> Arizona</v>
      </c>
      <c r="F1921" t="str">
        <f>VLOOKUP(K1921,Dept[],2,FALSE)</f>
        <v>Human Resources</v>
      </c>
      <c r="G1921" s="11">
        <f t="shared" si="29"/>
        <v>44531</v>
      </c>
      <c r="H1921" t="str">
        <f>VLOOKUP(N1921,Status[],2,FALSE)</f>
        <v>Full-Time</v>
      </c>
      <c r="J1921" s="7">
        <v>1005</v>
      </c>
      <c r="K1921">
        <v>16</v>
      </c>
      <c r="L1921">
        <v>2021</v>
      </c>
      <c r="M1921">
        <v>12</v>
      </c>
      <c r="N1921">
        <v>1</v>
      </c>
    </row>
    <row r="1922" spans="1:14" x14ac:dyDescent="0.25">
      <c r="A1922" t="s">
        <v>4141</v>
      </c>
      <c r="B1922" t="s">
        <v>988</v>
      </c>
      <c r="C1922" t="s">
        <v>1244</v>
      </c>
      <c r="D1922" t="str">
        <f>VLOOKUP(J1922,Location[],2,FALSE)</f>
        <v>Cleveland</v>
      </c>
      <c r="E1922" t="str">
        <f>VLOOKUP(J1922,Location[],3,FALSE)</f>
        <v> Ohio</v>
      </c>
      <c r="F1922" t="str">
        <f>VLOOKUP(K1922,Dept[],2,FALSE)</f>
        <v>Assessment</v>
      </c>
      <c r="G1922" s="11">
        <f t="shared" si="29"/>
        <v>40695</v>
      </c>
      <c r="H1922" t="str">
        <f>VLOOKUP(N1922,Status[],2,FALSE)</f>
        <v>Full-Time</v>
      </c>
      <c r="J1922" s="7">
        <v>1051</v>
      </c>
      <c r="K1922">
        <v>13</v>
      </c>
      <c r="L1922">
        <v>2011</v>
      </c>
      <c r="M1922">
        <v>6</v>
      </c>
      <c r="N1922">
        <v>1</v>
      </c>
    </row>
    <row r="1923" spans="1:14" x14ac:dyDescent="0.25">
      <c r="A1923" t="s">
        <v>4142</v>
      </c>
      <c r="B1923" t="s">
        <v>1584</v>
      </c>
      <c r="C1923" t="s">
        <v>1585</v>
      </c>
      <c r="D1923" t="str">
        <f>VLOOKUP(J1923,Location[],2,FALSE)</f>
        <v>Omaha</v>
      </c>
      <c r="E1923" t="str">
        <f>VLOOKUP(J1923,Location[],3,FALSE)</f>
        <v> Nebraska</v>
      </c>
      <c r="F1923" t="str">
        <f>VLOOKUP(K1923,Dept[],2,FALSE)</f>
        <v>Customer Support</v>
      </c>
      <c r="G1923" s="11">
        <f t="shared" si="29"/>
        <v>44682</v>
      </c>
      <c r="H1923" t="str">
        <f>VLOOKUP(N1923,Status[],2,FALSE)</f>
        <v>Full-Time</v>
      </c>
      <c r="J1923" s="7">
        <v>1040</v>
      </c>
      <c r="K1923">
        <v>14</v>
      </c>
      <c r="L1923">
        <v>2022</v>
      </c>
      <c r="M1923">
        <v>5</v>
      </c>
      <c r="N1923">
        <v>1</v>
      </c>
    </row>
    <row r="1924" spans="1:14" x14ac:dyDescent="0.25">
      <c r="A1924" t="s">
        <v>4143</v>
      </c>
      <c r="B1924" t="s">
        <v>57</v>
      </c>
      <c r="C1924" t="s">
        <v>1687</v>
      </c>
      <c r="D1924" t="str">
        <f>VLOOKUP(J1924,Location[],2,FALSE)</f>
        <v>Baltimore</v>
      </c>
      <c r="E1924" t="str">
        <f>VLOOKUP(J1924,Location[],3,FALSE)</f>
        <v> Maryland</v>
      </c>
      <c r="F1924" t="str">
        <f>VLOOKUP(K1924,Dept[],2,FALSE)</f>
        <v>Assessment</v>
      </c>
      <c r="G1924" s="11">
        <f t="shared" si="29"/>
        <v>44287</v>
      </c>
      <c r="H1924" t="str">
        <f>VLOOKUP(N1924,Status[],2,FALSE)</f>
        <v>Part-Time</v>
      </c>
      <c r="J1924" s="7">
        <v>1030</v>
      </c>
      <c r="K1924">
        <v>13</v>
      </c>
      <c r="L1924">
        <v>2021</v>
      </c>
      <c r="M1924">
        <v>4</v>
      </c>
      <c r="N1924">
        <v>0</v>
      </c>
    </row>
    <row r="1925" spans="1:14" x14ac:dyDescent="0.25">
      <c r="A1925" t="s">
        <v>4144</v>
      </c>
      <c r="B1925" t="s">
        <v>1321</v>
      </c>
      <c r="C1925" t="s">
        <v>1322</v>
      </c>
      <c r="D1925" t="str">
        <f>VLOOKUP(J1925,Location[],2,FALSE)</f>
        <v>San Jose</v>
      </c>
      <c r="E1925" t="str">
        <f>VLOOKUP(J1925,Location[],3,FALSE)</f>
        <v> California</v>
      </c>
      <c r="F1925" t="str">
        <f>VLOOKUP(K1925,Dept[],2,FALSE)</f>
        <v>Customer Support</v>
      </c>
      <c r="G1925" s="11">
        <f t="shared" ref="G1925:G1988" si="30">DATE(L1925,M1925,1)</f>
        <v>42856</v>
      </c>
      <c r="H1925" t="str">
        <f>VLOOKUP(N1925,Status[],2,FALSE)</f>
        <v>Part-Time</v>
      </c>
      <c r="J1925" s="7">
        <v>1010</v>
      </c>
      <c r="K1925">
        <v>14</v>
      </c>
      <c r="L1925">
        <v>2017</v>
      </c>
      <c r="M1925">
        <v>5</v>
      </c>
      <c r="N1925">
        <v>0</v>
      </c>
    </row>
    <row r="1926" spans="1:14" x14ac:dyDescent="0.25">
      <c r="A1926" t="s">
        <v>4145</v>
      </c>
      <c r="B1926" t="s">
        <v>339</v>
      </c>
      <c r="C1926" t="s">
        <v>863</v>
      </c>
      <c r="D1926" t="str">
        <f>VLOOKUP(J1926,Location[],2,FALSE)</f>
        <v>Detroit</v>
      </c>
      <c r="E1926" t="str">
        <f>VLOOKUP(J1926,Location[],3,FALSE)</f>
        <v> Michigan</v>
      </c>
      <c r="F1926" t="str">
        <f>VLOOKUP(K1926,Dept[],2,FALSE)</f>
        <v>Legal</v>
      </c>
      <c r="G1926" s="11">
        <f t="shared" si="30"/>
        <v>42036</v>
      </c>
      <c r="H1926" t="str">
        <f>VLOOKUP(N1926,Status[],2,FALSE)</f>
        <v>Full-Time</v>
      </c>
      <c r="J1926" s="7">
        <v>1023</v>
      </c>
      <c r="K1926">
        <v>18</v>
      </c>
      <c r="L1926">
        <v>2015</v>
      </c>
      <c r="M1926">
        <v>2</v>
      </c>
      <c r="N1926">
        <v>1</v>
      </c>
    </row>
    <row r="1927" spans="1:14" x14ac:dyDescent="0.25">
      <c r="A1927" t="s">
        <v>4146</v>
      </c>
      <c r="B1927" t="s">
        <v>1521</v>
      </c>
      <c r="C1927" t="s">
        <v>863</v>
      </c>
      <c r="D1927" t="str">
        <f>VLOOKUP(J1927,Location[],2,FALSE)</f>
        <v>Houston</v>
      </c>
      <c r="E1927" t="str">
        <f>VLOOKUP(J1927,Location[],3,FALSE)</f>
        <v> Texas</v>
      </c>
      <c r="F1927" t="str">
        <f>VLOOKUP(K1927,Dept[],2,FALSE)</f>
        <v>Marketing</v>
      </c>
      <c r="G1927" s="11">
        <f t="shared" si="30"/>
        <v>45078</v>
      </c>
      <c r="H1927" t="str">
        <f>VLOOKUP(N1927,Status[],2,FALSE)</f>
        <v>Full-Time</v>
      </c>
      <c r="J1927" s="7">
        <v>1004</v>
      </c>
      <c r="K1927">
        <v>19</v>
      </c>
      <c r="L1927">
        <v>2023</v>
      </c>
      <c r="M1927">
        <v>6</v>
      </c>
      <c r="N1927">
        <v>1</v>
      </c>
    </row>
    <row r="1928" spans="1:14" x14ac:dyDescent="0.25">
      <c r="A1928" t="s">
        <v>4147</v>
      </c>
      <c r="B1928" t="s">
        <v>35</v>
      </c>
      <c r="C1928" t="s">
        <v>686</v>
      </c>
      <c r="D1928" t="str">
        <f>VLOOKUP(J1928,Location[],2,FALSE)</f>
        <v>Oklahoma City</v>
      </c>
      <c r="E1928" t="str">
        <f>VLOOKUP(J1928,Location[],3,FALSE)</f>
        <v> Oklahoma</v>
      </c>
      <c r="F1928" t="str">
        <f>VLOOKUP(K1928,Dept[],2,FALSE)</f>
        <v>Marketing</v>
      </c>
      <c r="G1928" s="11">
        <f t="shared" si="30"/>
        <v>41000</v>
      </c>
      <c r="H1928" t="str">
        <f>VLOOKUP(N1928,Status[],2,FALSE)</f>
        <v>Full-Time</v>
      </c>
      <c r="J1928" s="7">
        <v>1027</v>
      </c>
      <c r="K1928">
        <v>19</v>
      </c>
      <c r="L1928">
        <v>2012</v>
      </c>
      <c r="M1928">
        <v>4</v>
      </c>
      <c r="N1928">
        <v>1</v>
      </c>
    </row>
    <row r="1929" spans="1:14" x14ac:dyDescent="0.25">
      <c r="A1929" t="s">
        <v>4148</v>
      </c>
      <c r="B1929" t="s">
        <v>1692</v>
      </c>
      <c r="C1929" t="s">
        <v>686</v>
      </c>
      <c r="D1929" t="str">
        <f>VLOOKUP(J1929,Location[],2,FALSE)</f>
        <v>Boston</v>
      </c>
      <c r="E1929" t="str">
        <f>VLOOKUP(J1929,Location[],3,FALSE)</f>
        <v> Massachusetts</v>
      </c>
      <c r="F1929" t="str">
        <f>VLOOKUP(K1929,Dept[],2,FALSE)</f>
        <v>Human Resources</v>
      </c>
      <c r="G1929" s="11">
        <f t="shared" si="30"/>
        <v>41760</v>
      </c>
      <c r="H1929" t="str">
        <f>VLOOKUP(N1929,Status[],2,FALSE)</f>
        <v>Part-Time</v>
      </c>
      <c r="J1929" s="7">
        <v>1021</v>
      </c>
      <c r="K1929">
        <v>16</v>
      </c>
      <c r="L1929">
        <v>2014</v>
      </c>
      <c r="M1929">
        <v>5</v>
      </c>
      <c r="N1929">
        <v>0</v>
      </c>
    </row>
    <row r="1930" spans="1:14" x14ac:dyDescent="0.25">
      <c r="A1930" t="s">
        <v>4149</v>
      </c>
      <c r="B1930" t="s">
        <v>1302</v>
      </c>
      <c r="C1930" t="s">
        <v>686</v>
      </c>
      <c r="D1930" t="str">
        <f>VLOOKUP(J1930,Location[],2,FALSE)</f>
        <v>Dallas</v>
      </c>
      <c r="E1930" t="str">
        <f>VLOOKUP(J1930,Location[],3,FALSE)</f>
        <v> Texas</v>
      </c>
      <c r="F1930" t="str">
        <f>VLOOKUP(K1930,Dept[],2,FALSE)</f>
        <v>Marketing</v>
      </c>
      <c r="G1930" s="11">
        <f t="shared" si="30"/>
        <v>42005</v>
      </c>
      <c r="H1930" t="str">
        <f>VLOOKUP(N1930,Status[],2,FALSE)</f>
        <v>Part-Time</v>
      </c>
      <c r="J1930" s="7">
        <v>1009</v>
      </c>
      <c r="K1930">
        <v>19</v>
      </c>
      <c r="L1930">
        <v>2015</v>
      </c>
      <c r="M1930">
        <v>1</v>
      </c>
      <c r="N1930">
        <v>0</v>
      </c>
    </row>
    <row r="1931" spans="1:14" x14ac:dyDescent="0.25">
      <c r="A1931" t="s">
        <v>4150</v>
      </c>
      <c r="B1931" t="s">
        <v>27</v>
      </c>
      <c r="C1931" t="s">
        <v>686</v>
      </c>
      <c r="D1931" t="str">
        <f>VLOOKUP(J1931,Location[],2,FALSE)</f>
        <v>Memphis</v>
      </c>
      <c r="E1931" t="str">
        <f>VLOOKUP(J1931,Location[],3,FALSE)</f>
        <v> Tennessee</v>
      </c>
      <c r="F1931" t="str">
        <f>VLOOKUP(K1931,Dept[],2,FALSE)</f>
        <v>Accounting</v>
      </c>
      <c r="G1931" s="11">
        <f t="shared" si="30"/>
        <v>40969</v>
      </c>
      <c r="H1931" t="str">
        <f>VLOOKUP(N1931,Status[],2,FALSE)</f>
        <v>Full-Time</v>
      </c>
      <c r="J1931" s="7">
        <v>1025</v>
      </c>
      <c r="K1931">
        <v>11</v>
      </c>
      <c r="L1931">
        <v>2012</v>
      </c>
      <c r="M1931">
        <v>3</v>
      </c>
      <c r="N1931">
        <v>1</v>
      </c>
    </row>
    <row r="1932" spans="1:14" x14ac:dyDescent="0.25">
      <c r="A1932" t="s">
        <v>4151</v>
      </c>
      <c r="B1932" t="s">
        <v>108</v>
      </c>
      <c r="C1932" t="s">
        <v>686</v>
      </c>
      <c r="D1932" t="str">
        <f>VLOOKUP(J1932,Location[],2,FALSE)</f>
        <v>New York City</v>
      </c>
      <c r="E1932" t="str">
        <f>VLOOKUP(J1932,Location[],3,FALSE)</f>
        <v> New York</v>
      </c>
      <c r="F1932" t="str">
        <f>VLOOKUP(K1932,Dept[],2,FALSE)</f>
        <v>Administration</v>
      </c>
      <c r="G1932" s="11">
        <f t="shared" si="30"/>
        <v>41244</v>
      </c>
      <c r="H1932" t="str">
        <f>VLOOKUP(N1932,Status[],2,FALSE)</f>
        <v>Full-Time</v>
      </c>
      <c r="J1932" s="7">
        <v>1001</v>
      </c>
      <c r="K1932">
        <v>12</v>
      </c>
      <c r="L1932">
        <v>2012</v>
      </c>
      <c r="M1932">
        <v>12</v>
      </c>
      <c r="N1932">
        <v>1</v>
      </c>
    </row>
    <row r="1933" spans="1:14" x14ac:dyDescent="0.25">
      <c r="A1933" t="s">
        <v>4152</v>
      </c>
      <c r="B1933" t="s">
        <v>349</v>
      </c>
      <c r="C1933" t="s">
        <v>686</v>
      </c>
      <c r="D1933" t="str">
        <f>VLOOKUP(J1933,Location[],2,FALSE)</f>
        <v>Detroit</v>
      </c>
      <c r="E1933" t="str">
        <f>VLOOKUP(J1933,Location[],3,FALSE)</f>
        <v> Michigan</v>
      </c>
      <c r="F1933" t="str">
        <f>VLOOKUP(K1933,Dept[],2,FALSE)</f>
        <v>Customer Support</v>
      </c>
      <c r="G1933" s="11">
        <f t="shared" si="30"/>
        <v>41852</v>
      </c>
      <c r="H1933" t="str">
        <f>VLOOKUP(N1933,Status[],2,FALSE)</f>
        <v>Full-Time</v>
      </c>
      <c r="J1933" s="7">
        <v>1023</v>
      </c>
      <c r="K1933">
        <v>14</v>
      </c>
      <c r="L1933">
        <v>2014</v>
      </c>
      <c r="M1933">
        <v>8</v>
      </c>
      <c r="N1933">
        <v>1</v>
      </c>
    </row>
    <row r="1934" spans="1:14" x14ac:dyDescent="0.25">
      <c r="A1934" t="s">
        <v>4153</v>
      </c>
      <c r="B1934" t="s">
        <v>1754</v>
      </c>
      <c r="C1934" t="s">
        <v>686</v>
      </c>
      <c r="D1934" t="str">
        <f>VLOOKUP(J1934,Location[],2,FALSE)</f>
        <v>Plano</v>
      </c>
      <c r="E1934" t="str">
        <f>VLOOKUP(J1934,Location[],3,FALSE)</f>
        <v> Texas</v>
      </c>
      <c r="F1934" t="str">
        <f>VLOOKUP(K1934,Dept[],2,FALSE)</f>
        <v>Customer Support</v>
      </c>
      <c r="G1934" s="11">
        <f t="shared" si="30"/>
        <v>45108</v>
      </c>
      <c r="H1934" t="str">
        <f>VLOOKUP(N1934,Status[],2,FALSE)</f>
        <v>Full-Time</v>
      </c>
      <c r="J1934" s="7">
        <v>1069</v>
      </c>
      <c r="K1934">
        <v>14</v>
      </c>
      <c r="L1934">
        <v>2023</v>
      </c>
      <c r="M1934">
        <v>7</v>
      </c>
      <c r="N1934">
        <v>1</v>
      </c>
    </row>
    <row r="1935" spans="1:14" x14ac:dyDescent="0.25">
      <c r="A1935" t="s">
        <v>4154</v>
      </c>
      <c r="B1935" t="s">
        <v>685</v>
      </c>
      <c r="C1935" t="s">
        <v>686</v>
      </c>
      <c r="D1935" t="str">
        <f>VLOOKUP(J1935,Location[],2,FALSE)</f>
        <v>Los Angeles</v>
      </c>
      <c r="E1935" t="str">
        <f>VLOOKUP(J1935,Location[],3,FALSE)</f>
        <v> California</v>
      </c>
      <c r="F1935" t="str">
        <f>VLOOKUP(K1935,Dept[],2,FALSE)</f>
        <v>Accounting</v>
      </c>
      <c r="G1935" s="11">
        <f t="shared" si="30"/>
        <v>41091</v>
      </c>
      <c r="H1935" t="str">
        <f>VLOOKUP(N1935,Status[],2,FALSE)</f>
        <v>Full-Time</v>
      </c>
      <c r="J1935" s="7">
        <v>1002</v>
      </c>
      <c r="K1935">
        <v>11</v>
      </c>
      <c r="L1935">
        <v>2012</v>
      </c>
      <c r="M1935">
        <v>7</v>
      </c>
      <c r="N1935">
        <v>1</v>
      </c>
    </row>
    <row r="1936" spans="1:14" x14ac:dyDescent="0.25">
      <c r="A1936" t="s">
        <v>4155</v>
      </c>
      <c r="B1936" t="s">
        <v>1056</v>
      </c>
      <c r="C1936" t="s">
        <v>686</v>
      </c>
      <c r="D1936" t="str">
        <f>VLOOKUP(J1936,Location[],2,FALSE)</f>
        <v>San Jose</v>
      </c>
      <c r="E1936" t="str">
        <f>VLOOKUP(J1936,Location[],3,FALSE)</f>
        <v> California</v>
      </c>
      <c r="F1936" t="str">
        <f>VLOOKUP(K1936,Dept[],2,FALSE)</f>
        <v>Administration</v>
      </c>
      <c r="G1936" s="11">
        <f t="shared" si="30"/>
        <v>40634</v>
      </c>
      <c r="H1936" t="str">
        <f>VLOOKUP(N1936,Status[],2,FALSE)</f>
        <v>Full-Time</v>
      </c>
      <c r="J1936" s="7">
        <v>1010</v>
      </c>
      <c r="K1936">
        <v>12</v>
      </c>
      <c r="L1936">
        <v>2011</v>
      </c>
      <c r="M1936">
        <v>4</v>
      </c>
      <c r="N1936">
        <v>1</v>
      </c>
    </row>
    <row r="1937" spans="1:14" x14ac:dyDescent="0.25">
      <c r="A1937" t="s">
        <v>4156</v>
      </c>
      <c r="B1937" t="s">
        <v>1477</v>
      </c>
      <c r="C1937" t="s">
        <v>686</v>
      </c>
      <c r="D1937" t="str">
        <f>VLOOKUP(J1937,Location[],2,FALSE)</f>
        <v>Baltimore</v>
      </c>
      <c r="E1937" t="str">
        <f>VLOOKUP(J1937,Location[],3,FALSE)</f>
        <v> Maryland</v>
      </c>
      <c r="F1937" t="str">
        <f>VLOOKUP(K1937,Dept[],2,FALSE)</f>
        <v>Shipping</v>
      </c>
      <c r="G1937" s="11">
        <f t="shared" si="30"/>
        <v>44105</v>
      </c>
      <c r="H1937" t="str">
        <f>VLOOKUP(N1937,Status[],2,FALSE)</f>
        <v>Full-Time</v>
      </c>
      <c r="J1937" s="7">
        <v>1030</v>
      </c>
      <c r="K1937">
        <v>23</v>
      </c>
      <c r="L1937">
        <v>2020</v>
      </c>
      <c r="M1937">
        <v>10</v>
      </c>
      <c r="N1937">
        <v>1</v>
      </c>
    </row>
    <row r="1938" spans="1:14" x14ac:dyDescent="0.25">
      <c r="A1938" t="s">
        <v>4157</v>
      </c>
      <c r="B1938" t="s">
        <v>1652</v>
      </c>
      <c r="C1938" t="s">
        <v>686</v>
      </c>
      <c r="D1938" t="str">
        <f>VLOOKUP(J1938,Location[],2,FALSE)</f>
        <v>Chicago</v>
      </c>
      <c r="E1938" t="str">
        <f>VLOOKUP(J1938,Location[],3,FALSE)</f>
        <v> Illinois</v>
      </c>
      <c r="F1938" t="str">
        <f>VLOOKUP(K1938,Dept[],2,FALSE)</f>
        <v>Customer Support</v>
      </c>
      <c r="G1938" s="11">
        <f t="shared" si="30"/>
        <v>43800</v>
      </c>
      <c r="H1938" t="str">
        <f>VLOOKUP(N1938,Status[],2,FALSE)</f>
        <v>Full-Time</v>
      </c>
      <c r="J1938" s="7">
        <v>1003</v>
      </c>
      <c r="K1938">
        <v>14</v>
      </c>
      <c r="L1938">
        <v>2019</v>
      </c>
      <c r="M1938">
        <v>12</v>
      </c>
      <c r="N1938">
        <v>1</v>
      </c>
    </row>
    <row r="1939" spans="1:14" x14ac:dyDescent="0.25">
      <c r="A1939" t="s">
        <v>4158</v>
      </c>
      <c r="B1939" t="s">
        <v>515</v>
      </c>
      <c r="C1939" t="s">
        <v>516</v>
      </c>
      <c r="D1939" t="str">
        <f>VLOOKUP(J1939,Location[],2,FALSE)</f>
        <v>Scottsdale</v>
      </c>
      <c r="E1939" t="str">
        <f>VLOOKUP(J1939,Location[],3,FALSE)</f>
        <v> Arizona</v>
      </c>
      <c r="F1939" t="str">
        <f>VLOOKUP(K1939,Dept[],2,FALSE)</f>
        <v>Sales</v>
      </c>
      <c r="G1939" s="11">
        <f t="shared" si="30"/>
        <v>45017</v>
      </c>
      <c r="H1939" t="str">
        <f>VLOOKUP(N1939,Status[],2,FALSE)</f>
        <v>Part-Time</v>
      </c>
      <c r="J1939" s="7">
        <v>1085</v>
      </c>
      <c r="K1939">
        <v>22</v>
      </c>
      <c r="L1939">
        <v>2023</v>
      </c>
      <c r="M1939">
        <v>4</v>
      </c>
      <c r="N1939">
        <v>0</v>
      </c>
    </row>
    <row r="1940" spans="1:14" x14ac:dyDescent="0.25">
      <c r="A1940" t="s">
        <v>4159</v>
      </c>
      <c r="B1940" t="s">
        <v>831</v>
      </c>
      <c r="C1940" t="s">
        <v>832</v>
      </c>
      <c r="D1940" t="str">
        <f>VLOOKUP(J1940,Location[],2,FALSE)</f>
        <v>Fort Worth</v>
      </c>
      <c r="E1940" t="str">
        <f>VLOOKUP(J1940,Location[],3,FALSE)</f>
        <v> Texas</v>
      </c>
      <c r="F1940" t="str">
        <f>VLOOKUP(K1940,Dept[],2,FALSE)</f>
        <v>Administration</v>
      </c>
      <c r="G1940" s="11">
        <f t="shared" si="30"/>
        <v>42217</v>
      </c>
      <c r="H1940" t="str">
        <f>VLOOKUP(N1940,Status[],2,FALSE)</f>
        <v>Part-Time</v>
      </c>
      <c r="J1940" s="7">
        <v>1015</v>
      </c>
      <c r="K1940">
        <v>12</v>
      </c>
      <c r="L1940">
        <v>2015</v>
      </c>
      <c r="M1940">
        <v>8</v>
      </c>
      <c r="N1940">
        <v>0</v>
      </c>
    </row>
    <row r="1941" spans="1:14" x14ac:dyDescent="0.25">
      <c r="A1941" t="s">
        <v>4160</v>
      </c>
      <c r="B1941" t="s">
        <v>57</v>
      </c>
      <c r="C1941" t="s">
        <v>2100</v>
      </c>
      <c r="D1941" t="str">
        <f>VLOOKUP(J1941,Location[],2,FALSE)</f>
        <v>Jacksonville</v>
      </c>
      <c r="E1941" t="str">
        <f>VLOOKUP(J1941,Location[],3,FALSE)</f>
        <v> Florida</v>
      </c>
      <c r="F1941" t="str">
        <f>VLOOKUP(K1941,Dept[],2,FALSE)</f>
        <v>Marketing</v>
      </c>
      <c r="G1941" s="11">
        <f t="shared" si="30"/>
        <v>42278</v>
      </c>
      <c r="H1941" t="str">
        <f>VLOOKUP(N1941,Status[],2,FALSE)</f>
        <v>Full-Time</v>
      </c>
      <c r="J1941" s="7">
        <v>1012</v>
      </c>
      <c r="K1941">
        <v>19</v>
      </c>
      <c r="L1941">
        <v>2015</v>
      </c>
      <c r="M1941">
        <v>10</v>
      </c>
      <c r="N1941">
        <v>1</v>
      </c>
    </row>
    <row r="1942" spans="1:14" x14ac:dyDescent="0.25">
      <c r="A1942" t="s">
        <v>4161</v>
      </c>
      <c r="B1942" t="s">
        <v>882</v>
      </c>
      <c r="C1942" t="s">
        <v>883</v>
      </c>
      <c r="D1942" t="str">
        <f>VLOOKUP(J1942,Location[],2,FALSE)</f>
        <v>Buffalo</v>
      </c>
      <c r="E1942" t="str">
        <f>VLOOKUP(J1942,Location[],3,FALSE)</f>
        <v> New York</v>
      </c>
      <c r="F1942" t="str">
        <f>VLOOKUP(K1942,Dept[],2,FALSE)</f>
        <v>Accounting</v>
      </c>
      <c r="G1942" s="11">
        <f t="shared" si="30"/>
        <v>41153</v>
      </c>
      <c r="H1942" t="str">
        <f>VLOOKUP(N1942,Status[],2,FALSE)</f>
        <v>Full-Time</v>
      </c>
      <c r="J1942" s="7">
        <v>1081</v>
      </c>
      <c r="K1942">
        <v>11</v>
      </c>
      <c r="L1942">
        <v>2012</v>
      </c>
      <c r="M1942">
        <v>9</v>
      </c>
      <c r="N1942">
        <v>1</v>
      </c>
    </row>
    <row r="1943" spans="1:14" x14ac:dyDescent="0.25">
      <c r="A1943" t="s">
        <v>4162</v>
      </c>
      <c r="B1943" t="s">
        <v>606</v>
      </c>
      <c r="C1943" t="s">
        <v>1760</v>
      </c>
      <c r="D1943" t="str">
        <f>VLOOKUP(J1943,Location[],2,FALSE)</f>
        <v>Nashville</v>
      </c>
      <c r="E1943" t="str">
        <f>VLOOKUP(J1943,Location[],3,FALSE)</f>
        <v> Tennessee</v>
      </c>
      <c r="F1943" t="str">
        <f>VLOOKUP(K1943,Dept[],2,FALSE)</f>
        <v>Customer Support</v>
      </c>
      <c r="G1943" s="11">
        <f t="shared" si="30"/>
        <v>41548</v>
      </c>
      <c r="H1943" t="str">
        <f>VLOOKUP(N1943,Status[],2,FALSE)</f>
        <v>Full-Time</v>
      </c>
      <c r="J1943" s="7">
        <v>1024</v>
      </c>
      <c r="K1943">
        <v>14</v>
      </c>
      <c r="L1943">
        <v>2013</v>
      </c>
      <c r="M1943">
        <v>10</v>
      </c>
      <c r="N1943">
        <v>1</v>
      </c>
    </row>
    <row r="1944" spans="1:14" x14ac:dyDescent="0.25">
      <c r="A1944" t="s">
        <v>4163</v>
      </c>
      <c r="B1944" t="s">
        <v>385</v>
      </c>
      <c r="C1944" t="s">
        <v>386</v>
      </c>
      <c r="D1944" t="str">
        <f>VLOOKUP(J1944,Location[],2,FALSE)</f>
        <v>Newark</v>
      </c>
      <c r="E1944" t="str">
        <f>VLOOKUP(J1944,Location[],3,FALSE)</f>
        <v> New Jersey</v>
      </c>
      <c r="F1944" t="str">
        <f>VLOOKUP(K1944,Dept[],2,FALSE)</f>
        <v>Human Resources</v>
      </c>
      <c r="G1944" s="11">
        <f t="shared" si="30"/>
        <v>42826</v>
      </c>
      <c r="H1944" t="str">
        <f>VLOOKUP(N1944,Status[],2,FALSE)</f>
        <v>Full-Time</v>
      </c>
      <c r="J1944" s="7">
        <v>1070</v>
      </c>
      <c r="K1944">
        <v>16</v>
      </c>
      <c r="L1944">
        <v>2017</v>
      </c>
      <c r="M1944">
        <v>4</v>
      </c>
      <c r="N1944">
        <v>1</v>
      </c>
    </row>
    <row r="1945" spans="1:14" x14ac:dyDescent="0.25">
      <c r="A1945" t="s">
        <v>4164</v>
      </c>
      <c r="B1945" t="s">
        <v>1567</v>
      </c>
      <c r="C1945" t="s">
        <v>1568</v>
      </c>
      <c r="D1945" t="str">
        <f>VLOOKUP(J1945,Location[],2,FALSE)</f>
        <v>New Orleans</v>
      </c>
      <c r="E1945" t="str">
        <f>VLOOKUP(J1945,Location[],3,FALSE)</f>
        <v> Louisiana</v>
      </c>
      <c r="F1945" t="str">
        <f>VLOOKUP(K1945,Dept[],2,FALSE)</f>
        <v>Marketing</v>
      </c>
      <c r="G1945" s="11">
        <f t="shared" si="30"/>
        <v>42736</v>
      </c>
      <c r="H1945" t="str">
        <f>VLOOKUP(N1945,Status[],2,FALSE)</f>
        <v>Part-Time</v>
      </c>
      <c r="J1945" s="7">
        <v>1049</v>
      </c>
      <c r="K1945">
        <v>19</v>
      </c>
      <c r="L1945">
        <v>2017</v>
      </c>
      <c r="M1945">
        <v>1</v>
      </c>
      <c r="N1945">
        <v>0</v>
      </c>
    </row>
    <row r="1946" spans="1:14" x14ac:dyDescent="0.25">
      <c r="A1946" t="s">
        <v>4165</v>
      </c>
      <c r="B1946" t="s">
        <v>130</v>
      </c>
      <c r="C1946" t="s">
        <v>1079</v>
      </c>
      <c r="D1946" t="str">
        <f>VLOOKUP(J1946,Location[],2,FALSE)</f>
        <v>Orlando</v>
      </c>
      <c r="E1946" t="str">
        <f>VLOOKUP(J1946,Location[],3,FALSE)</f>
        <v> Florida</v>
      </c>
      <c r="F1946" t="str">
        <f>VLOOKUP(K1946,Dept[],2,FALSE)</f>
        <v>Administration</v>
      </c>
      <c r="G1946" s="11">
        <f t="shared" si="30"/>
        <v>43556</v>
      </c>
      <c r="H1946" t="str">
        <f>VLOOKUP(N1946,Status[],2,FALSE)</f>
        <v>Full-Time</v>
      </c>
      <c r="J1946" s="7">
        <v>1072</v>
      </c>
      <c r="K1946">
        <v>12</v>
      </c>
      <c r="L1946">
        <v>2019</v>
      </c>
      <c r="M1946">
        <v>4</v>
      </c>
      <c r="N1946">
        <v>1</v>
      </c>
    </row>
    <row r="1947" spans="1:14" x14ac:dyDescent="0.25">
      <c r="A1947" t="s">
        <v>4166</v>
      </c>
      <c r="B1947" t="s">
        <v>625</v>
      </c>
      <c r="C1947" t="s">
        <v>626</v>
      </c>
      <c r="D1947" t="str">
        <f>VLOOKUP(J1947,Location[],2,FALSE)</f>
        <v>Atlanta</v>
      </c>
      <c r="E1947" t="str">
        <f>VLOOKUP(J1947,Location[],3,FALSE)</f>
        <v> Georgia</v>
      </c>
      <c r="F1947" t="str">
        <f>VLOOKUP(K1947,Dept[],2,FALSE)</f>
        <v>Finance</v>
      </c>
      <c r="G1947" s="11">
        <f t="shared" si="30"/>
        <v>43070</v>
      </c>
      <c r="H1947" t="str">
        <f>VLOOKUP(N1947,Status[],2,FALSE)</f>
        <v>Full-Time</v>
      </c>
      <c r="J1947" s="7">
        <v>1038</v>
      </c>
      <c r="K1947">
        <v>15</v>
      </c>
      <c r="L1947">
        <v>2017</v>
      </c>
      <c r="M1947">
        <v>12</v>
      </c>
      <c r="N1947">
        <v>1</v>
      </c>
    </row>
    <row r="1948" spans="1:14" x14ac:dyDescent="0.25">
      <c r="A1948" t="s">
        <v>4167</v>
      </c>
      <c r="B1948" t="s">
        <v>906</v>
      </c>
      <c r="C1948" t="s">
        <v>626</v>
      </c>
      <c r="D1948" t="str">
        <f>VLOOKUP(J1948,Location[],2,FALSE)</f>
        <v>Scottsdale</v>
      </c>
      <c r="E1948" t="str">
        <f>VLOOKUP(J1948,Location[],3,FALSE)</f>
        <v> Arizona</v>
      </c>
      <c r="F1948" t="str">
        <f>VLOOKUP(K1948,Dept[],2,FALSE)</f>
        <v>Customer Support</v>
      </c>
      <c r="G1948" s="11">
        <f t="shared" si="30"/>
        <v>42064</v>
      </c>
      <c r="H1948" t="str">
        <f>VLOOKUP(N1948,Status[],2,FALSE)</f>
        <v>Full-Time</v>
      </c>
      <c r="J1948" s="7">
        <v>1085</v>
      </c>
      <c r="K1948">
        <v>14</v>
      </c>
      <c r="L1948">
        <v>2015</v>
      </c>
      <c r="M1948">
        <v>3</v>
      </c>
      <c r="N1948">
        <v>1</v>
      </c>
    </row>
    <row r="1949" spans="1:14" x14ac:dyDescent="0.25">
      <c r="A1949" t="s">
        <v>4168</v>
      </c>
      <c r="B1949" t="s">
        <v>1929</v>
      </c>
      <c r="C1949" t="s">
        <v>1930</v>
      </c>
      <c r="D1949" t="str">
        <f>VLOOKUP(J1949,Location[],2,FALSE)</f>
        <v>San Jose</v>
      </c>
      <c r="E1949" t="str">
        <f>VLOOKUP(J1949,Location[],3,FALSE)</f>
        <v> California</v>
      </c>
      <c r="F1949" t="str">
        <f>VLOOKUP(K1949,Dept[],2,FALSE)</f>
        <v>Administration</v>
      </c>
      <c r="G1949" s="11">
        <f t="shared" si="30"/>
        <v>41730</v>
      </c>
      <c r="H1949" t="str">
        <f>VLOOKUP(N1949,Status[],2,FALSE)</f>
        <v>Part-Time</v>
      </c>
      <c r="J1949" s="7">
        <v>1010</v>
      </c>
      <c r="K1949">
        <v>12</v>
      </c>
      <c r="L1949">
        <v>2014</v>
      </c>
      <c r="M1949">
        <v>4</v>
      </c>
      <c r="N1949">
        <v>0</v>
      </c>
    </row>
    <row r="1950" spans="1:14" x14ac:dyDescent="0.25">
      <c r="A1950" t="s">
        <v>4169</v>
      </c>
      <c r="B1950" t="s">
        <v>73</v>
      </c>
      <c r="C1950" t="s">
        <v>74</v>
      </c>
      <c r="D1950" t="str">
        <f>VLOOKUP(J1950,Location[],2,FALSE)</f>
        <v>Dallas</v>
      </c>
      <c r="E1950" t="str">
        <f>VLOOKUP(J1950,Location[],3,FALSE)</f>
        <v> Texas</v>
      </c>
      <c r="F1950" t="str">
        <f>VLOOKUP(K1950,Dept[],2,FALSE)</f>
        <v>Sales</v>
      </c>
      <c r="G1950" s="11">
        <f t="shared" si="30"/>
        <v>44440</v>
      </c>
      <c r="H1950" t="str">
        <f>VLOOKUP(N1950,Status[],2,FALSE)</f>
        <v>Full-Time</v>
      </c>
      <c r="J1950" s="7">
        <v>1009</v>
      </c>
      <c r="K1950">
        <v>22</v>
      </c>
      <c r="L1950">
        <v>2021</v>
      </c>
      <c r="M1950">
        <v>9</v>
      </c>
      <c r="N1950">
        <v>1</v>
      </c>
    </row>
    <row r="1951" spans="1:14" x14ac:dyDescent="0.25">
      <c r="A1951" t="s">
        <v>4170</v>
      </c>
      <c r="B1951" t="s">
        <v>817</v>
      </c>
      <c r="C1951" t="s">
        <v>818</v>
      </c>
      <c r="D1951" t="str">
        <f>VLOOKUP(J1951,Location[],2,FALSE)</f>
        <v>San Jose</v>
      </c>
      <c r="E1951" t="str">
        <f>VLOOKUP(J1951,Location[],3,FALSE)</f>
        <v> California</v>
      </c>
      <c r="F1951" t="str">
        <f>VLOOKUP(K1951,Dept[],2,FALSE)</f>
        <v>Media</v>
      </c>
      <c r="G1951" s="11">
        <f t="shared" si="30"/>
        <v>41730</v>
      </c>
      <c r="H1951" t="str">
        <f>VLOOKUP(N1951,Status[],2,FALSE)</f>
        <v>Full-Time</v>
      </c>
      <c r="J1951" s="7">
        <v>1010</v>
      </c>
      <c r="K1951">
        <v>20</v>
      </c>
      <c r="L1951">
        <v>2014</v>
      </c>
      <c r="M1951">
        <v>4</v>
      </c>
      <c r="N1951">
        <v>1</v>
      </c>
    </row>
    <row r="1952" spans="1:14" x14ac:dyDescent="0.25">
      <c r="A1952" t="s">
        <v>4171</v>
      </c>
      <c r="B1952" t="s">
        <v>1227</v>
      </c>
      <c r="C1952" t="s">
        <v>107</v>
      </c>
      <c r="D1952" t="str">
        <f>VLOOKUP(J1952,Location[],2,FALSE)</f>
        <v>New York City</v>
      </c>
      <c r="E1952" t="str">
        <f>VLOOKUP(J1952,Location[],3,FALSE)</f>
        <v> New York</v>
      </c>
      <c r="F1952" t="str">
        <f>VLOOKUP(K1952,Dept[],2,FALSE)</f>
        <v>Media</v>
      </c>
      <c r="G1952" s="11">
        <f t="shared" si="30"/>
        <v>44105</v>
      </c>
      <c r="H1952" t="str">
        <f>VLOOKUP(N1952,Status[],2,FALSE)</f>
        <v>Full-Time</v>
      </c>
      <c r="J1952" s="7">
        <v>1001</v>
      </c>
      <c r="K1952">
        <v>20</v>
      </c>
      <c r="L1952">
        <v>2020</v>
      </c>
      <c r="M1952">
        <v>10</v>
      </c>
      <c r="N1952">
        <v>1</v>
      </c>
    </row>
    <row r="1953" spans="1:14" x14ac:dyDescent="0.25">
      <c r="A1953" t="s">
        <v>4172</v>
      </c>
      <c r="B1953" t="s">
        <v>1644</v>
      </c>
      <c r="C1953" t="s">
        <v>107</v>
      </c>
      <c r="D1953" t="str">
        <f>VLOOKUP(J1953,Location[],2,FALSE)</f>
        <v>Riverside</v>
      </c>
      <c r="E1953" t="str">
        <f>VLOOKUP(J1953,Location[],3,FALSE)</f>
        <v> California</v>
      </c>
      <c r="F1953" t="str">
        <f>VLOOKUP(K1953,Dept[],2,FALSE)</f>
        <v>Assessment</v>
      </c>
      <c r="G1953" s="11">
        <f t="shared" si="30"/>
        <v>43800</v>
      </c>
      <c r="H1953" t="str">
        <f>VLOOKUP(N1953,Status[],2,FALSE)</f>
        <v>Full-Time</v>
      </c>
      <c r="J1953" s="7">
        <v>1058</v>
      </c>
      <c r="K1953">
        <v>13</v>
      </c>
      <c r="L1953">
        <v>2019</v>
      </c>
      <c r="M1953">
        <v>12</v>
      </c>
      <c r="N1953">
        <v>1</v>
      </c>
    </row>
    <row r="1954" spans="1:14" x14ac:dyDescent="0.25">
      <c r="A1954" t="s">
        <v>4173</v>
      </c>
      <c r="B1954" t="s">
        <v>1339</v>
      </c>
      <c r="C1954" t="s">
        <v>107</v>
      </c>
      <c r="D1954" t="str">
        <f>VLOOKUP(J1954,Location[],2,FALSE)</f>
        <v>Aurora</v>
      </c>
      <c r="E1954" t="str">
        <f>VLOOKUP(J1954,Location[],3,FALSE)</f>
        <v> Colorado</v>
      </c>
      <c r="F1954" t="str">
        <f>VLOOKUP(K1954,Dept[],2,FALSE)</f>
        <v>Assessment</v>
      </c>
      <c r="G1954" s="11">
        <f t="shared" si="30"/>
        <v>44986</v>
      </c>
      <c r="H1954" t="str">
        <f>VLOOKUP(N1954,Status[],2,FALSE)</f>
        <v>Full-Time</v>
      </c>
      <c r="J1954" s="7">
        <v>1054</v>
      </c>
      <c r="K1954">
        <v>13</v>
      </c>
      <c r="L1954">
        <v>2023</v>
      </c>
      <c r="M1954">
        <v>3</v>
      </c>
      <c r="N1954">
        <v>1</v>
      </c>
    </row>
    <row r="1955" spans="1:14" x14ac:dyDescent="0.25">
      <c r="A1955" t="s">
        <v>4174</v>
      </c>
      <c r="B1955" t="s">
        <v>117</v>
      </c>
      <c r="C1955" t="s">
        <v>107</v>
      </c>
      <c r="D1955" t="str">
        <f>VLOOKUP(J1955,Location[],2,FALSE)</f>
        <v>Fort Worth</v>
      </c>
      <c r="E1955" t="str">
        <f>VLOOKUP(J1955,Location[],3,FALSE)</f>
        <v> Texas</v>
      </c>
      <c r="F1955" t="str">
        <f>VLOOKUP(K1955,Dept[],2,FALSE)</f>
        <v>Customer Support</v>
      </c>
      <c r="G1955" s="11">
        <f t="shared" si="30"/>
        <v>43983</v>
      </c>
      <c r="H1955" t="str">
        <f>VLOOKUP(N1955,Status[],2,FALSE)</f>
        <v>Full-Time</v>
      </c>
      <c r="J1955" s="7">
        <v>1015</v>
      </c>
      <c r="K1955">
        <v>14</v>
      </c>
      <c r="L1955">
        <v>2020</v>
      </c>
      <c r="M1955">
        <v>6</v>
      </c>
      <c r="N1955">
        <v>1</v>
      </c>
    </row>
    <row r="1956" spans="1:14" x14ac:dyDescent="0.25">
      <c r="A1956" t="s">
        <v>4175</v>
      </c>
      <c r="B1956" t="s">
        <v>339</v>
      </c>
      <c r="C1956" t="s">
        <v>107</v>
      </c>
      <c r="D1956" t="str">
        <f>VLOOKUP(J1956,Location[],2,FALSE)</f>
        <v>Anaheim</v>
      </c>
      <c r="E1956" t="str">
        <f>VLOOKUP(J1956,Location[],3,FALSE)</f>
        <v> California</v>
      </c>
      <c r="F1956" t="str">
        <f>VLOOKUP(K1956,Dept[],2,FALSE)</f>
        <v>Administration</v>
      </c>
      <c r="G1956" s="11">
        <f t="shared" si="30"/>
        <v>44621</v>
      </c>
      <c r="H1956" t="str">
        <f>VLOOKUP(N1956,Status[],2,FALSE)</f>
        <v>Part-Time</v>
      </c>
      <c r="J1956" s="7">
        <v>1055</v>
      </c>
      <c r="K1956">
        <v>12</v>
      </c>
      <c r="L1956">
        <v>2022</v>
      </c>
      <c r="M1956">
        <v>3</v>
      </c>
      <c r="N1956">
        <v>0</v>
      </c>
    </row>
    <row r="1957" spans="1:14" x14ac:dyDescent="0.25">
      <c r="A1957" t="s">
        <v>4176</v>
      </c>
      <c r="B1957" t="s">
        <v>108</v>
      </c>
      <c r="C1957" t="s">
        <v>107</v>
      </c>
      <c r="D1957" t="str">
        <f>VLOOKUP(J1957,Location[],2,FALSE)</f>
        <v>Louisville</v>
      </c>
      <c r="E1957" t="str">
        <f>VLOOKUP(J1957,Location[],3,FALSE)</f>
        <v> Kentucky</v>
      </c>
      <c r="F1957" t="str">
        <f>VLOOKUP(K1957,Dept[],2,FALSE)</f>
        <v>IT</v>
      </c>
      <c r="G1957" s="11">
        <f t="shared" si="30"/>
        <v>42278</v>
      </c>
      <c r="H1957" t="str">
        <f>VLOOKUP(N1957,Status[],2,FALSE)</f>
        <v>Part-Time</v>
      </c>
      <c r="J1957" s="7">
        <v>1029</v>
      </c>
      <c r="K1957">
        <v>17</v>
      </c>
      <c r="L1957">
        <v>2015</v>
      </c>
      <c r="M1957">
        <v>10</v>
      </c>
      <c r="N1957">
        <v>0</v>
      </c>
    </row>
    <row r="1958" spans="1:14" x14ac:dyDescent="0.25">
      <c r="A1958" t="s">
        <v>4177</v>
      </c>
      <c r="B1958" t="s">
        <v>477</v>
      </c>
      <c r="C1958" t="s">
        <v>107</v>
      </c>
      <c r="D1958" t="str">
        <f>VLOOKUP(J1958,Location[],2,FALSE)</f>
        <v>Tampa</v>
      </c>
      <c r="E1958" t="str">
        <f>VLOOKUP(J1958,Location[],3,FALSE)</f>
        <v> Florida</v>
      </c>
      <c r="F1958" t="str">
        <f>VLOOKUP(K1958,Dept[],2,FALSE)</f>
        <v>Finance</v>
      </c>
      <c r="G1958" s="11">
        <f t="shared" si="30"/>
        <v>41518</v>
      </c>
      <c r="H1958" t="str">
        <f>VLOOKUP(N1958,Status[],2,FALSE)</f>
        <v>Full-Time</v>
      </c>
      <c r="J1958" s="7">
        <v>1052</v>
      </c>
      <c r="K1958">
        <v>15</v>
      </c>
      <c r="L1958">
        <v>2013</v>
      </c>
      <c r="M1958">
        <v>9</v>
      </c>
      <c r="N1958">
        <v>1</v>
      </c>
    </row>
    <row r="1959" spans="1:14" x14ac:dyDescent="0.25">
      <c r="A1959" t="s">
        <v>4178</v>
      </c>
      <c r="B1959" t="s">
        <v>83</v>
      </c>
      <c r="C1959" t="s">
        <v>107</v>
      </c>
      <c r="D1959" t="str">
        <f>VLOOKUP(J1959,Location[],2,FALSE)</f>
        <v>Los Angeles</v>
      </c>
      <c r="E1959" t="str">
        <f>VLOOKUP(J1959,Location[],3,FALSE)</f>
        <v> California</v>
      </c>
      <c r="F1959" t="str">
        <f>VLOOKUP(K1959,Dept[],2,FALSE)</f>
        <v>Human Resources</v>
      </c>
      <c r="G1959" s="11">
        <f t="shared" si="30"/>
        <v>45047</v>
      </c>
      <c r="H1959" t="str">
        <f>VLOOKUP(N1959,Status[],2,FALSE)</f>
        <v>Full-Time</v>
      </c>
      <c r="J1959" s="7">
        <v>1002</v>
      </c>
      <c r="K1959">
        <v>16</v>
      </c>
      <c r="L1959">
        <v>2023</v>
      </c>
      <c r="M1959">
        <v>5</v>
      </c>
      <c r="N1959">
        <v>1</v>
      </c>
    </row>
    <row r="1960" spans="1:14" x14ac:dyDescent="0.25">
      <c r="A1960" t="s">
        <v>4179</v>
      </c>
      <c r="B1960" t="s">
        <v>427</v>
      </c>
      <c r="C1960" t="s">
        <v>107</v>
      </c>
      <c r="D1960" t="str">
        <f>VLOOKUP(J1960,Location[],2,FALSE)</f>
        <v>Austin</v>
      </c>
      <c r="E1960" t="str">
        <f>VLOOKUP(J1960,Location[],3,FALSE)</f>
        <v> Texas</v>
      </c>
      <c r="F1960" t="str">
        <f>VLOOKUP(K1960,Dept[],2,FALSE)</f>
        <v>Finance</v>
      </c>
      <c r="G1960" s="11">
        <f t="shared" si="30"/>
        <v>42156</v>
      </c>
      <c r="H1960" t="str">
        <f>VLOOKUP(N1960,Status[],2,FALSE)</f>
        <v>Part-Time</v>
      </c>
      <c r="J1960" s="7">
        <v>1011</v>
      </c>
      <c r="K1960">
        <v>15</v>
      </c>
      <c r="L1960">
        <v>2015</v>
      </c>
      <c r="M1960">
        <v>6</v>
      </c>
      <c r="N1960">
        <v>0</v>
      </c>
    </row>
    <row r="1961" spans="1:14" x14ac:dyDescent="0.25">
      <c r="A1961" t="s">
        <v>4180</v>
      </c>
      <c r="B1961" t="s">
        <v>5</v>
      </c>
      <c r="C1961" t="s">
        <v>107</v>
      </c>
      <c r="D1961" t="str">
        <f>VLOOKUP(J1961,Location[],2,FALSE)</f>
        <v>Columbus</v>
      </c>
      <c r="E1961" t="str">
        <f>VLOOKUP(J1961,Location[],3,FALSE)</f>
        <v> Ohio</v>
      </c>
      <c r="F1961" t="str">
        <f>VLOOKUP(K1961,Dept[],2,FALSE)</f>
        <v>Accounting</v>
      </c>
      <c r="G1961" s="11">
        <f t="shared" si="30"/>
        <v>40634</v>
      </c>
      <c r="H1961" t="str">
        <f>VLOOKUP(N1961,Status[],2,FALSE)</f>
        <v>Full-Time</v>
      </c>
      <c r="J1961" s="7">
        <v>1014</v>
      </c>
      <c r="K1961">
        <v>11</v>
      </c>
      <c r="L1961">
        <v>2011</v>
      </c>
      <c r="M1961">
        <v>4</v>
      </c>
      <c r="N1961">
        <v>1</v>
      </c>
    </row>
    <row r="1962" spans="1:14" x14ac:dyDescent="0.25">
      <c r="A1962" t="s">
        <v>4181</v>
      </c>
      <c r="B1962" t="s">
        <v>1889</v>
      </c>
      <c r="C1962" t="s">
        <v>773</v>
      </c>
      <c r="D1962" t="str">
        <f>VLOOKUP(J1962,Location[],2,FALSE)</f>
        <v>Los Angeles</v>
      </c>
      <c r="E1962" t="str">
        <f>VLOOKUP(J1962,Location[],3,FALSE)</f>
        <v> California</v>
      </c>
      <c r="F1962" t="str">
        <f>VLOOKUP(K1962,Dept[],2,FALSE)</f>
        <v>Accounting</v>
      </c>
      <c r="G1962" s="11">
        <f t="shared" si="30"/>
        <v>42736</v>
      </c>
      <c r="H1962" t="str">
        <f>VLOOKUP(N1962,Status[],2,FALSE)</f>
        <v>Full-Time</v>
      </c>
      <c r="J1962" s="7">
        <v>1002</v>
      </c>
      <c r="K1962">
        <v>11</v>
      </c>
      <c r="L1962">
        <v>2017</v>
      </c>
      <c r="M1962">
        <v>1</v>
      </c>
      <c r="N1962">
        <v>1</v>
      </c>
    </row>
    <row r="1963" spans="1:14" x14ac:dyDescent="0.25">
      <c r="A1963" t="s">
        <v>4182</v>
      </c>
      <c r="B1963" t="s">
        <v>190</v>
      </c>
      <c r="C1963" t="s">
        <v>1904</v>
      </c>
      <c r="D1963" t="str">
        <f>VLOOKUP(J1963,Location[],2,FALSE)</f>
        <v>Las Vegas</v>
      </c>
      <c r="E1963" t="str">
        <f>VLOOKUP(J1963,Location[],3,FALSE)</f>
        <v> Nevada</v>
      </c>
      <c r="F1963" t="str">
        <f>VLOOKUP(K1963,Dept[],2,FALSE)</f>
        <v>Accounting</v>
      </c>
      <c r="G1963" s="11">
        <f t="shared" si="30"/>
        <v>44501</v>
      </c>
      <c r="H1963" t="str">
        <f>VLOOKUP(N1963,Status[],2,FALSE)</f>
        <v>Part-Time</v>
      </c>
      <c r="J1963" s="7">
        <v>1028</v>
      </c>
      <c r="K1963">
        <v>11</v>
      </c>
      <c r="L1963">
        <v>2021</v>
      </c>
      <c r="M1963">
        <v>11</v>
      </c>
      <c r="N1963">
        <v>0</v>
      </c>
    </row>
    <row r="1964" spans="1:14" x14ac:dyDescent="0.25">
      <c r="A1964" t="s">
        <v>4183</v>
      </c>
      <c r="B1964" t="s">
        <v>181</v>
      </c>
      <c r="C1964" t="s">
        <v>315</v>
      </c>
      <c r="D1964" t="str">
        <f>VLOOKUP(J1964,Location[],2,FALSE)</f>
        <v>Los Angeles</v>
      </c>
      <c r="E1964" t="str">
        <f>VLOOKUP(J1964,Location[],3,FALSE)</f>
        <v> California</v>
      </c>
      <c r="F1964" t="str">
        <f>VLOOKUP(K1964,Dept[],2,FALSE)</f>
        <v>Marketing</v>
      </c>
      <c r="G1964" s="11">
        <f t="shared" si="30"/>
        <v>40725</v>
      </c>
      <c r="H1964" t="str">
        <f>VLOOKUP(N1964,Status[],2,FALSE)</f>
        <v>Full-Time</v>
      </c>
      <c r="J1964" s="7">
        <v>1002</v>
      </c>
      <c r="K1964">
        <v>19</v>
      </c>
      <c r="L1964">
        <v>2011</v>
      </c>
      <c r="M1964">
        <v>7</v>
      </c>
      <c r="N1964">
        <v>1</v>
      </c>
    </row>
    <row r="1965" spans="1:14" x14ac:dyDescent="0.25">
      <c r="A1965" t="s">
        <v>4184</v>
      </c>
      <c r="B1965" t="s">
        <v>1310</v>
      </c>
      <c r="C1965" t="s">
        <v>315</v>
      </c>
      <c r="D1965" t="str">
        <f>VLOOKUP(J1965,Location[],2,FALSE)</f>
        <v>Indianapolis</v>
      </c>
      <c r="E1965" t="str">
        <f>VLOOKUP(J1965,Location[],3,FALSE)</f>
        <v> Indiana</v>
      </c>
      <c r="F1965" t="str">
        <f>VLOOKUP(K1965,Dept[],2,FALSE)</f>
        <v>Shipping</v>
      </c>
      <c r="G1965" s="11">
        <f t="shared" si="30"/>
        <v>42278</v>
      </c>
      <c r="H1965" t="str">
        <f>VLOOKUP(N1965,Status[],2,FALSE)</f>
        <v>Full-Time</v>
      </c>
      <c r="J1965" s="7">
        <v>1016</v>
      </c>
      <c r="K1965">
        <v>23</v>
      </c>
      <c r="L1965">
        <v>2015</v>
      </c>
      <c r="M1965">
        <v>10</v>
      </c>
      <c r="N1965">
        <v>1</v>
      </c>
    </row>
    <row r="1966" spans="1:14" x14ac:dyDescent="0.25">
      <c r="A1966" t="s">
        <v>4185</v>
      </c>
      <c r="B1966" t="s">
        <v>1313</v>
      </c>
      <c r="C1966" t="s">
        <v>315</v>
      </c>
      <c r="D1966" t="str">
        <f>VLOOKUP(J1966,Location[],2,FALSE)</f>
        <v>Atlanta</v>
      </c>
      <c r="E1966" t="str">
        <f>VLOOKUP(J1966,Location[],3,FALSE)</f>
        <v> Georgia</v>
      </c>
      <c r="F1966" t="str">
        <f>VLOOKUP(K1966,Dept[],2,FALSE)</f>
        <v>Media</v>
      </c>
      <c r="G1966" s="11">
        <f t="shared" si="30"/>
        <v>43435</v>
      </c>
      <c r="H1966" t="str">
        <f>VLOOKUP(N1966,Status[],2,FALSE)</f>
        <v>Full-Time</v>
      </c>
      <c r="J1966" s="7">
        <v>1038</v>
      </c>
      <c r="K1966">
        <v>20</v>
      </c>
      <c r="L1966">
        <v>2018</v>
      </c>
      <c r="M1966">
        <v>12</v>
      </c>
      <c r="N1966">
        <v>1</v>
      </c>
    </row>
    <row r="1967" spans="1:14" x14ac:dyDescent="0.25">
      <c r="A1967" t="s">
        <v>4186</v>
      </c>
      <c r="B1967" t="s">
        <v>2041</v>
      </c>
      <c r="C1967" t="s">
        <v>315</v>
      </c>
      <c r="D1967" t="str">
        <f>VLOOKUP(J1967,Location[],2,FALSE)</f>
        <v>El Paso</v>
      </c>
      <c r="E1967" t="str">
        <f>VLOOKUP(J1967,Location[],3,FALSE)</f>
        <v> Texas</v>
      </c>
      <c r="F1967" t="str">
        <f>VLOOKUP(K1967,Dept[],2,FALSE)</f>
        <v>Sales</v>
      </c>
      <c r="G1967" s="11">
        <f t="shared" si="30"/>
        <v>43497</v>
      </c>
      <c r="H1967" t="str">
        <f>VLOOKUP(N1967,Status[],2,FALSE)</f>
        <v>Full-Time</v>
      </c>
      <c r="J1967" s="7">
        <v>1022</v>
      </c>
      <c r="K1967">
        <v>22</v>
      </c>
      <c r="L1967">
        <v>2019</v>
      </c>
      <c r="M1967">
        <v>2</v>
      </c>
      <c r="N1967">
        <v>1</v>
      </c>
    </row>
    <row r="1968" spans="1:14" x14ac:dyDescent="0.25">
      <c r="A1968" t="s">
        <v>4187</v>
      </c>
      <c r="B1968" t="s">
        <v>1180</v>
      </c>
      <c r="C1968" t="s">
        <v>315</v>
      </c>
      <c r="D1968" t="str">
        <f>VLOOKUP(J1968,Location[],2,FALSE)</f>
        <v>Houston</v>
      </c>
      <c r="E1968" t="str">
        <f>VLOOKUP(J1968,Location[],3,FALSE)</f>
        <v> Texas</v>
      </c>
      <c r="F1968" t="str">
        <f>VLOOKUP(K1968,Dept[],2,FALSE)</f>
        <v>Accounting</v>
      </c>
      <c r="G1968" s="11">
        <f t="shared" si="30"/>
        <v>43831</v>
      </c>
      <c r="H1968" t="str">
        <f>VLOOKUP(N1968,Status[],2,FALSE)</f>
        <v>Full-Time</v>
      </c>
      <c r="J1968" s="7">
        <v>1004</v>
      </c>
      <c r="K1968">
        <v>11</v>
      </c>
      <c r="L1968">
        <v>2020</v>
      </c>
      <c r="M1968">
        <v>1</v>
      </c>
      <c r="N1968">
        <v>1</v>
      </c>
    </row>
    <row r="1969" spans="1:14" x14ac:dyDescent="0.25">
      <c r="A1969" t="s">
        <v>4188</v>
      </c>
      <c r="B1969" t="s">
        <v>606</v>
      </c>
      <c r="C1969" t="s">
        <v>315</v>
      </c>
      <c r="D1969" t="str">
        <f>VLOOKUP(J1969,Location[],2,FALSE)</f>
        <v>Cincinnati</v>
      </c>
      <c r="E1969" t="str">
        <f>VLOOKUP(J1969,Location[],3,FALSE)</f>
        <v> Ohio</v>
      </c>
      <c r="F1969" t="str">
        <f>VLOOKUP(K1969,Dept[],2,FALSE)</f>
        <v>Marketing</v>
      </c>
      <c r="G1969" s="11">
        <f t="shared" si="30"/>
        <v>43070</v>
      </c>
      <c r="H1969" t="str">
        <f>VLOOKUP(N1969,Status[],2,FALSE)</f>
        <v>Part-Time</v>
      </c>
      <c r="J1969" s="7">
        <v>1066</v>
      </c>
      <c r="K1969">
        <v>19</v>
      </c>
      <c r="L1969">
        <v>2017</v>
      </c>
      <c r="M1969">
        <v>12</v>
      </c>
      <c r="N1969">
        <v>0</v>
      </c>
    </row>
    <row r="1970" spans="1:14" x14ac:dyDescent="0.25">
      <c r="A1970" t="s">
        <v>4189</v>
      </c>
      <c r="B1970" t="s">
        <v>165</v>
      </c>
      <c r="C1970" t="s">
        <v>315</v>
      </c>
      <c r="D1970" t="str">
        <f>VLOOKUP(J1970,Location[],2,FALSE)</f>
        <v>Stockton</v>
      </c>
      <c r="E1970" t="str">
        <f>VLOOKUP(J1970,Location[],3,FALSE)</f>
        <v> California</v>
      </c>
      <c r="F1970" t="str">
        <f>VLOOKUP(K1970,Dept[],2,FALSE)</f>
        <v>Administration</v>
      </c>
      <c r="G1970" s="11">
        <f t="shared" si="30"/>
        <v>44105</v>
      </c>
      <c r="H1970" t="str">
        <f>VLOOKUP(N1970,Status[],2,FALSE)</f>
        <v>Full-Time</v>
      </c>
      <c r="J1970" s="7">
        <v>1061</v>
      </c>
      <c r="K1970">
        <v>12</v>
      </c>
      <c r="L1970">
        <v>2020</v>
      </c>
      <c r="M1970">
        <v>10</v>
      </c>
      <c r="N1970">
        <v>1</v>
      </c>
    </row>
    <row r="1971" spans="1:14" x14ac:dyDescent="0.25">
      <c r="A1971" t="s">
        <v>4190</v>
      </c>
      <c r="B1971" t="s">
        <v>1051</v>
      </c>
      <c r="C1971" t="s">
        <v>315</v>
      </c>
      <c r="D1971" t="str">
        <f>VLOOKUP(J1971,Location[],2,FALSE)</f>
        <v>Santa Ana</v>
      </c>
      <c r="E1971" t="str">
        <f>VLOOKUP(J1971,Location[],3,FALSE)</f>
        <v> California</v>
      </c>
      <c r="F1971" t="str">
        <f>VLOOKUP(K1971,Dept[],2,FALSE)</f>
        <v>R&amp;D</v>
      </c>
      <c r="G1971" s="11">
        <f t="shared" si="30"/>
        <v>41487</v>
      </c>
      <c r="H1971" t="str">
        <f>VLOOKUP(N1971,Status[],2,FALSE)</f>
        <v>Full-Time</v>
      </c>
      <c r="J1971" s="7">
        <v>1057</v>
      </c>
      <c r="K1971">
        <v>21</v>
      </c>
      <c r="L1971">
        <v>2013</v>
      </c>
      <c r="M1971">
        <v>8</v>
      </c>
      <c r="N1971">
        <v>1</v>
      </c>
    </row>
    <row r="1972" spans="1:14" x14ac:dyDescent="0.25">
      <c r="A1972" t="s">
        <v>4191</v>
      </c>
      <c r="B1972" t="s">
        <v>902</v>
      </c>
      <c r="C1972" t="s">
        <v>315</v>
      </c>
      <c r="D1972" t="str">
        <f>VLOOKUP(J1972,Location[],2,FALSE)</f>
        <v>San Francisco</v>
      </c>
      <c r="E1972" t="str">
        <f>VLOOKUP(J1972,Location[],3,FALSE)</f>
        <v> California</v>
      </c>
      <c r="F1972" t="str">
        <f>VLOOKUP(K1972,Dept[],2,FALSE)</f>
        <v>Administration</v>
      </c>
      <c r="G1972" s="11">
        <f t="shared" si="30"/>
        <v>45047</v>
      </c>
      <c r="H1972" t="str">
        <f>VLOOKUP(N1972,Status[],2,FALSE)</f>
        <v>Full-Time</v>
      </c>
      <c r="J1972" s="7">
        <v>1013</v>
      </c>
      <c r="K1972">
        <v>12</v>
      </c>
      <c r="L1972">
        <v>2023</v>
      </c>
      <c r="M1972">
        <v>5</v>
      </c>
      <c r="N1972">
        <v>1</v>
      </c>
    </row>
    <row r="1973" spans="1:14" x14ac:dyDescent="0.25">
      <c r="A1973" t="s">
        <v>4192</v>
      </c>
      <c r="B1973" t="s">
        <v>337</v>
      </c>
      <c r="C1973" t="s">
        <v>315</v>
      </c>
      <c r="D1973" t="str">
        <f>VLOOKUP(J1973,Location[],2,FALSE)</f>
        <v>Memphis</v>
      </c>
      <c r="E1973" t="str">
        <f>VLOOKUP(J1973,Location[],3,FALSE)</f>
        <v> Tennessee</v>
      </c>
      <c r="F1973" t="str">
        <f>VLOOKUP(K1973,Dept[],2,FALSE)</f>
        <v>Marketing</v>
      </c>
      <c r="G1973" s="11">
        <f t="shared" si="30"/>
        <v>44409</v>
      </c>
      <c r="H1973" t="str">
        <f>VLOOKUP(N1973,Status[],2,FALSE)</f>
        <v>Full-Time</v>
      </c>
      <c r="J1973" s="7">
        <v>1025</v>
      </c>
      <c r="K1973">
        <v>19</v>
      </c>
      <c r="L1973">
        <v>2021</v>
      </c>
      <c r="M1973">
        <v>8</v>
      </c>
      <c r="N1973">
        <v>1</v>
      </c>
    </row>
    <row r="1974" spans="1:14" x14ac:dyDescent="0.25">
      <c r="A1974" t="s">
        <v>4193</v>
      </c>
      <c r="B1974" t="s">
        <v>5</v>
      </c>
      <c r="C1974" t="s">
        <v>315</v>
      </c>
      <c r="D1974" t="str">
        <f>VLOOKUP(J1974,Location[],2,FALSE)</f>
        <v>Nashville</v>
      </c>
      <c r="E1974" t="str">
        <f>VLOOKUP(J1974,Location[],3,FALSE)</f>
        <v> Tennessee</v>
      </c>
      <c r="F1974" t="str">
        <f>VLOOKUP(K1974,Dept[],2,FALSE)</f>
        <v>Accounting</v>
      </c>
      <c r="G1974" s="11">
        <f t="shared" si="30"/>
        <v>42948</v>
      </c>
      <c r="H1974" t="str">
        <f>VLOOKUP(N1974,Status[],2,FALSE)</f>
        <v>Full-Time</v>
      </c>
      <c r="J1974" s="7">
        <v>1024</v>
      </c>
      <c r="K1974">
        <v>11</v>
      </c>
      <c r="L1974">
        <v>2017</v>
      </c>
      <c r="M1974">
        <v>8</v>
      </c>
      <c r="N1974">
        <v>1</v>
      </c>
    </row>
    <row r="1975" spans="1:14" x14ac:dyDescent="0.25">
      <c r="A1975" t="s">
        <v>4194</v>
      </c>
      <c r="B1975" t="s">
        <v>5</v>
      </c>
      <c r="C1975" t="s">
        <v>315</v>
      </c>
      <c r="D1975" t="str">
        <f>VLOOKUP(J1975,Location[],2,FALSE)</f>
        <v>Fort Worth</v>
      </c>
      <c r="E1975" t="str">
        <f>VLOOKUP(J1975,Location[],3,FALSE)</f>
        <v> Texas</v>
      </c>
      <c r="F1975" t="str">
        <f>VLOOKUP(K1975,Dept[],2,FALSE)</f>
        <v>Marketing</v>
      </c>
      <c r="G1975" s="11">
        <f t="shared" si="30"/>
        <v>41214</v>
      </c>
      <c r="H1975" t="str">
        <f>VLOOKUP(N1975,Status[],2,FALSE)</f>
        <v>Full-Time</v>
      </c>
      <c r="J1975" s="7">
        <v>1015</v>
      </c>
      <c r="K1975">
        <v>19</v>
      </c>
      <c r="L1975">
        <v>2012</v>
      </c>
      <c r="M1975">
        <v>11</v>
      </c>
      <c r="N1975">
        <v>1</v>
      </c>
    </row>
    <row r="1976" spans="1:14" x14ac:dyDescent="0.25">
      <c r="A1976" t="s">
        <v>4195</v>
      </c>
      <c r="B1976" t="s">
        <v>349</v>
      </c>
      <c r="C1976" t="s">
        <v>350</v>
      </c>
      <c r="D1976" t="str">
        <f>VLOOKUP(J1976,Location[],2,FALSE)</f>
        <v>Oakland</v>
      </c>
      <c r="E1976" t="str">
        <f>VLOOKUP(J1976,Location[],3,FALSE)</f>
        <v> California</v>
      </c>
      <c r="F1976" t="str">
        <f>VLOOKUP(K1976,Dept[],2,FALSE)</f>
        <v>Finance</v>
      </c>
      <c r="G1976" s="11">
        <f t="shared" si="30"/>
        <v>41699</v>
      </c>
      <c r="H1976" t="str">
        <f>VLOOKUP(N1976,Status[],2,FALSE)</f>
        <v>Full-Time</v>
      </c>
      <c r="J1976" s="7">
        <v>1045</v>
      </c>
      <c r="K1976">
        <v>15</v>
      </c>
      <c r="L1976">
        <v>2014</v>
      </c>
      <c r="M1976">
        <v>3</v>
      </c>
      <c r="N1976">
        <v>1</v>
      </c>
    </row>
    <row r="1977" spans="1:14" x14ac:dyDescent="0.25">
      <c r="A1977" t="s">
        <v>4196</v>
      </c>
      <c r="B1977" t="s">
        <v>561</v>
      </c>
      <c r="C1977" t="s">
        <v>1312</v>
      </c>
      <c r="D1977" t="str">
        <f>VLOOKUP(J1977,Location[],2,FALSE)</f>
        <v>San Jose</v>
      </c>
      <c r="E1977" t="str">
        <f>VLOOKUP(J1977,Location[],3,FALSE)</f>
        <v> California</v>
      </c>
      <c r="F1977" t="str">
        <f>VLOOKUP(K1977,Dept[],2,FALSE)</f>
        <v>Legal</v>
      </c>
      <c r="G1977" s="11">
        <f t="shared" si="30"/>
        <v>42491</v>
      </c>
      <c r="H1977" t="str">
        <f>VLOOKUP(N1977,Status[],2,FALSE)</f>
        <v>Full-Time</v>
      </c>
      <c r="J1977" s="7">
        <v>1010</v>
      </c>
      <c r="K1977">
        <v>18</v>
      </c>
      <c r="L1977">
        <v>2016</v>
      </c>
      <c r="M1977">
        <v>5</v>
      </c>
      <c r="N1977">
        <v>1</v>
      </c>
    </row>
    <row r="1978" spans="1:14" x14ac:dyDescent="0.25">
      <c r="A1978" t="s">
        <v>4197</v>
      </c>
      <c r="B1978" t="s">
        <v>943</v>
      </c>
      <c r="C1978" t="s">
        <v>706</v>
      </c>
      <c r="D1978" t="str">
        <f>VLOOKUP(J1978,Location[],2,FALSE)</f>
        <v>Las Vegas</v>
      </c>
      <c r="E1978" t="str">
        <f>VLOOKUP(J1978,Location[],3,FALSE)</f>
        <v> Nevada</v>
      </c>
      <c r="F1978" t="str">
        <f>VLOOKUP(K1978,Dept[],2,FALSE)</f>
        <v>Marketing</v>
      </c>
      <c r="G1978" s="11">
        <f t="shared" si="30"/>
        <v>43922</v>
      </c>
      <c r="H1978" t="str">
        <f>VLOOKUP(N1978,Status[],2,FALSE)</f>
        <v>Full-Time</v>
      </c>
      <c r="J1978" s="7">
        <v>1028</v>
      </c>
      <c r="K1978">
        <v>19</v>
      </c>
      <c r="L1978">
        <v>2020</v>
      </c>
      <c r="M1978">
        <v>4</v>
      </c>
      <c r="N1978">
        <v>1</v>
      </c>
    </row>
    <row r="1979" spans="1:14" x14ac:dyDescent="0.25">
      <c r="A1979" t="s">
        <v>4198</v>
      </c>
      <c r="B1979" t="s">
        <v>53</v>
      </c>
      <c r="C1979" t="s">
        <v>706</v>
      </c>
      <c r="D1979" t="str">
        <f>VLOOKUP(J1979,Location[],2,FALSE)</f>
        <v>Chicago</v>
      </c>
      <c r="E1979" t="str">
        <f>VLOOKUP(J1979,Location[],3,FALSE)</f>
        <v> Illinois</v>
      </c>
      <c r="F1979" t="str">
        <f>VLOOKUP(K1979,Dept[],2,FALSE)</f>
        <v>Marketing</v>
      </c>
      <c r="G1979" s="11">
        <f t="shared" si="30"/>
        <v>45139</v>
      </c>
      <c r="H1979" t="str">
        <f>VLOOKUP(N1979,Status[],2,FALSE)</f>
        <v>Full-Time</v>
      </c>
      <c r="J1979" s="7">
        <v>1003</v>
      </c>
      <c r="K1979">
        <v>19</v>
      </c>
      <c r="L1979">
        <v>2023</v>
      </c>
      <c r="M1979">
        <v>8</v>
      </c>
      <c r="N1979">
        <v>1</v>
      </c>
    </row>
    <row r="1980" spans="1:14" x14ac:dyDescent="0.25">
      <c r="A1980" t="s">
        <v>4199</v>
      </c>
      <c r="B1980" t="s">
        <v>177</v>
      </c>
      <c r="C1980" t="s">
        <v>1714</v>
      </c>
      <c r="D1980" t="str">
        <f>VLOOKUP(J1980,Location[],2,FALSE)</f>
        <v>New York City</v>
      </c>
      <c r="E1980" t="str">
        <f>VLOOKUP(J1980,Location[],3,FALSE)</f>
        <v> New York</v>
      </c>
      <c r="F1980" t="str">
        <f>VLOOKUP(K1980,Dept[],2,FALSE)</f>
        <v>Marketing</v>
      </c>
      <c r="G1980" s="11">
        <f t="shared" si="30"/>
        <v>41944</v>
      </c>
      <c r="H1980" t="str">
        <f>VLOOKUP(N1980,Status[],2,FALSE)</f>
        <v>Full-Time</v>
      </c>
      <c r="J1980" s="7">
        <v>1001</v>
      </c>
      <c r="K1980">
        <v>19</v>
      </c>
      <c r="L1980">
        <v>2014</v>
      </c>
      <c r="M1980">
        <v>11</v>
      </c>
      <c r="N1980">
        <v>1</v>
      </c>
    </row>
    <row r="1981" spans="1:14" x14ac:dyDescent="0.25">
      <c r="A1981" t="s">
        <v>4200</v>
      </c>
      <c r="B1981" t="s">
        <v>1245</v>
      </c>
      <c r="C1981" t="s">
        <v>1246</v>
      </c>
      <c r="D1981" t="str">
        <f>VLOOKUP(J1981,Location[],2,FALSE)</f>
        <v>Jacksonville</v>
      </c>
      <c r="E1981" t="str">
        <f>VLOOKUP(J1981,Location[],3,FALSE)</f>
        <v> Florida</v>
      </c>
      <c r="F1981" t="str">
        <f>VLOOKUP(K1981,Dept[],2,FALSE)</f>
        <v>Media</v>
      </c>
      <c r="G1981" s="11">
        <f t="shared" si="30"/>
        <v>42248</v>
      </c>
      <c r="H1981" t="str">
        <f>VLOOKUP(N1981,Status[],2,FALSE)</f>
        <v>Part-Time</v>
      </c>
      <c r="J1981" s="7">
        <v>1012</v>
      </c>
      <c r="K1981">
        <v>20</v>
      </c>
      <c r="L1981">
        <v>2015</v>
      </c>
      <c r="M1981">
        <v>9</v>
      </c>
      <c r="N1981">
        <v>0</v>
      </c>
    </row>
    <row r="1982" spans="1:14" x14ac:dyDescent="0.25">
      <c r="A1982" t="s">
        <v>4201</v>
      </c>
      <c r="B1982" t="s">
        <v>1052</v>
      </c>
      <c r="C1982" t="s">
        <v>1246</v>
      </c>
      <c r="D1982" t="str">
        <f>VLOOKUP(J1982,Location[],2,FALSE)</f>
        <v>Dallas</v>
      </c>
      <c r="E1982" t="str">
        <f>VLOOKUP(J1982,Location[],3,FALSE)</f>
        <v> Texas</v>
      </c>
      <c r="F1982" t="str">
        <f>VLOOKUP(K1982,Dept[],2,FALSE)</f>
        <v>Accounting</v>
      </c>
      <c r="G1982" s="11">
        <f t="shared" si="30"/>
        <v>42583</v>
      </c>
      <c r="H1982" t="str">
        <f>VLOOKUP(N1982,Status[],2,FALSE)</f>
        <v>Full-Time</v>
      </c>
      <c r="J1982" s="7">
        <v>1009</v>
      </c>
      <c r="K1982">
        <v>11</v>
      </c>
      <c r="L1982">
        <v>2016</v>
      </c>
      <c r="M1982">
        <v>8</v>
      </c>
      <c r="N1982">
        <v>1</v>
      </c>
    </row>
    <row r="1983" spans="1:14" x14ac:dyDescent="0.25">
      <c r="A1983" t="s">
        <v>4202</v>
      </c>
      <c r="B1983" t="s">
        <v>127</v>
      </c>
      <c r="C1983" t="s">
        <v>1848</v>
      </c>
      <c r="D1983" t="str">
        <f>VLOOKUP(J1983,Location[],2,FALSE)</f>
        <v>New Orleans</v>
      </c>
      <c r="E1983" t="str">
        <f>VLOOKUP(J1983,Location[],3,FALSE)</f>
        <v> Louisiana</v>
      </c>
      <c r="F1983" t="str">
        <f>VLOOKUP(K1983,Dept[],2,FALSE)</f>
        <v>Accounting</v>
      </c>
      <c r="G1983" s="11">
        <f t="shared" si="30"/>
        <v>41183</v>
      </c>
      <c r="H1983" t="str">
        <f>VLOOKUP(N1983,Status[],2,FALSE)</f>
        <v>Full-Time</v>
      </c>
      <c r="J1983" s="7">
        <v>1049</v>
      </c>
      <c r="K1983">
        <v>11</v>
      </c>
      <c r="L1983">
        <v>2012</v>
      </c>
      <c r="M1983">
        <v>10</v>
      </c>
      <c r="N1983">
        <v>1</v>
      </c>
    </row>
    <row r="1984" spans="1:14" x14ac:dyDescent="0.25">
      <c r="A1984" t="s">
        <v>4203</v>
      </c>
      <c r="B1984" t="s">
        <v>1564</v>
      </c>
      <c r="C1984" t="s">
        <v>1848</v>
      </c>
      <c r="D1984" t="str">
        <f>VLOOKUP(J1984,Location[],2,FALSE)</f>
        <v>Jacksonville</v>
      </c>
      <c r="E1984" t="str">
        <f>VLOOKUP(J1984,Location[],3,FALSE)</f>
        <v> Florida</v>
      </c>
      <c r="F1984" t="str">
        <f>VLOOKUP(K1984,Dept[],2,FALSE)</f>
        <v>Sales</v>
      </c>
      <c r="G1984" s="11">
        <f t="shared" si="30"/>
        <v>40664</v>
      </c>
      <c r="H1984" t="str">
        <f>VLOOKUP(N1984,Status[],2,FALSE)</f>
        <v>Part-Time</v>
      </c>
      <c r="J1984" s="7">
        <v>1012</v>
      </c>
      <c r="K1984">
        <v>22</v>
      </c>
      <c r="L1984">
        <v>2011</v>
      </c>
      <c r="M1984">
        <v>5</v>
      </c>
      <c r="N1984">
        <v>0</v>
      </c>
    </row>
    <row r="1985" spans="1:14" x14ac:dyDescent="0.25">
      <c r="A1985" t="s">
        <v>4204</v>
      </c>
      <c r="B1985" t="s">
        <v>77</v>
      </c>
      <c r="C1985" t="s">
        <v>1447</v>
      </c>
      <c r="D1985" t="str">
        <f>VLOOKUP(J1985,Location[],2,FALSE)</f>
        <v>New York City</v>
      </c>
      <c r="E1985" t="str">
        <f>VLOOKUP(J1985,Location[],3,FALSE)</f>
        <v> New York</v>
      </c>
      <c r="F1985" t="str">
        <f>VLOOKUP(K1985,Dept[],2,FALSE)</f>
        <v>Legal</v>
      </c>
      <c r="G1985" s="11">
        <f t="shared" si="30"/>
        <v>44621</v>
      </c>
      <c r="H1985" t="str">
        <f>VLOOKUP(N1985,Status[],2,FALSE)</f>
        <v>Full-Time</v>
      </c>
      <c r="J1985" s="7">
        <v>1001</v>
      </c>
      <c r="K1985">
        <v>18</v>
      </c>
      <c r="L1985">
        <v>2022</v>
      </c>
      <c r="M1985">
        <v>3</v>
      </c>
      <c r="N1985">
        <v>1</v>
      </c>
    </row>
    <row r="1986" spans="1:14" x14ac:dyDescent="0.25">
      <c r="A1986" t="s">
        <v>4205</v>
      </c>
      <c r="B1986" t="s">
        <v>19</v>
      </c>
      <c r="C1986" t="s">
        <v>889</v>
      </c>
      <c r="D1986" t="str">
        <f>VLOOKUP(J1986,Location[],2,FALSE)</f>
        <v>Fort Worth</v>
      </c>
      <c r="E1986" t="str">
        <f>VLOOKUP(J1986,Location[],3,FALSE)</f>
        <v> Texas</v>
      </c>
      <c r="F1986" t="str">
        <f>VLOOKUP(K1986,Dept[],2,FALSE)</f>
        <v>Human Resources</v>
      </c>
      <c r="G1986" s="11">
        <f t="shared" si="30"/>
        <v>41244</v>
      </c>
      <c r="H1986" t="str">
        <f>VLOOKUP(N1986,Status[],2,FALSE)</f>
        <v>Full-Time</v>
      </c>
      <c r="J1986" s="7">
        <v>1015</v>
      </c>
      <c r="K1986">
        <v>16</v>
      </c>
      <c r="L1986">
        <v>2012</v>
      </c>
      <c r="M1986">
        <v>12</v>
      </c>
      <c r="N1986">
        <v>1</v>
      </c>
    </row>
    <row r="1987" spans="1:14" x14ac:dyDescent="0.25">
      <c r="A1987" t="s">
        <v>4206</v>
      </c>
      <c r="B1987" t="s">
        <v>347</v>
      </c>
      <c r="C1987" t="s">
        <v>410</v>
      </c>
      <c r="D1987" t="str">
        <f>VLOOKUP(J1987,Location[],2,FALSE)</f>
        <v>Wichita</v>
      </c>
      <c r="E1987" t="str">
        <f>VLOOKUP(J1987,Location[],3,FALSE)</f>
        <v> Kansas</v>
      </c>
      <c r="F1987" t="str">
        <f>VLOOKUP(K1987,Dept[],2,FALSE)</f>
        <v>Assessment</v>
      </c>
      <c r="G1987" s="11">
        <f t="shared" si="30"/>
        <v>42125</v>
      </c>
      <c r="H1987" t="str">
        <f>VLOOKUP(N1987,Status[],2,FALSE)</f>
        <v>Full-Time</v>
      </c>
      <c r="J1987" s="7">
        <v>1050</v>
      </c>
      <c r="K1987">
        <v>13</v>
      </c>
      <c r="L1987">
        <v>2015</v>
      </c>
      <c r="M1987">
        <v>5</v>
      </c>
      <c r="N1987">
        <v>1</v>
      </c>
    </row>
    <row r="1988" spans="1:14" x14ac:dyDescent="0.25">
      <c r="A1988" t="s">
        <v>4207</v>
      </c>
      <c r="B1988" t="s">
        <v>108</v>
      </c>
      <c r="C1988" t="s">
        <v>920</v>
      </c>
      <c r="D1988" t="str">
        <f>VLOOKUP(J1988,Location[],2,FALSE)</f>
        <v>New York City</v>
      </c>
      <c r="E1988" t="str">
        <f>VLOOKUP(J1988,Location[],3,FALSE)</f>
        <v> New York</v>
      </c>
      <c r="F1988" t="str">
        <f>VLOOKUP(K1988,Dept[],2,FALSE)</f>
        <v>Accounting</v>
      </c>
      <c r="G1988" s="11">
        <f t="shared" si="30"/>
        <v>44713</v>
      </c>
      <c r="H1988" t="str">
        <f>VLOOKUP(N1988,Status[],2,FALSE)</f>
        <v>Full-Time</v>
      </c>
      <c r="J1988" s="7">
        <v>1001</v>
      </c>
      <c r="K1988">
        <v>11</v>
      </c>
      <c r="L1988">
        <v>2022</v>
      </c>
      <c r="M1988">
        <v>6</v>
      </c>
      <c r="N1988">
        <v>1</v>
      </c>
    </row>
    <row r="1989" spans="1:14" x14ac:dyDescent="0.25">
      <c r="A1989" t="s">
        <v>4208</v>
      </c>
      <c r="B1989" t="s">
        <v>427</v>
      </c>
      <c r="C1989" t="s">
        <v>1601</v>
      </c>
      <c r="D1989" t="str">
        <f>VLOOKUP(J1989,Location[],2,FALSE)</f>
        <v>Jacksonville</v>
      </c>
      <c r="E1989" t="str">
        <f>VLOOKUP(J1989,Location[],3,FALSE)</f>
        <v> Florida</v>
      </c>
      <c r="F1989" t="str">
        <f>VLOOKUP(K1989,Dept[],2,FALSE)</f>
        <v>Assessment</v>
      </c>
      <c r="G1989" s="11">
        <f t="shared" ref="G1989:G2028" si="31">DATE(L1989,M1989,1)</f>
        <v>41395</v>
      </c>
      <c r="H1989" t="str">
        <f>VLOOKUP(N1989,Status[],2,FALSE)</f>
        <v>Full-Time</v>
      </c>
      <c r="J1989" s="7">
        <v>1012</v>
      </c>
      <c r="K1989">
        <v>13</v>
      </c>
      <c r="L1989">
        <v>2013</v>
      </c>
      <c r="M1989">
        <v>5</v>
      </c>
      <c r="N1989">
        <v>1</v>
      </c>
    </row>
    <row r="1990" spans="1:14" x14ac:dyDescent="0.25">
      <c r="A1990" t="s">
        <v>2601</v>
      </c>
      <c r="B1990" t="s">
        <v>416</v>
      </c>
      <c r="C1990" t="s">
        <v>743</v>
      </c>
      <c r="D1990" t="str">
        <f>VLOOKUP(J1990,Location[],2,FALSE)</f>
        <v>New York City</v>
      </c>
      <c r="E1990" t="str">
        <f>VLOOKUP(J1990,Location[],3,FALSE)</f>
        <v> New York</v>
      </c>
      <c r="F1990" t="str">
        <f>VLOOKUP(K1990,Dept[],2,FALSE)</f>
        <v>Marketing</v>
      </c>
      <c r="G1990" s="11">
        <f t="shared" si="31"/>
        <v>45108</v>
      </c>
      <c r="H1990" t="str">
        <f>VLOOKUP(N1990,Status[],2,FALSE)</f>
        <v>Full-Time</v>
      </c>
      <c r="J1990" s="7">
        <v>1001</v>
      </c>
      <c r="K1990">
        <v>19</v>
      </c>
      <c r="L1990">
        <v>2023</v>
      </c>
      <c r="M1990">
        <v>7</v>
      </c>
      <c r="N1990">
        <v>1</v>
      </c>
    </row>
    <row r="1991" spans="1:14" x14ac:dyDescent="0.25">
      <c r="A1991" t="s">
        <v>4209</v>
      </c>
      <c r="B1991" t="s">
        <v>89</v>
      </c>
      <c r="C1991" t="s">
        <v>743</v>
      </c>
      <c r="D1991" t="str">
        <f>VLOOKUP(J1991,Location[],2,FALSE)</f>
        <v>Virginia Beach</v>
      </c>
      <c r="E1991" t="str">
        <f>VLOOKUP(J1991,Location[],3,FALSE)</f>
        <v> Virginia</v>
      </c>
      <c r="F1991" t="str">
        <f>VLOOKUP(K1991,Dept[],2,FALSE)</f>
        <v>Customer Support</v>
      </c>
      <c r="G1991" s="11">
        <f t="shared" si="31"/>
        <v>43800</v>
      </c>
      <c r="H1991" t="str">
        <f>VLOOKUP(N1991,Status[],2,FALSE)</f>
        <v>Full-Time</v>
      </c>
      <c r="J1991" s="7">
        <v>1044</v>
      </c>
      <c r="K1991">
        <v>14</v>
      </c>
      <c r="L1991">
        <v>2019</v>
      </c>
      <c r="M1991">
        <v>12</v>
      </c>
      <c r="N1991">
        <v>1</v>
      </c>
    </row>
    <row r="1992" spans="1:14" x14ac:dyDescent="0.25">
      <c r="A1992" t="s">
        <v>4210</v>
      </c>
      <c r="B1992" t="s">
        <v>1460</v>
      </c>
      <c r="C1992" t="s">
        <v>1208</v>
      </c>
      <c r="D1992" t="str">
        <f>VLOOKUP(J1992,Location[],2,FALSE)</f>
        <v>New York City</v>
      </c>
      <c r="E1992" t="str">
        <f>VLOOKUP(J1992,Location[],3,FALSE)</f>
        <v> New York</v>
      </c>
      <c r="F1992" t="str">
        <f>VLOOKUP(K1992,Dept[],2,FALSE)</f>
        <v>Customer Support</v>
      </c>
      <c r="G1992" s="11">
        <f t="shared" si="31"/>
        <v>42856</v>
      </c>
      <c r="H1992" t="str">
        <f>VLOOKUP(N1992,Status[],2,FALSE)</f>
        <v>Full-Time</v>
      </c>
      <c r="J1992" s="7">
        <v>1001</v>
      </c>
      <c r="K1992">
        <v>14</v>
      </c>
      <c r="L1992">
        <v>2017</v>
      </c>
      <c r="M1992">
        <v>5</v>
      </c>
      <c r="N1992">
        <v>1</v>
      </c>
    </row>
    <row r="1993" spans="1:14" x14ac:dyDescent="0.25">
      <c r="A1993" t="s">
        <v>4211</v>
      </c>
      <c r="B1993" t="s">
        <v>1207</v>
      </c>
      <c r="C1993" t="s">
        <v>1208</v>
      </c>
      <c r="D1993" t="str">
        <f>VLOOKUP(J1993,Location[],2,FALSE)</f>
        <v>Dallas</v>
      </c>
      <c r="E1993" t="str">
        <f>VLOOKUP(J1993,Location[],3,FALSE)</f>
        <v> Texas</v>
      </c>
      <c r="F1993" t="str">
        <f>VLOOKUP(K1993,Dept[],2,FALSE)</f>
        <v>Human Resources</v>
      </c>
      <c r="G1993" s="11">
        <f t="shared" si="31"/>
        <v>40878</v>
      </c>
      <c r="H1993" t="str">
        <f>VLOOKUP(N1993,Status[],2,FALSE)</f>
        <v>Full-Time</v>
      </c>
      <c r="J1993" s="7">
        <v>1009</v>
      </c>
      <c r="K1993">
        <v>16</v>
      </c>
      <c r="L1993">
        <v>2011</v>
      </c>
      <c r="M1993">
        <v>12</v>
      </c>
      <c r="N1993">
        <v>1</v>
      </c>
    </row>
    <row r="1994" spans="1:14" x14ac:dyDescent="0.25">
      <c r="A1994" t="s">
        <v>4212</v>
      </c>
      <c r="B1994" t="s">
        <v>694</v>
      </c>
      <c r="C1994" t="s">
        <v>1688</v>
      </c>
      <c r="D1994" t="str">
        <f>VLOOKUP(J1994,Location[],2,FALSE)</f>
        <v>Los Angeles</v>
      </c>
      <c r="E1994" t="str">
        <f>VLOOKUP(J1994,Location[],3,FALSE)</f>
        <v> California</v>
      </c>
      <c r="F1994" t="str">
        <f>VLOOKUP(K1994,Dept[],2,FALSE)</f>
        <v>Assessment</v>
      </c>
      <c r="G1994" s="11">
        <f t="shared" si="31"/>
        <v>44348</v>
      </c>
      <c r="H1994" t="str">
        <f>VLOOKUP(N1994,Status[],2,FALSE)</f>
        <v>Full-Time</v>
      </c>
      <c r="J1994" s="7">
        <v>1002</v>
      </c>
      <c r="K1994">
        <v>13</v>
      </c>
      <c r="L1994">
        <v>2021</v>
      </c>
      <c r="M1994">
        <v>6</v>
      </c>
      <c r="N1994">
        <v>1</v>
      </c>
    </row>
    <row r="1995" spans="1:14" x14ac:dyDescent="0.25">
      <c r="A1995" t="s">
        <v>4213</v>
      </c>
      <c r="B1995" t="s">
        <v>949</v>
      </c>
      <c r="C1995" t="s">
        <v>950</v>
      </c>
      <c r="D1995" t="str">
        <f>VLOOKUP(J1995,Location[],2,FALSE)</f>
        <v>New York City</v>
      </c>
      <c r="E1995" t="str">
        <f>VLOOKUP(J1995,Location[],3,FALSE)</f>
        <v> New York</v>
      </c>
      <c r="F1995" t="str">
        <f>VLOOKUP(K1995,Dept[],2,FALSE)</f>
        <v>Sales</v>
      </c>
      <c r="G1995" s="11">
        <f t="shared" si="31"/>
        <v>42461</v>
      </c>
      <c r="H1995" t="str">
        <f>VLOOKUP(N1995,Status[],2,FALSE)</f>
        <v>Full-Time</v>
      </c>
      <c r="J1995" s="7">
        <v>1001</v>
      </c>
      <c r="K1995">
        <v>22</v>
      </c>
      <c r="L1995">
        <v>2016</v>
      </c>
      <c r="M1995">
        <v>4</v>
      </c>
      <c r="N1995">
        <v>1</v>
      </c>
    </row>
    <row r="1996" spans="1:14" x14ac:dyDescent="0.25">
      <c r="A1996" t="s">
        <v>4214</v>
      </c>
      <c r="B1996" t="s">
        <v>665</v>
      </c>
      <c r="C1996" t="s">
        <v>1258</v>
      </c>
      <c r="D1996" t="str">
        <f>VLOOKUP(J1996,Location[],2,FALSE)</f>
        <v>Houston</v>
      </c>
      <c r="E1996" t="str">
        <f>VLOOKUP(J1996,Location[],3,FALSE)</f>
        <v> Texas</v>
      </c>
      <c r="F1996" t="str">
        <f>VLOOKUP(K1996,Dept[],2,FALSE)</f>
        <v>Customer Support</v>
      </c>
      <c r="G1996" s="11">
        <f t="shared" si="31"/>
        <v>41821</v>
      </c>
      <c r="H1996" t="str">
        <f>VLOOKUP(N1996,Status[],2,FALSE)</f>
        <v>Full-Time</v>
      </c>
      <c r="J1996" s="7">
        <v>1004</v>
      </c>
      <c r="K1996">
        <v>14</v>
      </c>
      <c r="L1996">
        <v>2014</v>
      </c>
      <c r="M1996">
        <v>7</v>
      </c>
      <c r="N1996">
        <v>1</v>
      </c>
    </row>
    <row r="1997" spans="1:14" x14ac:dyDescent="0.25">
      <c r="A1997" t="s">
        <v>4215</v>
      </c>
      <c r="B1997" t="s">
        <v>304</v>
      </c>
      <c r="C1997" t="s">
        <v>305</v>
      </c>
      <c r="D1997" t="str">
        <f>VLOOKUP(J1997,Location[],2,FALSE)</f>
        <v>Corpus Christi</v>
      </c>
      <c r="E1997" t="str">
        <f>VLOOKUP(J1997,Location[],3,FALSE)</f>
        <v> Texas</v>
      </c>
      <c r="F1997" t="str">
        <f>VLOOKUP(K1997,Dept[],2,FALSE)</f>
        <v>Marketing</v>
      </c>
      <c r="G1997" s="11">
        <f t="shared" si="31"/>
        <v>44835</v>
      </c>
      <c r="H1997" t="str">
        <f>VLOOKUP(N1997,Status[],2,FALSE)</f>
        <v>Full-Time</v>
      </c>
      <c r="J1997" s="7">
        <v>1059</v>
      </c>
      <c r="K1997">
        <v>19</v>
      </c>
      <c r="L1997">
        <v>2022</v>
      </c>
      <c r="M1997">
        <v>10</v>
      </c>
      <c r="N1997">
        <v>1</v>
      </c>
    </row>
    <row r="1998" spans="1:14" x14ac:dyDescent="0.25">
      <c r="A1998" t="s">
        <v>4216</v>
      </c>
      <c r="B1998" t="s">
        <v>902</v>
      </c>
      <c r="C1998" t="s">
        <v>305</v>
      </c>
      <c r="D1998" t="str">
        <f>VLOOKUP(J1998,Location[],2,FALSE)</f>
        <v>San Antonio</v>
      </c>
      <c r="E1998" t="str">
        <f>VLOOKUP(J1998,Location[],3,FALSE)</f>
        <v> Texas</v>
      </c>
      <c r="F1998" t="str">
        <f>VLOOKUP(K1998,Dept[],2,FALSE)</f>
        <v>Finance</v>
      </c>
      <c r="G1998" s="11">
        <f t="shared" si="31"/>
        <v>45170</v>
      </c>
      <c r="H1998" t="str">
        <f>VLOOKUP(N1998,Status[],2,FALSE)</f>
        <v>Full-Time</v>
      </c>
      <c r="J1998" s="7">
        <v>1007</v>
      </c>
      <c r="K1998">
        <v>15</v>
      </c>
      <c r="L1998">
        <v>2023</v>
      </c>
      <c r="M1998">
        <v>9</v>
      </c>
      <c r="N1998">
        <v>1</v>
      </c>
    </row>
    <row r="1999" spans="1:14" x14ac:dyDescent="0.25">
      <c r="A1999" t="s">
        <v>4217</v>
      </c>
      <c r="B1999" t="s">
        <v>7</v>
      </c>
      <c r="C1999" t="s">
        <v>193</v>
      </c>
      <c r="D1999" t="str">
        <f>VLOOKUP(J1999,Location[],2,FALSE)</f>
        <v>Stockton</v>
      </c>
      <c r="E1999" t="str">
        <f>VLOOKUP(J1999,Location[],3,FALSE)</f>
        <v> California</v>
      </c>
      <c r="F1999" t="str">
        <f>VLOOKUP(K1999,Dept[],2,FALSE)</f>
        <v>Administration</v>
      </c>
      <c r="G1999" s="11">
        <f t="shared" si="31"/>
        <v>43770</v>
      </c>
      <c r="H1999" t="str">
        <f>VLOOKUP(N1999,Status[],2,FALSE)</f>
        <v>Full-Time</v>
      </c>
      <c r="J1999" s="7">
        <v>1061</v>
      </c>
      <c r="K1999">
        <v>12</v>
      </c>
      <c r="L1999">
        <v>2019</v>
      </c>
      <c r="M1999">
        <v>11</v>
      </c>
      <c r="N1999">
        <v>1</v>
      </c>
    </row>
    <row r="2000" spans="1:14" x14ac:dyDescent="0.25">
      <c r="A2000" t="s">
        <v>4218</v>
      </c>
      <c r="B2000" t="s">
        <v>729</v>
      </c>
      <c r="C2000" t="s">
        <v>193</v>
      </c>
      <c r="D2000" t="str">
        <f>VLOOKUP(J2000,Location[],2,FALSE)</f>
        <v>New York City</v>
      </c>
      <c r="E2000" t="str">
        <f>VLOOKUP(J2000,Location[],3,FALSE)</f>
        <v> New York</v>
      </c>
      <c r="F2000" t="str">
        <f>VLOOKUP(K2000,Dept[],2,FALSE)</f>
        <v>Administration</v>
      </c>
      <c r="G2000" s="11">
        <f t="shared" si="31"/>
        <v>44896</v>
      </c>
      <c r="H2000" t="str">
        <f>VLOOKUP(N2000,Status[],2,FALSE)</f>
        <v>Full-Time</v>
      </c>
      <c r="J2000" s="7">
        <v>1001</v>
      </c>
      <c r="K2000">
        <v>12</v>
      </c>
      <c r="L2000">
        <v>2022</v>
      </c>
      <c r="M2000">
        <v>12</v>
      </c>
      <c r="N2000">
        <v>1</v>
      </c>
    </row>
    <row r="2001" spans="1:14" x14ac:dyDescent="0.25">
      <c r="A2001" t="s">
        <v>4219</v>
      </c>
      <c r="B2001" t="s">
        <v>192</v>
      </c>
      <c r="C2001" t="s">
        <v>193</v>
      </c>
      <c r="D2001" t="str">
        <f>VLOOKUP(J2001,Location[],2,FALSE)</f>
        <v>Austin</v>
      </c>
      <c r="E2001" t="str">
        <f>VLOOKUP(J2001,Location[],3,FALSE)</f>
        <v> Texas</v>
      </c>
      <c r="F2001" t="str">
        <f>VLOOKUP(K2001,Dept[],2,FALSE)</f>
        <v>Human Resources</v>
      </c>
      <c r="G2001" s="11">
        <f t="shared" si="31"/>
        <v>44866</v>
      </c>
      <c r="H2001" t="str">
        <f>VLOOKUP(N2001,Status[],2,FALSE)</f>
        <v>Full-Time</v>
      </c>
      <c r="J2001" s="7">
        <v>1011</v>
      </c>
      <c r="K2001">
        <v>16</v>
      </c>
      <c r="L2001">
        <v>2022</v>
      </c>
      <c r="M2001">
        <v>11</v>
      </c>
      <c r="N2001">
        <v>1</v>
      </c>
    </row>
    <row r="2002" spans="1:14" x14ac:dyDescent="0.25">
      <c r="A2002" t="s">
        <v>4220</v>
      </c>
      <c r="B2002" t="s">
        <v>933</v>
      </c>
      <c r="C2002" t="s">
        <v>193</v>
      </c>
      <c r="D2002" t="str">
        <f>VLOOKUP(J2002,Location[],2,FALSE)</f>
        <v>Houston</v>
      </c>
      <c r="E2002" t="str">
        <f>VLOOKUP(J2002,Location[],3,FALSE)</f>
        <v> Texas</v>
      </c>
      <c r="F2002" t="str">
        <f>VLOOKUP(K2002,Dept[],2,FALSE)</f>
        <v>Media</v>
      </c>
      <c r="G2002" s="11">
        <f t="shared" si="31"/>
        <v>41518</v>
      </c>
      <c r="H2002" t="str">
        <f>VLOOKUP(N2002,Status[],2,FALSE)</f>
        <v>Full-Time</v>
      </c>
      <c r="J2002" s="7">
        <v>1004</v>
      </c>
      <c r="K2002">
        <v>20</v>
      </c>
      <c r="L2002">
        <v>2013</v>
      </c>
      <c r="M2002">
        <v>9</v>
      </c>
      <c r="N2002">
        <v>1</v>
      </c>
    </row>
    <row r="2003" spans="1:14" x14ac:dyDescent="0.25">
      <c r="A2003" t="s">
        <v>4221</v>
      </c>
      <c r="B2003" t="s">
        <v>252</v>
      </c>
      <c r="C2003" t="s">
        <v>193</v>
      </c>
      <c r="D2003" t="str">
        <f>VLOOKUP(J2003,Location[],2,FALSE)</f>
        <v>Seattle</v>
      </c>
      <c r="E2003" t="str">
        <f>VLOOKUP(J2003,Location[],3,FALSE)</f>
        <v> Washington</v>
      </c>
      <c r="F2003" t="str">
        <f>VLOOKUP(K2003,Dept[],2,FALSE)</f>
        <v>Marketing</v>
      </c>
      <c r="G2003" s="11">
        <f t="shared" si="31"/>
        <v>44105</v>
      </c>
      <c r="H2003" t="str">
        <f>VLOOKUP(N2003,Status[],2,FALSE)</f>
        <v>Full-Time</v>
      </c>
      <c r="J2003" s="7">
        <v>1018</v>
      </c>
      <c r="K2003">
        <v>19</v>
      </c>
      <c r="L2003">
        <v>2020</v>
      </c>
      <c r="M2003">
        <v>10</v>
      </c>
      <c r="N2003">
        <v>1</v>
      </c>
    </row>
    <row r="2004" spans="1:14" x14ac:dyDescent="0.25">
      <c r="A2004" t="s">
        <v>4222</v>
      </c>
      <c r="B2004" t="s">
        <v>5</v>
      </c>
      <c r="C2004" t="s">
        <v>193</v>
      </c>
      <c r="D2004" t="str">
        <f>VLOOKUP(J2004,Location[],2,FALSE)</f>
        <v>Denver</v>
      </c>
      <c r="E2004" t="str">
        <f>VLOOKUP(J2004,Location[],3,FALSE)</f>
        <v> Colorado</v>
      </c>
      <c r="F2004" t="str">
        <f>VLOOKUP(K2004,Dept[],2,FALSE)</f>
        <v>R&amp;D</v>
      </c>
      <c r="G2004" s="11">
        <f t="shared" si="31"/>
        <v>45078</v>
      </c>
      <c r="H2004" t="str">
        <f>VLOOKUP(N2004,Status[],2,FALSE)</f>
        <v>Full-Time</v>
      </c>
      <c r="J2004" s="7">
        <v>1019</v>
      </c>
      <c r="K2004">
        <v>21</v>
      </c>
      <c r="L2004">
        <v>2023</v>
      </c>
      <c r="M2004">
        <v>6</v>
      </c>
      <c r="N2004">
        <v>1</v>
      </c>
    </row>
    <row r="2005" spans="1:14" x14ac:dyDescent="0.25">
      <c r="A2005" t="s">
        <v>4223</v>
      </c>
      <c r="B2005" t="s">
        <v>270</v>
      </c>
      <c r="C2005" t="s">
        <v>1490</v>
      </c>
      <c r="D2005" t="str">
        <f>VLOOKUP(J2005,Location[],2,FALSE)</f>
        <v>Philadelphia</v>
      </c>
      <c r="E2005" t="str">
        <f>VLOOKUP(J2005,Location[],3,FALSE)</f>
        <v> Pennsylvania</v>
      </c>
      <c r="F2005" t="str">
        <f>VLOOKUP(K2005,Dept[],2,FALSE)</f>
        <v>Customer Support</v>
      </c>
      <c r="G2005" s="11">
        <f t="shared" si="31"/>
        <v>45261</v>
      </c>
      <c r="H2005" t="str">
        <f>VLOOKUP(N2005,Status[],2,FALSE)</f>
        <v>Full-Time</v>
      </c>
      <c r="J2005" s="7">
        <v>1006</v>
      </c>
      <c r="K2005">
        <v>14</v>
      </c>
      <c r="L2005">
        <v>2023</v>
      </c>
      <c r="M2005">
        <v>12</v>
      </c>
      <c r="N2005">
        <v>1</v>
      </c>
    </row>
    <row r="2006" spans="1:14" x14ac:dyDescent="0.25">
      <c r="A2006" t="s">
        <v>4224</v>
      </c>
      <c r="B2006" t="s">
        <v>21</v>
      </c>
      <c r="C2006" t="s">
        <v>806</v>
      </c>
      <c r="D2006" t="str">
        <f>VLOOKUP(J2006,Location[],2,FALSE)</f>
        <v>Nashville</v>
      </c>
      <c r="E2006" t="str">
        <f>VLOOKUP(J2006,Location[],3,FALSE)</f>
        <v> Tennessee</v>
      </c>
      <c r="F2006" t="str">
        <f>VLOOKUP(K2006,Dept[],2,FALSE)</f>
        <v>Sales</v>
      </c>
      <c r="G2006" s="11">
        <f t="shared" si="31"/>
        <v>44986</v>
      </c>
      <c r="H2006" t="str">
        <f>VLOOKUP(N2006,Status[],2,FALSE)</f>
        <v>Full-Time</v>
      </c>
      <c r="J2006" s="7">
        <v>1024</v>
      </c>
      <c r="K2006">
        <v>22</v>
      </c>
      <c r="L2006">
        <v>2023</v>
      </c>
      <c r="M2006">
        <v>3</v>
      </c>
      <c r="N2006">
        <v>1</v>
      </c>
    </row>
    <row r="2007" spans="1:14" x14ac:dyDescent="0.25">
      <c r="A2007" t="s">
        <v>4225</v>
      </c>
      <c r="B2007" t="s">
        <v>1043</v>
      </c>
      <c r="C2007" t="s">
        <v>1044</v>
      </c>
      <c r="D2007" t="str">
        <f>VLOOKUP(J2007,Location[],2,FALSE)</f>
        <v>Los Angeles</v>
      </c>
      <c r="E2007" t="str">
        <f>VLOOKUP(J2007,Location[],3,FALSE)</f>
        <v> California</v>
      </c>
      <c r="F2007" t="str">
        <f>VLOOKUP(K2007,Dept[],2,FALSE)</f>
        <v>Shipping</v>
      </c>
      <c r="G2007" s="11">
        <f t="shared" si="31"/>
        <v>43586</v>
      </c>
      <c r="H2007" t="str">
        <f>VLOOKUP(N2007,Status[],2,FALSE)</f>
        <v>Full-Time</v>
      </c>
      <c r="J2007" s="7">
        <v>1002</v>
      </c>
      <c r="K2007">
        <v>23</v>
      </c>
      <c r="L2007">
        <v>2019</v>
      </c>
      <c r="M2007">
        <v>5</v>
      </c>
      <c r="N2007">
        <v>1</v>
      </c>
    </row>
    <row r="2008" spans="1:14" x14ac:dyDescent="0.25">
      <c r="A2008" t="s">
        <v>4226</v>
      </c>
      <c r="B2008" t="s">
        <v>515</v>
      </c>
      <c r="C2008" t="s">
        <v>914</v>
      </c>
      <c r="D2008" t="str">
        <f>VLOOKUP(J2008,Location[],2,FALSE)</f>
        <v>Los Angeles</v>
      </c>
      <c r="E2008" t="str">
        <f>VLOOKUP(J2008,Location[],3,FALSE)</f>
        <v> California</v>
      </c>
      <c r="F2008" t="str">
        <f>VLOOKUP(K2008,Dept[],2,FALSE)</f>
        <v>Accounting</v>
      </c>
      <c r="G2008" s="11">
        <f t="shared" si="31"/>
        <v>41883</v>
      </c>
      <c r="H2008" t="str">
        <f>VLOOKUP(N2008,Status[],2,FALSE)</f>
        <v>Full-Time</v>
      </c>
      <c r="J2008" s="7">
        <v>1002</v>
      </c>
      <c r="K2008">
        <v>11</v>
      </c>
      <c r="L2008">
        <v>2014</v>
      </c>
      <c r="M2008">
        <v>9</v>
      </c>
      <c r="N2008">
        <v>1</v>
      </c>
    </row>
    <row r="2009" spans="1:14" x14ac:dyDescent="0.25">
      <c r="A2009" t="s">
        <v>4227</v>
      </c>
      <c r="B2009" t="s">
        <v>51</v>
      </c>
      <c r="C2009" t="s">
        <v>2020</v>
      </c>
      <c r="D2009" t="str">
        <f>VLOOKUP(J2009,Location[],2,FALSE)</f>
        <v>Baltimore</v>
      </c>
      <c r="E2009" t="str">
        <f>VLOOKUP(J2009,Location[],3,FALSE)</f>
        <v> Maryland</v>
      </c>
      <c r="F2009" t="str">
        <f>VLOOKUP(K2009,Dept[],2,FALSE)</f>
        <v>Media</v>
      </c>
      <c r="G2009" s="11">
        <f t="shared" si="31"/>
        <v>44713</v>
      </c>
      <c r="H2009" t="str">
        <f>VLOOKUP(N2009,Status[],2,FALSE)</f>
        <v>Full-Time</v>
      </c>
      <c r="J2009" s="7">
        <v>1030</v>
      </c>
      <c r="K2009">
        <v>20</v>
      </c>
      <c r="L2009">
        <v>2022</v>
      </c>
      <c r="M2009">
        <v>6</v>
      </c>
      <c r="N2009">
        <v>1</v>
      </c>
    </row>
    <row r="2010" spans="1:14" x14ac:dyDescent="0.25">
      <c r="A2010" t="s">
        <v>4228</v>
      </c>
      <c r="B2010" t="s">
        <v>1838</v>
      </c>
      <c r="C2010" t="s">
        <v>2063</v>
      </c>
      <c r="D2010" t="str">
        <f>VLOOKUP(J2010,Location[],2,FALSE)</f>
        <v>Wichita</v>
      </c>
      <c r="E2010" t="str">
        <f>VLOOKUP(J2010,Location[],3,FALSE)</f>
        <v> Kansas</v>
      </c>
      <c r="F2010" t="str">
        <f>VLOOKUP(K2010,Dept[],2,FALSE)</f>
        <v>Administration</v>
      </c>
      <c r="G2010" s="11">
        <f t="shared" si="31"/>
        <v>42917</v>
      </c>
      <c r="H2010" t="str">
        <f>VLOOKUP(N2010,Status[],2,FALSE)</f>
        <v>Part-Time</v>
      </c>
      <c r="J2010" s="7">
        <v>1050</v>
      </c>
      <c r="K2010">
        <v>12</v>
      </c>
      <c r="L2010">
        <v>2017</v>
      </c>
      <c r="M2010">
        <v>7</v>
      </c>
      <c r="N2010">
        <v>0</v>
      </c>
    </row>
    <row r="2011" spans="1:14" x14ac:dyDescent="0.25">
      <c r="A2011" t="s">
        <v>4229</v>
      </c>
      <c r="B2011" t="s">
        <v>734</v>
      </c>
      <c r="C2011" t="s">
        <v>1028</v>
      </c>
      <c r="D2011" t="str">
        <f>VLOOKUP(J2011,Location[],2,FALSE)</f>
        <v>Fresno</v>
      </c>
      <c r="E2011" t="str">
        <f>VLOOKUP(J2011,Location[],3,FALSE)</f>
        <v> California</v>
      </c>
      <c r="F2011" t="str">
        <f>VLOOKUP(K2011,Dept[],2,FALSE)</f>
        <v>Assessment</v>
      </c>
      <c r="G2011" s="11">
        <f t="shared" si="31"/>
        <v>44378</v>
      </c>
      <c r="H2011" t="str">
        <f>VLOOKUP(N2011,Status[],2,FALSE)</f>
        <v>Part-Time</v>
      </c>
      <c r="J2011" s="7">
        <v>1034</v>
      </c>
      <c r="K2011">
        <v>13</v>
      </c>
      <c r="L2011">
        <v>2021</v>
      </c>
      <c r="M2011">
        <v>7</v>
      </c>
      <c r="N2011">
        <v>0</v>
      </c>
    </row>
    <row r="2012" spans="1:14" x14ac:dyDescent="0.25">
      <c r="A2012" t="s">
        <v>4230</v>
      </c>
      <c r="B2012" t="s">
        <v>264</v>
      </c>
      <c r="C2012" t="s">
        <v>265</v>
      </c>
      <c r="D2012" t="str">
        <f>VLOOKUP(J2012,Location[],2,FALSE)</f>
        <v>Chicago</v>
      </c>
      <c r="E2012" t="str">
        <f>VLOOKUP(J2012,Location[],3,FALSE)</f>
        <v> Illinois</v>
      </c>
      <c r="F2012" t="str">
        <f>VLOOKUP(K2012,Dept[],2,FALSE)</f>
        <v>Customer Support</v>
      </c>
      <c r="G2012" s="11">
        <f t="shared" si="31"/>
        <v>44835</v>
      </c>
      <c r="H2012" t="str">
        <f>VLOOKUP(N2012,Status[],2,FALSE)</f>
        <v>Full-Time</v>
      </c>
      <c r="J2012" s="7">
        <v>1003</v>
      </c>
      <c r="K2012">
        <v>14</v>
      </c>
      <c r="L2012">
        <v>2022</v>
      </c>
      <c r="M2012">
        <v>10</v>
      </c>
      <c r="N2012">
        <v>1</v>
      </c>
    </row>
    <row r="2013" spans="1:14" x14ac:dyDescent="0.25">
      <c r="A2013" t="s">
        <v>4231</v>
      </c>
      <c r="B2013" t="s">
        <v>57</v>
      </c>
      <c r="C2013" t="s">
        <v>265</v>
      </c>
      <c r="D2013" t="str">
        <f>VLOOKUP(J2013,Location[],2,FALSE)</f>
        <v>El Paso</v>
      </c>
      <c r="E2013" t="str">
        <f>VLOOKUP(J2013,Location[],3,FALSE)</f>
        <v> Texas</v>
      </c>
      <c r="F2013" t="str">
        <f>VLOOKUP(K2013,Dept[],2,FALSE)</f>
        <v>Human Resources</v>
      </c>
      <c r="G2013" s="11">
        <f t="shared" si="31"/>
        <v>43160</v>
      </c>
      <c r="H2013" t="str">
        <f>VLOOKUP(N2013,Status[],2,FALSE)</f>
        <v>Part-Time</v>
      </c>
      <c r="J2013" s="7">
        <v>1022</v>
      </c>
      <c r="K2013">
        <v>16</v>
      </c>
      <c r="L2013">
        <v>2018</v>
      </c>
      <c r="M2013">
        <v>3</v>
      </c>
      <c r="N2013">
        <v>0</v>
      </c>
    </row>
    <row r="2014" spans="1:14" x14ac:dyDescent="0.25">
      <c r="A2014" t="s">
        <v>4232</v>
      </c>
      <c r="B2014" t="s">
        <v>171</v>
      </c>
      <c r="C2014" t="s">
        <v>1236</v>
      </c>
      <c r="D2014" t="str">
        <f>VLOOKUP(J2014,Location[],2,FALSE)</f>
        <v>New York City</v>
      </c>
      <c r="E2014" t="str">
        <f>VLOOKUP(J2014,Location[],3,FALSE)</f>
        <v> New York</v>
      </c>
      <c r="F2014" t="str">
        <f>VLOOKUP(K2014,Dept[],2,FALSE)</f>
        <v>Accounting</v>
      </c>
      <c r="G2014" s="11">
        <f t="shared" si="31"/>
        <v>44986</v>
      </c>
      <c r="H2014" t="str">
        <f>VLOOKUP(N2014,Status[],2,FALSE)</f>
        <v>Full-Time</v>
      </c>
      <c r="J2014" s="7">
        <v>1001</v>
      </c>
      <c r="K2014">
        <v>11</v>
      </c>
      <c r="L2014">
        <v>2023</v>
      </c>
      <c r="M2014">
        <v>3</v>
      </c>
      <c r="N2014">
        <v>1</v>
      </c>
    </row>
    <row r="2015" spans="1:14" x14ac:dyDescent="0.25">
      <c r="A2015" t="s">
        <v>4233</v>
      </c>
      <c r="B2015" t="s">
        <v>2002</v>
      </c>
      <c r="C2015" t="s">
        <v>1236</v>
      </c>
      <c r="D2015" t="str">
        <f>VLOOKUP(J2015,Location[],2,FALSE)</f>
        <v>Milwaukee</v>
      </c>
      <c r="E2015" t="str">
        <f>VLOOKUP(J2015,Location[],3,FALSE)</f>
        <v> Wisconsin</v>
      </c>
      <c r="F2015" t="str">
        <f>VLOOKUP(K2015,Dept[],2,FALSE)</f>
        <v>Sales</v>
      </c>
      <c r="G2015" s="11">
        <f t="shared" si="31"/>
        <v>42614</v>
      </c>
      <c r="H2015" t="str">
        <f>VLOOKUP(N2015,Status[],2,FALSE)</f>
        <v>Part-Time</v>
      </c>
      <c r="J2015" s="7">
        <v>1031</v>
      </c>
      <c r="K2015">
        <v>22</v>
      </c>
      <c r="L2015">
        <v>2016</v>
      </c>
      <c r="M2015">
        <v>9</v>
      </c>
      <c r="N2015">
        <v>0</v>
      </c>
    </row>
    <row r="2016" spans="1:14" x14ac:dyDescent="0.25">
      <c r="A2016" t="s">
        <v>4234</v>
      </c>
      <c r="B2016" t="s">
        <v>1035</v>
      </c>
      <c r="C2016" t="s">
        <v>1276</v>
      </c>
      <c r="D2016" t="str">
        <f>VLOOKUP(J2016,Location[],2,FALSE)</f>
        <v>Boston</v>
      </c>
      <c r="E2016" t="str">
        <f>VLOOKUP(J2016,Location[],3,FALSE)</f>
        <v> Massachusetts</v>
      </c>
      <c r="F2016" t="str">
        <f>VLOOKUP(K2016,Dept[],2,FALSE)</f>
        <v>Legal</v>
      </c>
      <c r="G2016" s="11">
        <f t="shared" si="31"/>
        <v>43739</v>
      </c>
      <c r="H2016" t="str">
        <f>VLOOKUP(N2016,Status[],2,FALSE)</f>
        <v>Full-Time</v>
      </c>
      <c r="J2016" s="7">
        <v>1021</v>
      </c>
      <c r="K2016">
        <v>18</v>
      </c>
      <c r="L2016">
        <v>2019</v>
      </c>
      <c r="M2016">
        <v>10</v>
      </c>
      <c r="N2016">
        <v>1</v>
      </c>
    </row>
    <row r="2017" spans="1:14" x14ac:dyDescent="0.25">
      <c r="A2017" t="s">
        <v>2488</v>
      </c>
      <c r="B2017" t="s">
        <v>1199</v>
      </c>
      <c r="C2017" t="s">
        <v>1276</v>
      </c>
      <c r="D2017" t="str">
        <f>VLOOKUP(J2017,Location[],2,FALSE)</f>
        <v>Philadelphia</v>
      </c>
      <c r="E2017" t="str">
        <f>VLOOKUP(J2017,Location[],3,FALSE)</f>
        <v> Pennsylvania</v>
      </c>
      <c r="F2017" t="str">
        <f>VLOOKUP(K2017,Dept[],2,FALSE)</f>
        <v>Accounting</v>
      </c>
      <c r="G2017" s="11">
        <f t="shared" si="31"/>
        <v>40940</v>
      </c>
      <c r="H2017" t="str">
        <f>VLOOKUP(N2017,Status[],2,FALSE)</f>
        <v>Full-Time</v>
      </c>
      <c r="J2017" s="7">
        <v>1006</v>
      </c>
      <c r="K2017">
        <v>11</v>
      </c>
      <c r="L2017">
        <v>2012</v>
      </c>
      <c r="M2017">
        <v>2</v>
      </c>
      <c r="N2017">
        <v>1</v>
      </c>
    </row>
    <row r="2018" spans="1:14" x14ac:dyDescent="0.25">
      <c r="A2018" t="s">
        <v>4235</v>
      </c>
      <c r="B2018" t="s">
        <v>1250</v>
      </c>
      <c r="C2018" t="s">
        <v>212</v>
      </c>
      <c r="D2018" t="str">
        <f>VLOOKUP(J2018,Location[],2,FALSE)</f>
        <v>Anaheim</v>
      </c>
      <c r="E2018" t="str">
        <f>VLOOKUP(J2018,Location[],3,FALSE)</f>
        <v> California</v>
      </c>
      <c r="F2018" t="str">
        <f>VLOOKUP(K2018,Dept[],2,FALSE)</f>
        <v>Accounting</v>
      </c>
      <c r="G2018" s="11">
        <f t="shared" si="31"/>
        <v>42856</v>
      </c>
      <c r="H2018" t="str">
        <f>VLOOKUP(N2018,Status[],2,FALSE)</f>
        <v>Part-Time</v>
      </c>
      <c r="J2018" s="7">
        <v>1055</v>
      </c>
      <c r="K2018">
        <v>11</v>
      </c>
      <c r="L2018">
        <v>2017</v>
      </c>
      <c r="M2018">
        <v>5</v>
      </c>
      <c r="N2018">
        <v>0</v>
      </c>
    </row>
    <row r="2019" spans="1:14" x14ac:dyDescent="0.25">
      <c r="A2019" t="s">
        <v>4236</v>
      </c>
      <c r="B2019" t="s">
        <v>215</v>
      </c>
      <c r="C2019" t="s">
        <v>212</v>
      </c>
      <c r="D2019" t="str">
        <f>VLOOKUP(J2019,Location[],2,FALSE)</f>
        <v>Memphis</v>
      </c>
      <c r="E2019" t="str">
        <f>VLOOKUP(J2019,Location[],3,FALSE)</f>
        <v> Tennessee</v>
      </c>
      <c r="F2019" t="str">
        <f>VLOOKUP(K2019,Dept[],2,FALSE)</f>
        <v>Accounting</v>
      </c>
      <c r="G2019" s="11">
        <f t="shared" si="31"/>
        <v>43070</v>
      </c>
      <c r="H2019" t="str">
        <f>VLOOKUP(N2019,Status[],2,FALSE)</f>
        <v>Full-Time</v>
      </c>
      <c r="J2019" s="7">
        <v>1025</v>
      </c>
      <c r="K2019">
        <v>11</v>
      </c>
      <c r="L2019">
        <v>2017</v>
      </c>
      <c r="M2019">
        <v>12</v>
      </c>
      <c r="N2019">
        <v>1</v>
      </c>
    </row>
    <row r="2020" spans="1:14" x14ac:dyDescent="0.25">
      <c r="A2020" t="s">
        <v>4237</v>
      </c>
      <c r="B2020" t="s">
        <v>85</v>
      </c>
      <c r="C2020" t="s">
        <v>212</v>
      </c>
      <c r="D2020" t="str">
        <f>VLOOKUP(J2020,Location[],2,FALSE)</f>
        <v>Philadelphia</v>
      </c>
      <c r="E2020" t="str">
        <f>VLOOKUP(J2020,Location[],3,FALSE)</f>
        <v> Pennsylvania</v>
      </c>
      <c r="F2020" t="str">
        <f>VLOOKUP(K2020,Dept[],2,FALSE)</f>
        <v>Administration</v>
      </c>
      <c r="G2020" s="11">
        <f t="shared" si="31"/>
        <v>41548</v>
      </c>
      <c r="H2020" t="str">
        <f>VLOOKUP(N2020,Status[],2,FALSE)</f>
        <v>Full-Time</v>
      </c>
      <c r="J2020" s="7">
        <v>1006</v>
      </c>
      <c r="K2020">
        <v>12</v>
      </c>
      <c r="L2020">
        <v>2013</v>
      </c>
      <c r="M2020">
        <v>10</v>
      </c>
      <c r="N2020">
        <v>1</v>
      </c>
    </row>
    <row r="2021" spans="1:14" x14ac:dyDescent="0.25">
      <c r="A2021" t="s">
        <v>4238</v>
      </c>
      <c r="B2021" t="s">
        <v>211</v>
      </c>
      <c r="C2021" t="s">
        <v>212</v>
      </c>
      <c r="D2021" t="str">
        <f>VLOOKUP(J2021,Location[],2,FALSE)</f>
        <v>New York City</v>
      </c>
      <c r="E2021" t="str">
        <f>VLOOKUP(J2021,Location[],3,FALSE)</f>
        <v> New York</v>
      </c>
      <c r="F2021" t="str">
        <f>VLOOKUP(K2021,Dept[],2,FALSE)</f>
        <v>Sales</v>
      </c>
      <c r="G2021" s="11">
        <f t="shared" si="31"/>
        <v>40603</v>
      </c>
      <c r="H2021" t="str">
        <f>VLOOKUP(N2021,Status[],2,FALSE)</f>
        <v>Full-Time</v>
      </c>
      <c r="J2021" s="7">
        <v>1001</v>
      </c>
      <c r="K2021">
        <v>22</v>
      </c>
      <c r="L2021">
        <v>2011</v>
      </c>
      <c r="M2021">
        <v>3</v>
      </c>
      <c r="N2021">
        <v>1</v>
      </c>
    </row>
    <row r="2022" spans="1:14" x14ac:dyDescent="0.25">
      <c r="A2022" t="s">
        <v>4239</v>
      </c>
      <c r="B2022" t="s">
        <v>190</v>
      </c>
      <c r="C2022" t="s">
        <v>715</v>
      </c>
      <c r="D2022" t="str">
        <f>VLOOKUP(J2022,Location[],2,FALSE)</f>
        <v>Oklahoma City</v>
      </c>
      <c r="E2022" t="str">
        <f>VLOOKUP(J2022,Location[],3,FALSE)</f>
        <v> Oklahoma</v>
      </c>
      <c r="F2022" t="str">
        <f>VLOOKUP(K2022,Dept[],2,FALSE)</f>
        <v>Human Resources</v>
      </c>
      <c r="G2022" s="11">
        <f t="shared" si="31"/>
        <v>43101</v>
      </c>
      <c r="H2022" t="str">
        <f>VLOOKUP(N2022,Status[],2,FALSE)</f>
        <v>Full-Time</v>
      </c>
      <c r="J2022" s="7">
        <v>1027</v>
      </c>
      <c r="K2022">
        <v>16</v>
      </c>
      <c r="L2022">
        <v>2018</v>
      </c>
      <c r="M2022">
        <v>1</v>
      </c>
      <c r="N2022">
        <v>1</v>
      </c>
    </row>
    <row r="2023" spans="1:14" x14ac:dyDescent="0.25">
      <c r="A2023" t="s">
        <v>4240</v>
      </c>
      <c r="B2023" t="s">
        <v>186</v>
      </c>
      <c r="C2023" t="s">
        <v>1041</v>
      </c>
      <c r="D2023" t="str">
        <f>VLOOKUP(J2023,Location[],2,FALSE)</f>
        <v>New York City</v>
      </c>
      <c r="E2023" t="str">
        <f>VLOOKUP(J2023,Location[],3,FALSE)</f>
        <v> New York</v>
      </c>
      <c r="F2023" t="str">
        <f>VLOOKUP(K2023,Dept[],2,FALSE)</f>
        <v>Sales</v>
      </c>
      <c r="G2023" s="11">
        <f t="shared" si="31"/>
        <v>44044</v>
      </c>
      <c r="H2023" t="str">
        <f>VLOOKUP(N2023,Status[],2,FALSE)</f>
        <v>Full-Time</v>
      </c>
      <c r="J2023" s="7">
        <v>1001</v>
      </c>
      <c r="K2023">
        <v>22</v>
      </c>
      <c r="L2023">
        <v>2020</v>
      </c>
      <c r="M2023">
        <v>8</v>
      </c>
      <c r="N2023">
        <v>1</v>
      </c>
    </row>
    <row r="2024" spans="1:14" x14ac:dyDescent="0.25">
      <c r="A2024" t="s">
        <v>4241</v>
      </c>
      <c r="B2024" t="s">
        <v>848</v>
      </c>
      <c r="C2024" t="s">
        <v>849</v>
      </c>
      <c r="D2024" t="str">
        <f>VLOOKUP(J2024,Location[],2,FALSE)</f>
        <v>Houston</v>
      </c>
      <c r="E2024" t="str">
        <f>VLOOKUP(J2024,Location[],3,FALSE)</f>
        <v> Texas</v>
      </c>
      <c r="F2024" t="str">
        <f>VLOOKUP(K2024,Dept[],2,FALSE)</f>
        <v>IT</v>
      </c>
      <c r="G2024" s="11">
        <f t="shared" si="31"/>
        <v>44440</v>
      </c>
      <c r="H2024" t="str">
        <f>VLOOKUP(N2024,Status[],2,FALSE)</f>
        <v>Full-Time</v>
      </c>
      <c r="J2024" s="7">
        <v>1004</v>
      </c>
      <c r="K2024">
        <v>17</v>
      </c>
      <c r="L2024">
        <v>2021</v>
      </c>
      <c r="M2024">
        <v>9</v>
      </c>
      <c r="N2024">
        <v>1</v>
      </c>
    </row>
    <row r="2025" spans="1:14" x14ac:dyDescent="0.25">
      <c r="A2025" t="s">
        <v>4242</v>
      </c>
      <c r="B2025" t="s">
        <v>19</v>
      </c>
      <c r="C2025" t="s">
        <v>1778</v>
      </c>
      <c r="D2025" t="str">
        <f>VLOOKUP(J2025,Location[],2,FALSE)</f>
        <v>Las Vegas</v>
      </c>
      <c r="E2025" t="str">
        <f>VLOOKUP(J2025,Location[],3,FALSE)</f>
        <v> Nevada</v>
      </c>
      <c r="F2025" t="str">
        <f>VLOOKUP(K2025,Dept[],2,FALSE)</f>
        <v>IT</v>
      </c>
      <c r="G2025" s="11">
        <f t="shared" si="31"/>
        <v>41821</v>
      </c>
      <c r="H2025" t="str">
        <f>VLOOKUP(N2025,Status[],2,FALSE)</f>
        <v>Full-Time</v>
      </c>
      <c r="J2025" s="7">
        <v>1028</v>
      </c>
      <c r="K2025">
        <v>17</v>
      </c>
      <c r="L2025">
        <v>2014</v>
      </c>
      <c r="M2025">
        <v>7</v>
      </c>
      <c r="N2025">
        <v>1</v>
      </c>
    </row>
    <row r="2026" spans="1:14" x14ac:dyDescent="0.25">
      <c r="A2026" t="s">
        <v>4243</v>
      </c>
      <c r="B2026" t="s">
        <v>29</v>
      </c>
      <c r="C2026" t="s">
        <v>1393</v>
      </c>
      <c r="D2026" t="str">
        <f>VLOOKUP(J2026,Location[],2,FALSE)</f>
        <v>Portland</v>
      </c>
      <c r="E2026" t="str">
        <f>VLOOKUP(J2026,Location[],3,FALSE)</f>
        <v> Oregon</v>
      </c>
      <c r="F2026" t="str">
        <f>VLOOKUP(K2026,Dept[],2,FALSE)</f>
        <v>Accounting</v>
      </c>
      <c r="G2026" s="11">
        <f t="shared" si="31"/>
        <v>44805</v>
      </c>
      <c r="H2026" t="str">
        <f>VLOOKUP(N2026,Status[],2,FALSE)</f>
        <v>Part-Time</v>
      </c>
      <c r="J2026" s="7">
        <v>1026</v>
      </c>
      <c r="K2026">
        <v>11</v>
      </c>
      <c r="L2026">
        <v>2022</v>
      </c>
      <c r="M2026">
        <v>9</v>
      </c>
      <c r="N2026">
        <v>0</v>
      </c>
    </row>
    <row r="2027" spans="1:14" x14ac:dyDescent="0.25">
      <c r="A2027" t="s">
        <v>4244</v>
      </c>
      <c r="B2027" t="s">
        <v>482</v>
      </c>
      <c r="C2027" t="s">
        <v>496</v>
      </c>
      <c r="D2027" t="str">
        <f>VLOOKUP(J2027,Location[],2,FALSE)</f>
        <v>Cincinnati</v>
      </c>
      <c r="E2027" t="str">
        <f>VLOOKUP(J2027,Location[],3,FALSE)</f>
        <v> Ohio</v>
      </c>
      <c r="F2027" t="str">
        <f>VLOOKUP(K2027,Dept[],2,FALSE)</f>
        <v>Accounting</v>
      </c>
      <c r="G2027" s="11">
        <f t="shared" si="31"/>
        <v>44531</v>
      </c>
      <c r="H2027" t="str">
        <f>VLOOKUP(N2027,Status[],2,FALSE)</f>
        <v>Full-Time</v>
      </c>
      <c r="J2027" s="7">
        <v>1066</v>
      </c>
      <c r="K2027">
        <v>11</v>
      </c>
      <c r="L2027">
        <v>2021</v>
      </c>
      <c r="M2027">
        <v>12</v>
      </c>
      <c r="N2027">
        <v>1</v>
      </c>
    </row>
    <row r="2028" spans="1:14" x14ac:dyDescent="0.25">
      <c r="A2028" t="s">
        <v>4245</v>
      </c>
      <c r="B2028" t="s">
        <v>767</v>
      </c>
      <c r="C2028" t="s">
        <v>1633</v>
      </c>
      <c r="D2028" t="str">
        <f>VLOOKUP(J2028,Location[],2,FALSE)</f>
        <v>San Antonio</v>
      </c>
      <c r="E2028" t="str">
        <f>VLOOKUP(J2028,Location[],3,FALSE)</f>
        <v> Texas</v>
      </c>
      <c r="F2028" t="str">
        <f>VLOOKUP(K2028,Dept[],2,FALSE)</f>
        <v>Finance</v>
      </c>
      <c r="G2028" s="11">
        <f t="shared" si="31"/>
        <v>42675</v>
      </c>
      <c r="H2028" t="str">
        <f>VLOOKUP(N2028,Status[],2,FALSE)</f>
        <v>Part-Time</v>
      </c>
      <c r="J2028" s="7">
        <v>1007</v>
      </c>
      <c r="K2028">
        <v>15</v>
      </c>
      <c r="L2028">
        <v>2016</v>
      </c>
      <c r="M2028">
        <v>11</v>
      </c>
      <c r="N2028">
        <v>0</v>
      </c>
    </row>
  </sheetData>
  <mergeCells count="1">
    <mergeCell ref="J3:N3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916C-3F75-4569-87C6-B16E5BA4419F}">
  <dimension ref="A1:I92"/>
  <sheetViews>
    <sheetView zoomScale="120" zoomScaleNormal="120" workbookViewId="0">
      <selection activeCell="A2" sqref="A2"/>
    </sheetView>
  </sheetViews>
  <sheetFormatPr defaultRowHeight="15" x14ac:dyDescent="0.25"/>
  <cols>
    <col min="1" max="1" width="18.7109375" customWidth="1"/>
    <col min="2" max="2" width="16.28515625" bestFit="1" customWidth="1"/>
    <col min="3" max="3" width="19.140625" bestFit="1" customWidth="1"/>
    <col min="4" max="4" width="3.5703125" customWidth="1"/>
    <col min="5" max="5" width="12" customWidth="1"/>
    <col min="6" max="6" width="17.28515625" bestFit="1" customWidth="1"/>
    <col min="7" max="7" width="3.7109375" customWidth="1"/>
    <col min="8" max="8" width="14.5703125" customWidth="1"/>
    <col min="9" max="9" width="13.85546875" customWidth="1"/>
  </cols>
  <sheetData>
    <row r="1" spans="1:9" ht="23.25" x14ac:dyDescent="0.35">
      <c r="A1" s="1" t="s">
        <v>0</v>
      </c>
    </row>
    <row r="2" spans="1:9" ht="15.75" x14ac:dyDescent="0.25">
      <c r="A2" s="2" t="s">
        <v>2107</v>
      </c>
    </row>
    <row r="4" spans="1:9" x14ac:dyDescent="0.25">
      <c r="A4" t="s">
        <v>2219</v>
      </c>
      <c r="B4" t="s">
        <v>2105</v>
      </c>
      <c r="C4" t="s">
        <v>2106</v>
      </c>
      <c r="E4" t="s">
        <v>2233</v>
      </c>
      <c r="F4" t="s">
        <v>2234</v>
      </c>
      <c r="H4" t="s">
        <v>2235</v>
      </c>
      <c r="I4" t="s">
        <v>2104</v>
      </c>
    </row>
    <row r="5" spans="1:9" x14ac:dyDescent="0.25">
      <c r="A5" s="8">
        <v>1001</v>
      </c>
      <c r="B5" t="s">
        <v>2108</v>
      </c>
      <c r="C5" t="s">
        <v>2109</v>
      </c>
      <c r="E5" s="8">
        <v>11</v>
      </c>
      <c r="F5" t="s">
        <v>2220</v>
      </c>
      <c r="H5" s="9">
        <v>0</v>
      </c>
      <c r="I5" t="s">
        <v>2236</v>
      </c>
    </row>
    <row r="6" spans="1:9" x14ac:dyDescent="0.25">
      <c r="A6" s="8">
        <v>1002</v>
      </c>
      <c r="B6" t="s">
        <v>2110</v>
      </c>
      <c r="C6" t="s">
        <v>2111</v>
      </c>
      <c r="E6" s="8">
        <v>12</v>
      </c>
      <c r="F6" t="s">
        <v>2221</v>
      </c>
      <c r="H6" s="9">
        <v>1</v>
      </c>
      <c r="I6" t="s">
        <v>2237</v>
      </c>
    </row>
    <row r="7" spans="1:9" x14ac:dyDescent="0.25">
      <c r="A7" s="8">
        <v>1003</v>
      </c>
      <c r="B7" t="s">
        <v>2112</v>
      </c>
      <c r="C7" t="s">
        <v>2113</v>
      </c>
      <c r="E7" s="8">
        <v>13</v>
      </c>
      <c r="F7" t="s">
        <v>2222</v>
      </c>
    </row>
    <row r="8" spans="1:9" x14ac:dyDescent="0.25">
      <c r="A8" s="8">
        <v>1004</v>
      </c>
      <c r="B8" t="s">
        <v>627</v>
      </c>
      <c r="C8" t="s">
        <v>2114</v>
      </c>
      <c r="E8" s="8">
        <v>14</v>
      </c>
      <c r="F8" t="s">
        <v>2223</v>
      </c>
    </row>
    <row r="9" spans="1:9" x14ac:dyDescent="0.25">
      <c r="A9" s="8">
        <v>1005</v>
      </c>
      <c r="B9" t="s">
        <v>2115</v>
      </c>
      <c r="C9" t="s">
        <v>2116</v>
      </c>
      <c r="E9" s="8">
        <v>15</v>
      </c>
      <c r="F9" t="s">
        <v>2224</v>
      </c>
    </row>
    <row r="10" spans="1:9" x14ac:dyDescent="0.25">
      <c r="A10" s="8">
        <v>1006</v>
      </c>
      <c r="B10" t="s">
        <v>2117</v>
      </c>
      <c r="C10" t="s">
        <v>2118</v>
      </c>
      <c r="E10" s="8">
        <v>16</v>
      </c>
      <c r="F10" t="s">
        <v>2225</v>
      </c>
    </row>
    <row r="11" spans="1:9" x14ac:dyDescent="0.25">
      <c r="A11" s="8">
        <v>1007</v>
      </c>
      <c r="B11" t="s">
        <v>2119</v>
      </c>
      <c r="C11" t="s">
        <v>2114</v>
      </c>
      <c r="E11" s="8">
        <v>17</v>
      </c>
      <c r="F11" t="s">
        <v>2226</v>
      </c>
    </row>
    <row r="12" spans="1:9" x14ac:dyDescent="0.25">
      <c r="A12" s="8">
        <v>1008</v>
      </c>
      <c r="B12" t="s">
        <v>2120</v>
      </c>
      <c r="C12" t="s">
        <v>2111</v>
      </c>
      <c r="E12" s="8">
        <v>18</v>
      </c>
      <c r="F12" t="s">
        <v>2227</v>
      </c>
    </row>
    <row r="13" spans="1:9" x14ac:dyDescent="0.25">
      <c r="A13" s="8">
        <v>1009</v>
      </c>
      <c r="B13" t="s">
        <v>2121</v>
      </c>
      <c r="C13" t="s">
        <v>2114</v>
      </c>
      <c r="E13" s="8">
        <v>19</v>
      </c>
      <c r="F13" t="s">
        <v>2228</v>
      </c>
    </row>
    <row r="14" spans="1:9" x14ac:dyDescent="0.25">
      <c r="A14" s="8">
        <v>1010</v>
      </c>
      <c r="B14" t="s">
        <v>2122</v>
      </c>
      <c r="C14" t="s">
        <v>2111</v>
      </c>
      <c r="E14" s="8">
        <v>20</v>
      </c>
      <c r="F14" t="s">
        <v>2229</v>
      </c>
    </row>
    <row r="15" spans="1:9" x14ac:dyDescent="0.25">
      <c r="A15" s="8">
        <v>1011</v>
      </c>
      <c r="B15" t="s">
        <v>294</v>
      </c>
      <c r="C15" t="s">
        <v>2114</v>
      </c>
      <c r="E15" s="8">
        <v>21</v>
      </c>
      <c r="F15" t="s">
        <v>2230</v>
      </c>
    </row>
    <row r="16" spans="1:9" x14ac:dyDescent="0.25">
      <c r="A16" s="8">
        <v>1012</v>
      </c>
      <c r="B16" t="s">
        <v>2123</v>
      </c>
      <c r="C16" t="s">
        <v>2124</v>
      </c>
      <c r="E16" s="8">
        <v>22</v>
      </c>
      <c r="F16" t="s">
        <v>2231</v>
      </c>
    </row>
    <row r="17" spans="1:6" x14ac:dyDescent="0.25">
      <c r="A17" s="8">
        <v>1013</v>
      </c>
      <c r="B17" t="s">
        <v>2125</v>
      </c>
      <c r="C17" t="s">
        <v>2111</v>
      </c>
      <c r="E17" s="8">
        <v>23</v>
      </c>
      <c r="F17" t="s">
        <v>2232</v>
      </c>
    </row>
    <row r="18" spans="1:6" x14ac:dyDescent="0.25">
      <c r="A18" s="8">
        <v>1014</v>
      </c>
      <c r="B18" t="s">
        <v>2126</v>
      </c>
      <c r="C18" t="s">
        <v>2127</v>
      </c>
    </row>
    <row r="19" spans="1:6" x14ac:dyDescent="0.25">
      <c r="A19" s="8">
        <v>1015</v>
      </c>
      <c r="B19" t="s">
        <v>2128</v>
      </c>
      <c r="C19" t="s">
        <v>2114</v>
      </c>
    </row>
    <row r="20" spans="1:6" x14ac:dyDescent="0.25">
      <c r="A20" s="8">
        <v>1016</v>
      </c>
      <c r="B20" t="s">
        <v>2129</v>
      </c>
      <c r="C20" t="s">
        <v>2130</v>
      </c>
    </row>
    <row r="21" spans="1:6" x14ac:dyDescent="0.25">
      <c r="A21" s="8">
        <v>1017</v>
      </c>
      <c r="B21" t="s">
        <v>220</v>
      </c>
      <c r="C21" t="s">
        <v>2131</v>
      </c>
    </row>
    <row r="22" spans="1:6" x14ac:dyDescent="0.25">
      <c r="A22" s="8">
        <v>1018</v>
      </c>
      <c r="B22" t="s">
        <v>2132</v>
      </c>
      <c r="C22" t="s">
        <v>2133</v>
      </c>
    </row>
    <row r="23" spans="1:6" x14ac:dyDescent="0.25">
      <c r="A23" s="8">
        <v>1019</v>
      </c>
      <c r="B23" t="s">
        <v>2134</v>
      </c>
      <c r="C23" t="s">
        <v>2135</v>
      </c>
    </row>
    <row r="24" spans="1:6" x14ac:dyDescent="0.25">
      <c r="A24" s="8">
        <v>1020</v>
      </c>
      <c r="B24" t="s">
        <v>2136</v>
      </c>
      <c r="C24" t="s">
        <v>2137</v>
      </c>
    </row>
    <row r="25" spans="1:6" x14ac:dyDescent="0.25">
      <c r="A25" s="8">
        <v>1021</v>
      </c>
      <c r="B25" t="s">
        <v>1146</v>
      </c>
      <c r="C25" t="s">
        <v>2138</v>
      </c>
    </row>
    <row r="26" spans="1:6" x14ac:dyDescent="0.25">
      <c r="A26" s="8">
        <v>1022</v>
      </c>
      <c r="B26" t="s">
        <v>2139</v>
      </c>
      <c r="C26" t="s">
        <v>2114</v>
      </c>
    </row>
    <row r="27" spans="1:6" x14ac:dyDescent="0.25">
      <c r="A27" s="8">
        <v>1023</v>
      </c>
      <c r="B27" t="s">
        <v>2140</v>
      </c>
      <c r="C27" t="s">
        <v>2141</v>
      </c>
    </row>
    <row r="28" spans="1:6" x14ac:dyDescent="0.25">
      <c r="A28" s="8">
        <v>1024</v>
      </c>
      <c r="B28" t="s">
        <v>2142</v>
      </c>
      <c r="C28" t="s">
        <v>2143</v>
      </c>
    </row>
    <row r="29" spans="1:6" x14ac:dyDescent="0.25">
      <c r="A29" s="8">
        <v>1025</v>
      </c>
      <c r="B29" t="s">
        <v>2144</v>
      </c>
      <c r="C29" t="s">
        <v>2143</v>
      </c>
    </row>
    <row r="30" spans="1:6" x14ac:dyDescent="0.25">
      <c r="A30" s="8">
        <v>1026</v>
      </c>
      <c r="B30" t="s">
        <v>2145</v>
      </c>
      <c r="C30" t="s">
        <v>2146</v>
      </c>
    </row>
    <row r="31" spans="1:6" x14ac:dyDescent="0.25">
      <c r="A31" s="8">
        <v>1027</v>
      </c>
      <c r="B31" t="s">
        <v>2147</v>
      </c>
      <c r="C31" t="s">
        <v>2148</v>
      </c>
    </row>
    <row r="32" spans="1:6" x14ac:dyDescent="0.25">
      <c r="A32" s="8">
        <v>1028</v>
      </c>
      <c r="B32" t="s">
        <v>2149</v>
      </c>
      <c r="C32" t="s">
        <v>2150</v>
      </c>
    </row>
    <row r="33" spans="1:3" x14ac:dyDescent="0.25">
      <c r="A33" s="8">
        <v>1029</v>
      </c>
      <c r="B33" t="s">
        <v>2151</v>
      </c>
      <c r="C33" t="s">
        <v>2152</v>
      </c>
    </row>
    <row r="34" spans="1:3" x14ac:dyDescent="0.25">
      <c r="A34" s="8">
        <v>1030</v>
      </c>
      <c r="B34" t="s">
        <v>2153</v>
      </c>
      <c r="C34" t="s">
        <v>2154</v>
      </c>
    </row>
    <row r="35" spans="1:3" x14ac:dyDescent="0.25">
      <c r="A35" s="8">
        <v>1031</v>
      </c>
      <c r="B35" t="s">
        <v>2155</v>
      </c>
      <c r="C35" t="s">
        <v>2156</v>
      </c>
    </row>
    <row r="36" spans="1:3" x14ac:dyDescent="0.25">
      <c r="A36" s="8">
        <v>1032</v>
      </c>
      <c r="B36" t="s">
        <v>2157</v>
      </c>
      <c r="C36" t="s">
        <v>2158</v>
      </c>
    </row>
    <row r="37" spans="1:3" x14ac:dyDescent="0.25">
      <c r="A37" s="8">
        <v>1033</v>
      </c>
      <c r="B37" t="s">
        <v>2159</v>
      </c>
      <c r="C37" t="s">
        <v>2116</v>
      </c>
    </row>
    <row r="38" spans="1:3" x14ac:dyDescent="0.25">
      <c r="A38" s="8">
        <v>1034</v>
      </c>
      <c r="B38" t="s">
        <v>2160</v>
      </c>
      <c r="C38" t="s">
        <v>2111</v>
      </c>
    </row>
    <row r="39" spans="1:3" x14ac:dyDescent="0.25">
      <c r="A39" s="8">
        <v>1035</v>
      </c>
      <c r="B39" t="s">
        <v>2161</v>
      </c>
      <c r="C39" t="s">
        <v>2111</v>
      </c>
    </row>
    <row r="40" spans="1:3" x14ac:dyDescent="0.25">
      <c r="A40" s="8">
        <v>1036</v>
      </c>
      <c r="B40" t="s">
        <v>2162</v>
      </c>
      <c r="C40" t="s">
        <v>2116</v>
      </c>
    </row>
    <row r="41" spans="1:3" x14ac:dyDescent="0.25">
      <c r="A41" s="8">
        <v>1037</v>
      </c>
      <c r="B41" t="s">
        <v>2163</v>
      </c>
      <c r="C41" t="s">
        <v>2164</v>
      </c>
    </row>
    <row r="42" spans="1:3" x14ac:dyDescent="0.25">
      <c r="A42" s="8">
        <v>1038</v>
      </c>
      <c r="B42" t="s">
        <v>2165</v>
      </c>
      <c r="C42" t="s">
        <v>2166</v>
      </c>
    </row>
    <row r="43" spans="1:3" x14ac:dyDescent="0.25">
      <c r="A43" s="8">
        <v>1039</v>
      </c>
      <c r="B43" t="s">
        <v>2167</v>
      </c>
      <c r="C43" t="s">
        <v>2111</v>
      </c>
    </row>
    <row r="44" spans="1:3" x14ac:dyDescent="0.25">
      <c r="A44" s="8">
        <v>1040</v>
      </c>
      <c r="B44" t="s">
        <v>2168</v>
      </c>
      <c r="C44" t="s">
        <v>2169</v>
      </c>
    </row>
    <row r="45" spans="1:3" x14ac:dyDescent="0.25">
      <c r="A45" s="8">
        <v>1041</v>
      </c>
      <c r="B45" t="s">
        <v>679</v>
      </c>
      <c r="C45" t="s">
        <v>2131</v>
      </c>
    </row>
    <row r="46" spans="1:3" x14ac:dyDescent="0.25">
      <c r="A46" s="8">
        <v>1042</v>
      </c>
      <c r="B46" t="s">
        <v>2170</v>
      </c>
      <c r="C46" t="s">
        <v>2135</v>
      </c>
    </row>
    <row r="47" spans="1:3" x14ac:dyDescent="0.25">
      <c r="A47" s="8">
        <v>1043</v>
      </c>
      <c r="B47" t="s">
        <v>2171</v>
      </c>
      <c r="C47" t="s">
        <v>2124</v>
      </c>
    </row>
    <row r="48" spans="1:3" x14ac:dyDescent="0.25">
      <c r="A48" s="8">
        <v>1044</v>
      </c>
      <c r="B48" t="s">
        <v>2172</v>
      </c>
      <c r="C48" t="s">
        <v>2173</v>
      </c>
    </row>
    <row r="49" spans="1:3" x14ac:dyDescent="0.25">
      <c r="A49" s="8">
        <v>1045</v>
      </c>
      <c r="B49" t="s">
        <v>2174</v>
      </c>
      <c r="C49" t="s">
        <v>2111</v>
      </c>
    </row>
    <row r="50" spans="1:3" x14ac:dyDescent="0.25">
      <c r="A50" s="8">
        <v>1046</v>
      </c>
      <c r="B50" t="s">
        <v>2175</v>
      </c>
      <c r="C50" t="s">
        <v>2176</v>
      </c>
    </row>
    <row r="51" spans="1:3" x14ac:dyDescent="0.25">
      <c r="A51" s="8">
        <v>1047</v>
      </c>
      <c r="B51" t="s">
        <v>2177</v>
      </c>
      <c r="C51" t="s">
        <v>2148</v>
      </c>
    </row>
    <row r="52" spans="1:3" x14ac:dyDescent="0.25">
      <c r="A52" s="8">
        <v>1048</v>
      </c>
      <c r="B52" t="s">
        <v>2178</v>
      </c>
      <c r="C52" t="s">
        <v>2114</v>
      </c>
    </row>
    <row r="53" spans="1:3" x14ac:dyDescent="0.25">
      <c r="A53" s="8">
        <v>1049</v>
      </c>
      <c r="B53" t="s">
        <v>2179</v>
      </c>
      <c r="C53" t="s">
        <v>2180</v>
      </c>
    </row>
    <row r="54" spans="1:3" x14ac:dyDescent="0.25">
      <c r="A54" s="8">
        <v>1050</v>
      </c>
      <c r="B54" t="s">
        <v>2181</v>
      </c>
      <c r="C54" t="s">
        <v>2182</v>
      </c>
    </row>
    <row r="55" spans="1:3" x14ac:dyDescent="0.25">
      <c r="A55" s="8">
        <v>1051</v>
      </c>
      <c r="B55" t="s">
        <v>2183</v>
      </c>
      <c r="C55" t="s">
        <v>2127</v>
      </c>
    </row>
    <row r="56" spans="1:3" x14ac:dyDescent="0.25">
      <c r="A56" s="8">
        <v>1052</v>
      </c>
      <c r="B56" t="s">
        <v>2184</v>
      </c>
      <c r="C56" t="s">
        <v>2124</v>
      </c>
    </row>
    <row r="57" spans="1:3" x14ac:dyDescent="0.25">
      <c r="A57" s="8">
        <v>1053</v>
      </c>
      <c r="B57" t="s">
        <v>2185</v>
      </c>
      <c r="C57" t="s">
        <v>2111</v>
      </c>
    </row>
    <row r="58" spans="1:3" x14ac:dyDescent="0.25">
      <c r="A58" s="8">
        <v>1054</v>
      </c>
      <c r="B58" t="s">
        <v>702</v>
      </c>
      <c r="C58" t="s">
        <v>2135</v>
      </c>
    </row>
    <row r="59" spans="1:3" x14ac:dyDescent="0.25">
      <c r="A59" s="8">
        <v>1055</v>
      </c>
      <c r="B59" t="s">
        <v>2186</v>
      </c>
      <c r="C59" t="s">
        <v>2111</v>
      </c>
    </row>
    <row r="60" spans="1:3" x14ac:dyDescent="0.25">
      <c r="A60" s="8">
        <v>1056</v>
      </c>
      <c r="B60" t="s">
        <v>2187</v>
      </c>
      <c r="C60" t="s">
        <v>2188</v>
      </c>
    </row>
    <row r="61" spans="1:3" x14ac:dyDescent="0.25">
      <c r="A61" s="8">
        <v>1057</v>
      </c>
      <c r="B61" t="s">
        <v>2189</v>
      </c>
      <c r="C61" t="s">
        <v>2111</v>
      </c>
    </row>
    <row r="62" spans="1:3" x14ac:dyDescent="0.25">
      <c r="A62" s="8">
        <v>1058</v>
      </c>
      <c r="B62" t="s">
        <v>2190</v>
      </c>
      <c r="C62" t="s">
        <v>2111</v>
      </c>
    </row>
    <row r="63" spans="1:3" x14ac:dyDescent="0.25">
      <c r="A63" s="8">
        <v>1059</v>
      </c>
      <c r="B63" t="s">
        <v>2191</v>
      </c>
      <c r="C63" t="s">
        <v>2114</v>
      </c>
    </row>
    <row r="64" spans="1:3" x14ac:dyDescent="0.25">
      <c r="A64" s="8">
        <v>1060</v>
      </c>
      <c r="B64" t="s">
        <v>2192</v>
      </c>
      <c r="C64" t="s">
        <v>2152</v>
      </c>
    </row>
    <row r="65" spans="1:3" x14ac:dyDescent="0.25">
      <c r="A65" s="8">
        <v>1061</v>
      </c>
      <c r="B65" t="s">
        <v>2193</v>
      </c>
      <c r="C65" t="s">
        <v>2111</v>
      </c>
    </row>
    <row r="66" spans="1:3" x14ac:dyDescent="0.25">
      <c r="A66" s="8">
        <v>1062</v>
      </c>
      <c r="B66" t="s">
        <v>2194</v>
      </c>
      <c r="C66" t="s">
        <v>2164</v>
      </c>
    </row>
    <row r="67" spans="1:3" x14ac:dyDescent="0.25">
      <c r="A67" s="8">
        <v>1063</v>
      </c>
      <c r="B67" t="s">
        <v>2195</v>
      </c>
      <c r="C67" t="s">
        <v>2176</v>
      </c>
    </row>
    <row r="68" spans="1:3" x14ac:dyDescent="0.25">
      <c r="A68" s="8">
        <v>1064</v>
      </c>
      <c r="B68" t="s">
        <v>1364</v>
      </c>
      <c r="C68" t="s">
        <v>2150</v>
      </c>
    </row>
    <row r="69" spans="1:3" x14ac:dyDescent="0.25">
      <c r="A69" s="8">
        <v>1065</v>
      </c>
      <c r="B69" t="s">
        <v>2196</v>
      </c>
      <c r="C69" t="s">
        <v>2118</v>
      </c>
    </row>
    <row r="70" spans="1:3" x14ac:dyDescent="0.25">
      <c r="A70" s="8">
        <v>1066</v>
      </c>
      <c r="B70" t="s">
        <v>2197</v>
      </c>
      <c r="C70" t="s">
        <v>2127</v>
      </c>
    </row>
    <row r="71" spans="1:3" x14ac:dyDescent="0.25">
      <c r="A71" s="8">
        <v>1067</v>
      </c>
      <c r="B71" t="s">
        <v>2198</v>
      </c>
      <c r="C71" t="s">
        <v>2199</v>
      </c>
    </row>
    <row r="72" spans="1:3" x14ac:dyDescent="0.25">
      <c r="A72" s="8">
        <v>1068</v>
      </c>
      <c r="B72" t="s">
        <v>2200</v>
      </c>
      <c r="C72" t="s">
        <v>2131</v>
      </c>
    </row>
    <row r="73" spans="1:3" x14ac:dyDescent="0.25">
      <c r="A73" s="8">
        <v>1069</v>
      </c>
      <c r="B73" t="s">
        <v>2201</v>
      </c>
      <c r="C73" t="s">
        <v>2114</v>
      </c>
    </row>
    <row r="74" spans="1:3" x14ac:dyDescent="0.25">
      <c r="A74" s="8">
        <v>1070</v>
      </c>
      <c r="B74" t="s">
        <v>2202</v>
      </c>
      <c r="C74" t="s">
        <v>2203</v>
      </c>
    </row>
    <row r="75" spans="1:3" x14ac:dyDescent="0.25">
      <c r="A75" s="8">
        <v>1071</v>
      </c>
      <c r="B75" t="s">
        <v>2204</v>
      </c>
      <c r="C75" t="s">
        <v>2169</v>
      </c>
    </row>
    <row r="76" spans="1:3" x14ac:dyDescent="0.25">
      <c r="A76" s="8">
        <v>1072</v>
      </c>
      <c r="B76" t="s">
        <v>2205</v>
      </c>
      <c r="C76" t="s">
        <v>2124</v>
      </c>
    </row>
    <row r="77" spans="1:3" x14ac:dyDescent="0.25">
      <c r="A77" s="8">
        <v>1073</v>
      </c>
      <c r="B77" t="s">
        <v>2206</v>
      </c>
      <c r="C77" t="s">
        <v>2111</v>
      </c>
    </row>
    <row r="78" spans="1:3" x14ac:dyDescent="0.25">
      <c r="A78" s="8">
        <v>1074</v>
      </c>
      <c r="B78" t="s">
        <v>1934</v>
      </c>
      <c r="C78" t="s">
        <v>2127</v>
      </c>
    </row>
    <row r="79" spans="1:3" x14ac:dyDescent="0.25">
      <c r="A79" s="8">
        <v>1075</v>
      </c>
      <c r="B79" t="s">
        <v>2207</v>
      </c>
      <c r="C79" t="s">
        <v>2203</v>
      </c>
    </row>
    <row r="80" spans="1:3" x14ac:dyDescent="0.25">
      <c r="A80" s="8">
        <v>1076</v>
      </c>
      <c r="B80" t="s">
        <v>2208</v>
      </c>
      <c r="C80" t="s">
        <v>2111</v>
      </c>
    </row>
    <row r="81" spans="1:3" x14ac:dyDescent="0.25">
      <c r="A81" s="8">
        <v>1077</v>
      </c>
      <c r="B81" t="s">
        <v>1378</v>
      </c>
      <c r="C81" t="s">
        <v>2131</v>
      </c>
    </row>
    <row r="82" spans="1:3" x14ac:dyDescent="0.25">
      <c r="A82" s="8">
        <v>1078</v>
      </c>
      <c r="B82" t="s">
        <v>2209</v>
      </c>
      <c r="C82" t="s">
        <v>2130</v>
      </c>
    </row>
    <row r="83" spans="1:3" x14ac:dyDescent="0.25">
      <c r="A83" s="8">
        <v>1079</v>
      </c>
      <c r="B83" t="s">
        <v>2210</v>
      </c>
      <c r="C83" t="s">
        <v>2124</v>
      </c>
    </row>
    <row r="84" spans="1:3" x14ac:dyDescent="0.25">
      <c r="A84" s="8">
        <v>1080</v>
      </c>
      <c r="B84" t="s">
        <v>2211</v>
      </c>
      <c r="C84" t="s">
        <v>2114</v>
      </c>
    </row>
    <row r="85" spans="1:3" x14ac:dyDescent="0.25">
      <c r="A85" s="8">
        <v>1081</v>
      </c>
      <c r="B85" t="s">
        <v>2212</v>
      </c>
      <c r="C85" t="s">
        <v>2109</v>
      </c>
    </row>
    <row r="86" spans="1:3" x14ac:dyDescent="0.25">
      <c r="A86" s="8">
        <v>1082</v>
      </c>
      <c r="B86" t="s">
        <v>2213</v>
      </c>
      <c r="C86" t="s">
        <v>2156</v>
      </c>
    </row>
    <row r="87" spans="1:3" x14ac:dyDescent="0.25">
      <c r="A87" s="8">
        <v>1083</v>
      </c>
      <c r="B87" t="s">
        <v>2214</v>
      </c>
      <c r="C87" t="s">
        <v>2114</v>
      </c>
    </row>
    <row r="88" spans="1:3" x14ac:dyDescent="0.25">
      <c r="A88" s="8">
        <v>1084</v>
      </c>
      <c r="B88" t="s">
        <v>751</v>
      </c>
      <c r="C88" t="s">
        <v>2116</v>
      </c>
    </row>
    <row r="89" spans="1:3" x14ac:dyDescent="0.25">
      <c r="A89" s="8">
        <v>1085</v>
      </c>
      <c r="B89" t="s">
        <v>2215</v>
      </c>
      <c r="C89" t="s">
        <v>2116</v>
      </c>
    </row>
    <row r="90" spans="1:3" x14ac:dyDescent="0.25">
      <c r="A90" s="8">
        <v>1086</v>
      </c>
      <c r="B90" t="s">
        <v>2216</v>
      </c>
      <c r="C90" t="s">
        <v>2150</v>
      </c>
    </row>
    <row r="91" spans="1:3" x14ac:dyDescent="0.25">
      <c r="A91" s="8">
        <v>1087</v>
      </c>
      <c r="B91" t="s">
        <v>2217</v>
      </c>
      <c r="C91" t="s">
        <v>2116</v>
      </c>
    </row>
    <row r="92" spans="1:3" x14ac:dyDescent="0.25">
      <c r="A92" s="8">
        <v>1088</v>
      </c>
      <c r="B92" t="s">
        <v>2218</v>
      </c>
      <c r="C92" t="s">
        <v>2173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Employees</vt:lpstr>
      <vt:lpstr>Code 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Review Assignment</dc:title>
  <dc:creator>Your Name</dc:creator>
  <cp:lastModifiedBy>Patrick Carey</cp:lastModifiedBy>
  <dcterms:created xsi:type="dcterms:W3CDTF">2019-05-03T19:30:40Z</dcterms:created>
  <dcterms:modified xsi:type="dcterms:W3CDTF">2021-10-07T22:18:49Z</dcterms:modified>
</cp:coreProperties>
</file>
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A\Case2\"/>
    </mc:Choice>
  </mc:AlternateContent>
  <xr:revisionPtr revIDLastSave="0" documentId="13_ncr:1_{1BEB60D9-617F-41E2-A00D-4DF799E85BE4}" xr6:coauthVersionLast="46" xr6:coauthVersionMax="46" xr10:uidLastSave="{00000000-0000-0000-0000-000000000000}"/>
  <bookViews>
    <workbookView xWindow="-120" yWindow="-120" windowWidth="29040" windowHeight="15840" xr2:uid="{A96966C5-6E3B-40E2-92C0-3C50FB3ABCA0}"/>
  </bookViews>
  <sheets>
    <sheet name="Documentation" sheetId="1" r:id="rId1"/>
    <sheet name="Machine Log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G28" i="2"/>
  <c r="G27" i="2"/>
  <c r="G90" i="2"/>
  <c r="G91" i="2"/>
  <c r="G52" i="2"/>
  <c r="G47" i="2"/>
  <c r="G123" i="2"/>
  <c r="G59" i="2"/>
  <c r="G101" i="2"/>
  <c r="G75" i="2"/>
  <c r="G95" i="2"/>
  <c r="G43" i="2"/>
  <c r="G11" i="2"/>
  <c r="G116" i="2"/>
  <c r="G40" i="2"/>
  <c r="G84" i="2"/>
  <c r="G35" i="2"/>
  <c r="G69" i="2"/>
  <c r="G119" i="2"/>
  <c r="G103" i="2"/>
  <c r="G41" i="2"/>
  <c r="G51" i="2"/>
  <c r="G19" i="2"/>
  <c r="G53" i="2"/>
  <c r="G112" i="2"/>
  <c r="G10" i="2"/>
  <c r="G9" i="2"/>
  <c r="G102" i="2"/>
  <c r="G82" i="2"/>
  <c r="G20" i="2"/>
  <c r="G64" i="2"/>
  <c r="G81" i="2"/>
  <c r="G58" i="2"/>
  <c r="G46" i="2"/>
  <c r="G49" i="2"/>
  <c r="G15" i="2"/>
  <c r="G24" i="2"/>
  <c r="G38" i="2"/>
  <c r="G96" i="2"/>
  <c r="G76" i="2"/>
  <c r="G26" i="2"/>
  <c r="G57" i="2"/>
  <c r="G107" i="2"/>
  <c r="G122" i="2"/>
  <c r="G14" i="2"/>
  <c r="G113" i="2"/>
  <c r="G34" i="2"/>
  <c r="G121" i="2"/>
  <c r="G62" i="2"/>
  <c r="G60" i="2"/>
  <c r="G12" i="2"/>
  <c r="G106" i="2"/>
  <c r="G109" i="2"/>
  <c r="G50" i="2"/>
  <c r="G68" i="2"/>
  <c r="G127" i="2"/>
  <c r="G120" i="2"/>
  <c r="G124" i="2"/>
  <c r="G104" i="2"/>
  <c r="G79" i="2"/>
  <c r="G80" i="2"/>
  <c r="G87" i="2"/>
  <c r="G70" i="2"/>
  <c r="G108" i="2"/>
  <c r="G44" i="2"/>
  <c r="G86" i="2"/>
  <c r="G33" i="2"/>
  <c r="G99" i="2"/>
  <c r="G125" i="2"/>
  <c r="G67" i="2"/>
  <c r="G114" i="2"/>
  <c r="G118" i="2"/>
  <c r="G25" i="2"/>
  <c r="G88" i="2"/>
  <c r="G97" i="2"/>
  <c r="G39" i="2"/>
  <c r="G117" i="2"/>
  <c r="G128" i="2"/>
  <c r="G22" i="2"/>
  <c r="G73" i="2"/>
  <c r="G45" i="2"/>
  <c r="G16" i="2"/>
  <c r="G89" i="2"/>
  <c r="G23" i="2"/>
  <c r="G18" i="2"/>
  <c r="G61" i="2"/>
  <c r="G31" i="2"/>
  <c r="G37" i="2"/>
  <c r="G32" i="2"/>
  <c r="G94" i="2"/>
  <c r="G13" i="2"/>
  <c r="G65" i="2"/>
  <c r="G98" i="2"/>
  <c r="G74" i="2"/>
  <c r="G54" i="2"/>
  <c r="G77" i="2"/>
  <c r="G115" i="2"/>
  <c r="G110" i="2"/>
  <c r="G63" i="2"/>
  <c r="G36" i="2"/>
  <c r="G30" i="2"/>
  <c r="G21" i="2"/>
  <c r="G17" i="2"/>
  <c r="G126" i="2"/>
  <c r="G93" i="2"/>
  <c r="G100" i="2"/>
  <c r="G111" i="2"/>
  <c r="G66" i="2"/>
  <c r="G42" i="2"/>
  <c r="G55" i="2"/>
  <c r="G105" i="2"/>
  <c r="G78" i="2"/>
  <c r="G83" i="2"/>
  <c r="G72" i="2"/>
  <c r="G85" i="2"/>
  <c r="G71" i="2"/>
  <c r="G29" i="2"/>
  <c r="G56" i="2"/>
  <c r="G48" i="2"/>
  <c r="G92" i="2"/>
  <c r="D48" i="2"/>
  <c r="C48" i="2"/>
  <c r="B48" i="2"/>
  <c r="D56" i="2"/>
  <c r="C56" i="2"/>
  <c r="B56" i="2"/>
  <c r="D29" i="2"/>
  <c r="C29" i="2"/>
  <c r="B29" i="2"/>
  <c r="D71" i="2"/>
  <c r="C71" i="2"/>
  <c r="B71" i="2"/>
  <c r="D85" i="2"/>
  <c r="C85" i="2"/>
  <c r="B85" i="2"/>
  <c r="D72" i="2"/>
  <c r="C72" i="2"/>
  <c r="B72" i="2"/>
  <c r="D83" i="2"/>
  <c r="C83" i="2"/>
  <c r="B83" i="2"/>
  <c r="D78" i="2"/>
  <c r="C78" i="2"/>
  <c r="B78" i="2"/>
  <c r="D105" i="2"/>
  <c r="C105" i="2"/>
  <c r="B105" i="2"/>
  <c r="D55" i="2"/>
  <c r="C55" i="2"/>
  <c r="B55" i="2"/>
  <c r="D42" i="2"/>
  <c r="C42" i="2"/>
  <c r="B42" i="2"/>
  <c r="D66" i="2"/>
  <c r="C66" i="2"/>
  <c r="B66" i="2"/>
  <c r="D111" i="2"/>
  <c r="C111" i="2"/>
  <c r="B111" i="2"/>
  <c r="D100" i="2"/>
  <c r="C100" i="2"/>
  <c r="B100" i="2"/>
  <c r="D93" i="2"/>
  <c r="C93" i="2"/>
  <c r="B93" i="2"/>
  <c r="D126" i="2"/>
  <c r="C126" i="2"/>
  <c r="B126" i="2"/>
  <c r="D17" i="2"/>
  <c r="C17" i="2"/>
  <c r="B17" i="2"/>
  <c r="D21" i="2"/>
  <c r="C21" i="2"/>
  <c r="B21" i="2"/>
  <c r="D30" i="2"/>
  <c r="C30" i="2"/>
  <c r="B30" i="2"/>
  <c r="D36" i="2"/>
  <c r="C36" i="2"/>
  <c r="B36" i="2"/>
  <c r="D63" i="2"/>
  <c r="C63" i="2"/>
  <c r="B63" i="2"/>
  <c r="D110" i="2"/>
  <c r="C110" i="2"/>
  <c r="B110" i="2"/>
  <c r="D115" i="2"/>
  <c r="C115" i="2"/>
  <c r="B115" i="2"/>
  <c r="D77" i="2"/>
  <c r="C77" i="2"/>
  <c r="B77" i="2"/>
  <c r="D54" i="2"/>
  <c r="C54" i="2"/>
  <c r="B54" i="2"/>
  <c r="D74" i="2"/>
  <c r="C74" i="2"/>
  <c r="B74" i="2"/>
  <c r="D98" i="2"/>
  <c r="C98" i="2"/>
  <c r="B98" i="2"/>
  <c r="D65" i="2"/>
  <c r="C65" i="2"/>
  <c r="B65" i="2"/>
  <c r="D13" i="2"/>
  <c r="C13" i="2"/>
  <c r="B13" i="2"/>
  <c r="D94" i="2"/>
  <c r="C94" i="2"/>
  <c r="B94" i="2"/>
  <c r="D32" i="2"/>
  <c r="C32" i="2"/>
  <c r="B32" i="2"/>
  <c r="D37" i="2"/>
  <c r="C37" i="2"/>
  <c r="B37" i="2"/>
  <c r="D31" i="2"/>
  <c r="C31" i="2"/>
  <c r="B31" i="2"/>
  <c r="D61" i="2"/>
  <c r="C61" i="2"/>
  <c r="B61" i="2"/>
  <c r="D18" i="2"/>
  <c r="C18" i="2"/>
  <c r="B18" i="2"/>
  <c r="D23" i="2"/>
  <c r="C23" i="2"/>
  <c r="B23" i="2"/>
  <c r="D89" i="2"/>
  <c r="C89" i="2"/>
  <c r="B89" i="2"/>
  <c r="D16" i="2"/>
  <c r="C16" i="2"/>
  <c r="B16" i="2"/>
  <c r="D45" i="2"/>
  <c r="C45" i="2"/>
  <c r="B45" i="2"/>
  <c r="D73" i="2"/>
  <c r="C73" i="2"/>
  <c r="B73" i="2"/>
  <c r="D22" i="2"/>
  <c r="C22" i="2"/>
  <c r="B22" i="2"/>
  <c r="D128" i="2"/>
  <c r="C128" i="2"/>
  <c r="B128" i="2"/>
  <c r="D117" i="2"/>
  <c r="C117" i="2"/>
  <c r="B117" i="2"/>
  <c r="D39" i="2"/>
  <c r="C39" i="2"/>
  <c r="B39" i="2"/>
  <c r="D97" i="2"/>
  <c r="C97" i="2"/>
  <c r="B97" i="2"/>
  <c r="D88" i="2"/>
  <c r="C88" i="2"/>
  <c r="B88" i="2"/>
  <c r="D25" i="2"/>
  <c r="C25" i="2"/>
  <c r="B25" i="2"/>
  <c r="D118" i="2"/>
  <c r="C118" i="2"/>
  <c r="B118" i="2"/>
  <c r="D114" i="2"/>
  <c r="C114" i="2"/>
  <c r="B114" i="2"/>
  <c r="D67" i="2"/>
  <c r="C67" i="2"/>
  <c r="B67" i="2"/>
  <c r="D125" i="2"/>
  <c r="C125" i="2"/>
  <c r="B125" i="2"/>
  <c r="D99" i="2"/>
  <c r="C99" i="2"/>
  <c r="B99" i="2"/>
  <c r="D33" i="2"/>
  <c r="C33" i="2"/>
  <c r="B33" i="2"/>
  <c r="D86" i="2"/>
  <c r="C86" i="2"/>
  <c r="B86" i="2"/>
  <c r="D44" i="2"/>
  <c r="C44" i="2"/>
  <c r="B44" i="2"/>
  <c r="D108" i="2"/>
  <c r="C108" i="2"/>
  <c r="B108" i="2"/>
  <c r="D70" i="2"/>
  <c r="C70" i="2"/>
  <c r="B70" i="2"/>
  <c r="D87" i="2"/>
  <c r="C87" i="2"/>
  <c r="B87" i="2"/>
  <c r="D80" i="2"/>
  <c r="C80" i="2"/>
  <c r="B80" i="2"/>
  <c r="D79" i="2"/>
  <c r="C79" i="2"/>
  <c r="B79" i="2"/>
  <c r="D104" i="2"/>
  <c r="C104" i="2"/>
  <c r="B104" i="2"/>
  <c r="D124" i="2"/>
  <c r="C124" i="2"/>
  <c r="B124" i="2"/>
  <c r="D120" i="2"/>
  <c r="C120" i="2"/>
  <c r="B120" i="2"/>
  <c r="D127" i="2"/>
  <c r="C127" i="2"/>
  <c r="B127" i="2"/>
  <c r="D68" i="2"/>
  <c r="C68" i="2"/>
  <c r="B68" i="2"/>
  <c r="D50" i="2"/>
  <c r="C50" i="2"/>
  <c r="B50" i="2"/>
  <c r="D109" i="2"/>
  <c r="C109" i="2"/>
  <c r="B109" i="2"/>
  <c r="D106" i="2"/>
  <c r="C106" i="2"/>
  <c r="B106" i="2"/>
  <c r="D12" i="2"/>
  <c r="C12" i="2"/>
  <c r="B12" i="2"/>
  <c r="D60" i="2"/>
  <c r="C60" i="2"/>
  <c r="B60" i="2"/>
  <c r="D62" i="2"/>
  <c r="C62" i="2"/>
  <c r="B62" i="2"/>
  <c r="D121" i="2"/>
  <c r="C121" i="2"/>
  <c r="B121" i="2"/>
  <c r="D34" i="2"/>
  <c r="C34" i="2"/>
  <c r="B34" i="2"/>
  <c r="D113" i="2"/>
  <c r="C113" i="2"/>
  <c r="B113" i="2"/>
  <c r="D14" i="2"/>
  <c r="C14" i="2"/>
  <c r="B14" i="2"/>
  <c r="D122" i="2"/>
  <c r="C122" i="2"/>
  <c r="B122" i="2"/>
  <c r="D107" i="2"/>
  <c r="C107" i="2"/>
  <c r="B107" i="2"/>
  <c r="D57" i="2"/>
  <c r="C57" i="2"/>
  <c r="B57" i="2"/>
  <c r="D26" i="2"/>
  <c r="C26" i="2"/>
  <c r="B26" i="2"/>
  <c r="D76" i="2"/>
  <c r="C76" i="2"/>
  <c r="B76" i="2"/>
  <c r="D96" i="2"/>
  <c r="C96" i="2"/>
  <c r="B96" i="2"/>
  <c r="D38" i="2"/>
  <c r="C38" i="2"/>
  <c r="B38" i="2"/>
  <c r="D24" i="2"/>
  <c r="C24" i="2"/>
  <c r="B24" i="2"/>
  <c r="D15" i="2"/>
  <c r="C15" i="2"/>
  <c r="B15" i="2"/>
  <c r="D49" i="2"/>
  <c r="C49" i="2"/>
  <c r="B49" i="2"/>
  <c r="D46" i="2"/>
  <c r="C46" i="2"/>
  <c r="B46" i="2"/>
  <c r="D58" i="2"/>
  <c r="C58" i="2"/>
  <c r="B58" i="2"/>
  <c r="D81" i="2"/>
  <c r="C81" i="2"/>
  <c r="B81" i="2"/>
  <c r="D64" i="2"/>
  <c r="C64" i="2"/>
  <c r="B64" i="2"/>
  <c r="D20" i="2"/>
  <c r="C20" i="2"/>
  <c r="B20" i="2"/>
  <c r="D82" i="2"/>
  <c r="C82" i="2"/>
  <c r="B82" i="2"/>
  <c r="D102" i="2"/>
  <c r="C102" i="2"/>
  <c r="B102" i="2"/>
  <c r="D9" i="2"/>
  <c r="C9" i="2"/>
  <c r="B9" i="2"/>
  <c r="D10" i="2"/>
  <c r="C10" i="2"/>
  <c r="B10" i="2"/>
  <c r="D112" i="2"/>
  <c r="C112" i="2"/>
  <c r="B112" i="2"/>
  <c r="D53" i="2"/>
  <c r="C53" i="2"/>
  <c r="B53" i="2"/>
  <c r="D19" i="2"/>
  <c r="C19" i="2"/>
  <c r="B19" i="2"/>
  <c r="D51" i="2"/>
  <c r="C51" i="2"/>
  <c r="B51" i="2"/>
  <c r="D41" i="2"/>
  <c r="C41" i="2"/>
  <c r="B41" i="2"/>
  <c r="D103" i="2"/>
  <c r="C103" i="2"/>
  <c r="B103" i="2"/>
  <c r="D119" i="2"/>
  <c r="C119" i="2"/>
  <c r="B119" i="2"/>
  <c r="D69" i="2"/>
  <c r="C69" i="2"/>
  <c r="B69" i="2"/>
  <c r="D35" i="2"/>
  <c r="C35" i="2"/>
  <c r="B35" i="2"/>
  <c r="D84" i="2"/>
  <c r="C84" i="2"/>
  <c r="B84" i="2"/>
  <c r="D40" i="2"/>
  <c r="C40" i="2"/>
  <c r="B40" i="2"/>
  <c r="D116" i="2"/>
  <c r="C116" i="2"/>
  <c r="B116" i="2"/>
  <c r="D11" i="2"/>
  <c r="C11" i="2"/>
  <c r="B11" i="2"/>
  <c r="D43" i="2"/>
  <c r="C43" i="2"/>
  <c r="B43" i="2"/>
  <c r="D95" i="2"/>
  <c r="C95" i="2"/>
  <c r="B95" i="2"/>
  <c r="D75" i="2"/>
  <c r="C75" i="2"/>
  <c r="B75" i="2"/>
  <c r="D101" i="2"/>
  <c r="C101" i="2"/>
  <c r="B101" i="2"/>
  <c r="D59" i="2"/>
  <c r="C59" i="2"/>
  <c r="B59" i="2"/>
  <c r="D123" i="2"/>
  <c r="C123" i="2"/>
  <c r="B123" i="2"/>
  <c r="D47" i="2"/>
  <c r="C47" i="2"/>
  <c r="B47" i="2"/>
  <c r="D52" i="2"/>
  <c r="C52" i="2"/>
  <c r="B52" i="2"/>
  <c r="D91" i="2"/>
  <c r="C91" i="2"/>
  <c r="B91" i="2"/>
  <c r="D90" i="2"/>
  <c r="C90" i="2"/>
  <c r="B90" i="2"/>
  <c r="D27" i="2"/>
  <c r="C27" i="2"/>
  <c r="B27" i="2"/>
  <c r="D28" i="2"/>
  <c r="C28" i="2"/>
  <c r="B28" i="2"/>
  <c r="D92" i="2"/>
  <c r="C92" i="2"/>
  <c r="B92" i="2"/>
</calcChain>
</file>

<file path=xl/sharedStrings.xml><?xml version="1.0" encoding="utf-8"?>
<sst xmlns="http://schemas.openxmlformats.org/spreadsheetml/2006/main" count="258" uniqueCount="145">
  <si>
    <t>Author</t>
  </si>
  <si>
    <t>Date</t>
  </si>
  <si>
    <t>Purpose</t>
  </si>
  <si>
    <t>LeCroix Manufacturing</t>
  </si>
  <si>
    <t>To record usage and quality control data on filling machines</t>
  </si>
  <si>
    <t>Current</t>
  </si>
  <si>
    <t>Time</t>
  </si>
  <si>
    <t>Date &amp; Time</t>
  </si>
  <si>
    <t>Last Serviced</t>
  </si>
  <si>
    <t>Building</t>
  </si>
  <si>
    <t>Line</t>
  </si>
  <si>
    <t>Row</t>
  </si>
  <si>
    <t>Time Online</t>
  </si>
  <si>
    <t>Serviced By</t>
  </si>
  <si>
    <t>FLA110101X</t>
  </si>
  <si>
    <t>FLA110102X</t>
  </si>
  <si>
    <t>FLA110103X</t>
  </si>
  <si>
    <t>FLA110104X</t>
  </si>
  <si>
    <t>FLA110105X</t>
  </si>
  <si>
    <t>FLA110201X</t>
  </si>
  <si>
    <t>FLA110202X</t>
  </si>
  <si>
    <t>FLA110203X</t>
  </si>
  <si>
    <t>FLA110204X</t>
  </si>
  <si>
    <t>FLA110205X</t>
  </si>
  <si>
    <t>FLA110301X</t>
  </si>
  <si>
    <t>FLA110302X</t>
  </si>
  <si>
    <t>FLA110303X</t>
  </si>
  <si>
    <t>FLA110304X</t>
  </si>
  <si>
    <t>FLA110305X</t>
  </si>
  <si>
    <t>FLA110401X</t>
  </si>
  <si>
    <t>FLA110402X</t>
  </si>
  <si>
    <t>FLA110403X</t>
  </si>
  <si>
    <t>FLA110404X</t>
  </si>
  <si>
    <t>FLA110405X</t>
  </si>
  <si>
    <t>FLA110501X</t>
  </si>
  <si>
    <t>FLA110502X</t>
  </si>
  <si>
    <t>FLA110503X</t>
  </si>
  <si>
    <t>FLA110504X</t>
  </si>
  <si>
    <t>FLA110505X</t>
  </si>
  <si>
    <t>FLA110601X</t>
  </si>
  <si>
    <t>FLA110602X</t>
  </si>
  <si>
    <t>FLA110603X</t>
  </si>
  <si>
    <t>FLA110604X</t>
  </si>
  <si>
    <t>FLA110605X</t>
  </si>
  <si>
    <t>FLA120101X</t>
  </si>
  <si>
    <t>FLA120102X</t>
  </si>
  <si>
    <t>FLA120103X</t>
  </si>
  <si>
    <t>FLA120104X</t>
  </si>
  <si>
    <t>FLA120105X</t>
  </si>
  <si>
    <t>FLA120201X</t>
  </si>
  <si>
    <t>FLA120202X</t>
  </si>
  <si>
    <t>FLA120203X</t>
  </si>
  <si>
    <t>FLA120204X</t>
  </si>
  <si>
    <t>FLA120205X</t>
  </si>
  <si>
    <t>FLA120301X</t>
  </si>
  <si>
    <t>FLA120302X</t>
  </si>
  <si>
    <t>FLA120303X</t>
  </si>
  <si>
    <t>FLA120304X</t>
  </si>
  <si>
    <t>FLA120305X</t>
  </si>
  <si>
    <t>FLA120401X</t>
  </si>
  <si>
    <t>FLA120402X</t>
  </si>
  <si>
    <t>FLA120403X</t>
  </si>
  <si>
    <t>FLA120404X</t>
  </si>
  <si>
    <t>FLA120405X</t>
  </si>
  <si>
    <t>FLA120501X</t>
  </si>
  <si>
    <t>FLA120502X</t>
  </si>
  <si>
    <t>FLA120503X</t>
  </si>
  <si>
    <t>FLA120504X</t>
  </si>
  <si>
    <t>FLA120505X</t>
  </si>
  <si>
    <t>FLA120601X</t>
  </si>
  <si>
    <t>FLA120602X</t>
  </si>
  <si>
    <t>FLA120603X</t>
  </si>
  <si>
    <t>FLA120604X</t>
  </si>
  <si>
    <t>FLA120605X</t>
  </si>
  <si>
    <t>FLA130101X</t>
  </si>
  <si>
    <t>FLA130102X</t>
  </si>
  <si>
    <t>FLA130103X</t>
  </si>
  <si>
    <t>FLA130104X</t>
  </si>
  <si>
    <t>FLA130105X</t>
  </si>
  <si>
    <t>FLA130201X</t>
  </si>
  <si>
    <t>FLA130202X</t>
  </si>
  <si>
    <t>FLA130203X</t>
  </si>
  <si>
    <t>FLA130204X</t>
  </si>
  <si>
    <t>FLA130205X</t>
  </si>
  <si>
    <t>FLA130301X</t>
  </si>
  <si>
    <t>FLA130302X</t>
  </si>
  <si>
    <t>FLA130303X</t>
  </si>
  <si>
    <t>FLA130304X</t>
  </si>
  <si>
    <t>FLA130305X</t>
  </si>
  <si>
    <t>FLA130401X</t>
  </si>
  <si>
    <t>FLA130402X</t>
  </si>
  <si>
    <t>FLA130403X</t>
  </si>
  <si>
    <t>FLA130404X</t>
  </si>
  <si>
    <t>FLA130405X</t>
  </si>
  <si>
    <t>FLA130501X</t>
  </si>
  <si>
    <t>FLA130502X</t>
  </si>
  <si>
    <t>FLA130503X</t>
  </si>
  <si>
    <t>FLA130504X</t>
  </si>
  <si>
    <t>FLA130505X</t>
  </si>
  <si>
    <t>FLA130601X</t>
  </si>
  <si>
    <t>FLA130602X</t>
  </si>
  <si>
    <t>FLA130603X</t>
  </si>
  <si>
    <t>FLA130604X</t>
  </si>
  <si>
    <t>FLA130605X</t>
  </si>
  <si>
    <t>FLA140101X</t>
  </si>
  <si>
    <t>FLA140102X</t>
  </si>
  <si>
    <t>FLA140103X</t>
  </si>
  <si>
    <t>FLA140104X</t>
  </si>
  <si>
    <t>FLA140105X</t>
  </si>
  <si>
    <t>FLA140201X</t>
  </si>
  <si>
    <t>FLA140202X</t>
  </si>
  <si>
    <t>FLA140203X</t>
  </si>
  <si>
    <t>FLA140204X</t>
  </si>
  <si>
    <t>FLA140205X</t>
  </si>
  <si>
    <t>FLA140301X</t>
  </si>
  <si>
    <t>FLA140302X</t>
  </si>
  <si>
    <t>FLA140303X</t>
  </si>
  <si>
    <t>FLA140304X</t>
  </si>
  <si>
    <t>FLA140305X</t>
  </si>
  <si>
    <t>FLA140401X</t>
  </si>
  <si>
    <t>FLA140402X</t>
  </si>
  <si>
    <t>FLA140403X</t>
  </si>
  <si>
    <t>FLA140404X</t>
  </si>
  <si>
    <t>FLA140405X</t>
  </si>
  <si>
    <t>FLA140501X</t>
  </si>
  <si>
    <t>FLA140502X</t>
  </si>
  <si>
    <t>FLA140503X</t>
  </si>
  <si>
    <t>FLA140504X</t>
  </si>
  <si>
    <t>FLA140505X</t>
  </si>
  <si>
    <t>FLA140601X</t>
  </si>
  <si>
    <t>FLA140602X</t>
  </si>
  <si>
    <t>FLA140603X</t>
  </si>
  <si>
    <t>FLA140604X</t>
  </si>
  <si>
    <t>FLA140605X</t>
  </si>
  <si>
    <t>RJH09</t>
  </si>
  <si>
    <t>PMC01</t>
  </si>
  <si>
    <t>KLL03</t>
  </si>
  <si>
    <t>MJW01</t>
  </si>
  <si>
    <t>RSO05</t>
  </si>
  <si>
    <t>DWC03</t>
  </si>
  <si>
    <t>JJH02</t>
  </si>
  <si>
    <t>NEG03</t>
  </si>
  <si>
    <t>JCR01</t>
  </si>
  <si>
    <t>Steven Herlot</t>
  </si>
  <si>
    <t>Machine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</si>
</sst>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65" formatCode="d&quot;d&quot;\ h&quot;h&quot;\ mm&quot;m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22"/>
      <color theme="5" tint="-0.249977111117893"/>
      <name val="Calibri Light"/>
      <family val="2"/>
      <scheme val="major"/>
    </font>
    <font>
      <sz val="11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4" fillId="0" borderId="0" xfId="1" applyFont="1"/>
    <xf numFmtId="0" fontId="0" fillId="5" borderId="1" xfId="0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0" fillId="0" borderId="0" xfId="0" applyNumberFormat="1"/>
    <xf numFmtId="0" fontId="0" fillId="0" borderId="1" xfId="0" applyBorder="1"/>
    <xf numFmtId="14" fontId="0" fillId="0" borderId="1" xfId="0" applyNumberFormat="1" applyBorder="1"/>
    <xf numFmtId="19" fontId="0" fillId="0" borderId="1" xfId="0" applyNumberFormat="1" applyBorder="1"/>
    <xf numFmtId="0" fontId="1" fillId="3" borderId="1" xfId="3" applyBorder="1"/>
    <xf numFmtId="0" fontId="0" fillId="0" borderId="1" xfId="0" applyBorder="1"/>
    <xf numFmtId="0" fontId="4" fillId="0" borderId="0" xfId="1" applyNumberFormat="1" applyFont="1"/>
    <xf numFmtId="164" fontId="0" fillId="0" borderId="1" xfId="0" applyNumberFormat="1" applyBorder="1"/>
    <xf numFmtId="0" fontId="0" fillId="0" borderId="2" xfId="0" applyBorder="1"/>
    <xf numFmtId="165" fontId="0" fillId="0" borderId="3" xfId="0" applyNumberFormat="1" applyBorder="1"/>
    <xf numFmtId="0" fontId="3" fillId="4" borderId="4" xfId="4" applyBorder="1"/>
    <xf numFmtId="0" fontId="3" fillId="4" borderId="5" xfId="4" applyBorder="1"/>
    <xf numFmtId="0" fontId="3" fillId="4" borderId="6" xfId="4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5" fontId="0" fillId="0" borderId="9" xfId="0" applyNumberFormat="1" applyBorder="1"/>
    <xf numFmtId="0" fontId="3" fillId="2" borderId="1" xfId="2" applyBorder="1" applyAlignment="1">
      <alignment horizontal="center"/>
    </xf>
  </cellXfs>
  <cellStyles count="5">
    <cellStyle name="20% - Accent2" xfId="3" builtinId="34"/>
    <cellStyle name="Accent2" xfId="2" builtinId="33"/>
    <cellStyle name="Accent5" xfId="4" builtinId="45"/>
    <cellStyle name="Normal" xfId="0" builtinId="0"/>
    <cellStyle name="Title" xfId="1" builtinId="15"/>
  </cellStyles>
  <dxfs count="12">
    <dxf>
      <numFmt numFmtId="165" formatCode="d&quot;d&quot;\ h&quot;h&quot;\ mm&quot;m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\ h:mm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3FBBF-7A74-489C-B6A9-D125D089CBDB}" name="Fillers" displayName="Fillers" ref="A8:G128" totalsRowShown="0" headerRowDxfId="10" headerRowBorderDxfId="9" tableBorderDxfId="8" totalsRowBorderDxfId="7" headerRowCellStyle="Accent5">
  <autoFilter ref="A8:G128" xr:uid="{E498CA8C-B94D-45D7-9927-5B7F4990EC75}"/>
  <tableColumns count="7">
    <tableColumn id="1" xr3:uid="{4A401FEF-03B7-4D6F-A6CA-A796160998E3}" name="Machine ID" dataDxfId="6"/>
    <tableColumn id="2" xr3:uid="{8B7874BF-4AA7-4284-BF78-22D04972AD95}" name="Building" dataDxfId="5">
      <calculatedColumnFormula>MID(A9,3,3)</calculatedColumnFormula>
    </tableColumn>
    <tableColumn id="3" xr3:uid="{CAFAB92A-0EBA-4BD9-A8E0-3DF76BE77C8B}" name="Line" dataDxfId="4">
      <calculatedColumnFormula>MID(A9,6,2)</calculatedColumnFormula>
    </tableColumn>
    <tableColumn id="4" xr3:uid="{E0608003-B9D9-4678-B47E-79D88A2611BD}" name="Row" dataDxfId="3">
      <calculatedColumnFormula>MID(A9,8,2)</calculatedColumnFormula>
    </tableColumn>
    <tableColumn id="5" xr3:uid="{BCF0F109-293E-41DA-BF74-DD9FAE33B1B9}" name="Last Serviced" dataDxfId="2"/>
    <tableColumn id="6" xr3:uid="{B109CE98-2AAF-4AD7-8BD4-1CB2DC9611AF}" name="Serviced By" dataDxfId="1"/>
    <tableColumn id="7" xr3:uid="{774B6B80-A4FE-4D2F-A74F-A0FC065157B1}" name="Time Online" dataDxfId="0">
      <calculatedColumnFormula>$B$6-E9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9A15-5925-4E0D-AF41-2C04474CA82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.42578125" customWidth="1"/>
    <col min="2" max="2" width="31.140625" customWidth="1"/>
  </cols>
  <sheetData>
    <row r="1" spans="1:2" ht="28.5" x14ac:dyDescent="0.45">
      <c r="A1" s="1" t="s">
        <v>3</v>
      </c>
    </row>
    <row r="3" spans="1:2" x14ac:dyDescent="0.25">
      <c r="A3" s="2" t="s">
        <v>0</v>
      </c>
      <c r="B3" s="3" t="s">
        <v>143</v>
      </c>
    </row>
    <row r="4" spans="1:2" x14ac:dyDescent="0.25">
      <c r="A4" s="2" t="s">
        <v>1</v>
      </c>
      <c r="B4" s="4">
        <v>45717</v>
      </c>
    </row>
    <row r="5" spans="1:2" ht="30" x14ac:dyDescent="0.25">
      <c r="A5" s="2" t="s">
        <v>2</v>
      </c>
      <c r="B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A736-01E5-456C-96F4-A194672983C9}">
  <dimension ref="A1:I128"/>
  <sheetViews>
    <sheetView zoomScale="120" zoomScaleNormal="120" workbookViewId="0">
      <selection activeCell="A2" sqref="A2"/>
    </sheetView>
  </sheetViews>
  <sheetFormatPr defaultRowHeight="15" x14ac:dyDescent="0.25"/>
  <cols>
    <col min="1" max="1" width="12.85546875" customWidth="1"/>
    <col min="2" max="2" width="18.28515625" customWidth="1"/>
    <col min="3" max="3" width="14.7109375" customWidth="1"/>
    <col min="5" max="5" width="25.140625" customWidth="1"/>
    <col min="6" max="6" width="13" customWidth="1"/>
    <col min="7" max="7" width="22.85546875" customWidth="1"/>
    <col min="9" max="9" width="19.28515625" bestFit="1" customWidth="1"/>
  </cols>
  <sheetData>
    <row r="1" spans="1:9" ht="28.5" x14ac:dyDescent="0.45">
      <c r="A1" s="11" t="s">
        <v>3</v>
      </c>
    </row>
    <row r="3" spans="1:9" x14ac:dyDescent="0.25">
      <c r="A3" s="22" t="s">
        <v>5</v>
      </c>
      <c r="B3" s="22"/>
      <c r="C3" s="5"/>
    </row>
    <row r="4" spans="1:9" x14ac:dyDescent="0.25">
      <c r="A4" s="9" t="s">
        <v>1</v>
      </c>
      <c r="B4" s="7">
        <v>45527</v>
      </c>
    </row>
    <row r="5" spans="1:9" x14ac:dyDescent="0.25">
      <c r="A5" s="9" t="s">
        <v>6</v>
      </c>
      <c r="B5" s="8">
        <v>0.67850694444444448</v>
      </c>
    </row>
    <row r="6" spans="1:9" x14ac:dyDescent="0.25">
      <c r="A6" s="9" t="s">
        <v>7</v>
      </c>
      <c r="B6" s="12">
        <f>B4+B5</f>
        <v>45527.678506944445</v>
      </c>
    </row>
    <row r="8" spans="1:9" x14ac:dyDescent="0.25">
      <c r="A8" s="15" t="s">
        <v>144</v>
      </c>
      <c r="B8" s="16" t="s">
        <v>9</v>
      </c>
      <c r="C8" s="16" t="s">
        <v>10</v>
      </c>
      <c r="D8" s="16" t="s">
        <v>11</v>
      </c>
      <c r="E8" s="16" t="s">
        <v>8</v>
      </c>
      <c r="F8" s="16" t="s">
        <v>13</v>
      </c>
      <c r="G8" s="17" t="s">
        <v>12</v>
      </c>
    </row>
    <row r="9" spans="1:9" x14ac:dyDescent="0.25">
      <c r="A9" s="13" t="s">
        <v>41</v>
      </c>
      <c r="B9" s="6" t="str">
        <f t="shared" ref="B9:B40" si="0">MID(A9,3,3)</f>
        <v>A11</v>
      </c>
      <c r="C9" s="6" t="str">
        <f t="shared" ref="C9:C40" si="1">MID(A9,6,2)</f>
        <v>06</v>
      </c>
      <c r="D9" s="6" t="str">
        <f t="shared" ref="D9:D40" si="2">MID(A9,8,2)</f>
        <v>03</v>
      </c>
      <c r="E9" s="12">
        <v>45497.427083333328</v>
      </c>
      <c r="F9" s="6" t="s">
        <v>139</v>
      </c>
      <c r="G9" s="14">
        <f t="shared" ref="G9:G40" si="3">$B$6-E9</f>
        <v>30.251423611116479</v>
      </c>
      <c r="I9" s="5"/>
    </row>
    <row r="10" spans="1:9" x14ac:dyDescent="0.25">
      <c r="A10" s="13" t="s">
        <v>40</v>
      </c>
      <c r="B10" s="10" t="str">
        <f t="shared" si="0"/>
        <v>A11</v>
      </c>
      <c r="C10" s="10" t="str">
        <f t="shared" si="1"/>
        <v>06</v>
      </c>
      <c r="D10" s="10" t="str">
        <f t="shared" si="2"/>
        <v>02</v>
      </c>
      <c r="E10" s="12">
        <v>45497.476388888892</v>
      </c>
      <c r="F10" s="6" t="s">
        <v>141</v>
      </c>
      <c r="G10" s="14">
        <f t="shared" si="3"/>
        <v>30.202118055553001</v>
      </c>
      <c r="I10" s="5"/>
    </row>
    <row r="11" spans="1:9" x14ac:dyDescent="0.25">
      <c r="A11" s="13" t="s">
        <v>27</v>
      </c>
      <c r="B11" s="10" t="str">
        <f t="shared" si="0"/>
        <v>A11</v>
      </c>
      <c r="C11" s="10" t="str">
        <f t="shared" si="1"/>
        <v>03</v>
      </c>
      <c r="D11" s="10" t="str">
        <f t="shared" si="2"/>
        <v>04</v>
      </c>
      <c r="E11" s="12">
        <v>45497.481250000004</v>
      </c>
      <c r="F11" s="6" t="s">
        <v>142</v>
      </c>
      <c r="G11" s="14">
        <f t="shared" si="3"/>
        <v>30.197256944440596</v>
      </c>
      <c r="I11" s="5"/>
    </row>
    <row r="12" spans="1:9" x14ac:dyDescent="0.25">
      <c r="A12" s="13" t="s">
        <v>65</v>
      </c>
      <c r="B12" s="10" t="str">
        <f t="shared" si="0"/>
        <v>A12</v>
      </c>
      <c r="C12" s="10" t="str">
        <f t="shared" si="1"/>
        <v>05</v>
      </c>
      <c r="D12" s="10" t="str">
        <f t="shared" si="2"/>
        <v>02</v>
      </c>
      <c r="E12" s="12">
        <v>45497.488888888889</v>
      </c>
      <c r="F12" s="6" t="s">
        <v>136</v>
      </c>
      <c r="G12" s="14">
        <f t="shared" si="3"/>
        <v>30.189618055555911</v>
      </c>
      <c r="I12" s="5"/>
    </row>
    <row r="13" spans="1:9" x14ac:dyDescent="0.25">
      <c r="A13" s="13" t="s">
        <v>105</v>
      </c>
      <c r="B13" s="10" t="str">
        <f t="shared" si="0"/>
        <v>A14</v>
      </c>
      <c r="C13" s="10" t="str">
        <f t="shared" si="1"/>
        <v>01</v>
      </c>
      <c r="D13" s="10" t="str">
        <f t="shared" si="2"/>
        <v>02</v>
      </c>
      <c r="E13" s="12">
        <v>45497.500694444447</v>
      </c>
      <c r="F13" s="6" t="s">
        <v>136</v>
      </c>
      <c r="G13" s="14">
        <f t="shared" si="3"/>
        <v>30.177812499998254</v>
      </c>
      <c r="I13" s="5"/>
    </row>
    <row r="14" spans="1:9" x14ac:dyDescent="0.25">
      <c r="A14" s="13" t="s">
        <v>59</v>
      </c>
      <c r="B14" s="10" t="str">
        <f t="shared" si="0"/>
        <v>A12</v>
      </c>
      <c r="C14" s="10" t="str">
        <f t="shared" si="1"/>
        <v>04</v>
      </c>
      <c r="D14" s="10" t="str">
        <f t="shared" si="2"/>
        <v>01</v>
      </c>
      <c r="E14" s="12">
        <v>45497.534722222219</v>
      </c>
      <c r="F14" s="6" t="s">
        <v>135</v>
      </c>
      <c r="G14" s="14">
        <f t="shared" si="3"/>
        <v>30.143784722225973</v>
      </c>
      <c r="I14" s="5"/>
    </row>
    <row r="15" spans="1:9" x14ac:dyDescent="0.25">
      <c r="A15" s="13" t="s">
        <v>50</v>
      </c>
      <c r="B15" s="10" t="str">
        <f t="shared" si="0"/>
        <v>A12</v>
      </c>
      <c r="C15" s="10" t="str">
        <f t="shared" si="1"/>
        <v>02</v>
      </c>
      <c r="D15" s="10" t="str">
        <f t="shared" si="2"/>
        <v>02</v>
      </c>
      <c r="E15" s="12">
        <v>45497.568749999999</v>
      </c>
      <c r="F15" s="6" t="s">
        <v>138</v>
      </c>
      <c r="G15" s="14">
        <f t="shared" si="3"/>
        <v>30.109756944446417</v>
      </c>
      <c r="I15" s="5"/>
    </row>
    <row r="16" spans="1:9" x14ac:dyDescent="0.25">
      <c r="A16" s="13" t="s">
        <v>96</v>
      </c>
      <c r="B16" s="10" t="str">
        <f t="shared" si="0"/>
        <v>A13</v>
      </c>
      <c r="C16" s="10" t="str">
        <f t="shared" si="1"/>
        <v>05</v>
      </c>
      <c r="D16" s="10" t="str">
        <f t="shared" si="2"/>
        <v>03</v>
      </c>
      <c r="E16" s="12">
        <v>45497.631944444445</v>
      </c>
      <c r="F16" s="6" t="s">
        <v>139</v>
      </c>
      <c r="G16" s="14">
        <f t="shared" si="3"/>
        <v>30.046562499999709</v>
      </c>
      <c r="I16" s="5"/>
    </row>
    <row r="17" spans="1:9" x14ac:dyDescent="0.25">
      <c r="A17" s="13" t="s">
        <v>117</v>
      </c>
      <c r="B17" s="10" t="str">
        <f t="shared" si="0"/>
        <v>A14</v>
      </c>
      <c r="C17" s="10" t="str">
        <f t="shared" si="1"/>
        <v>03</v>
      </c>
      <c r="D17" s="10" t="str">
        <f t="shared" si="2"/>
        <v>04</v>
      </c>
      <c r="E17" s="12">
        <v>45498.365972222222</v>
      </c>
      <c r="F17" s="6" t="s">
        <v>141</v>
      </c>
      <c r="G17" s="14">
        <f t="shared" si="3"/>
        <v>29.312534722223063</v>
      </c>
      <c r="I17" s="5"/>
    </row>
    <row r="18" spans="1:9" x14ac:dyDescent="0.25">
      <c r="A18" s="13" t="s">
        <v>99</v>
      </c>
      <c r="B18" s="10" t="str">
        <f t="shared" si="0"/>
        <v>A13</v>
      </c>
      <c r="C18" s="10" t="str">
        <f t="shared" si="1"/>
        <v>06</v>
      </c>
      <c r="D18" s="10" t="str">
        <f t="shared" si="2"/>
        <v>01</v>
      </c>
      <c r="E18" s="12">
        <v>45498.402083333334</v>
      </c>
      <c r="F18" s="6" t="s">
        <v>136</v>
      </c>
      <c r="G18" s="14">
        <f t="shared" si="3"/>
        <v>29.276423611110658</v>
      </c>
      <c r="I18" s="5"/>
    </row>
    <row r="19" spans="1:9" x14ac:dyDescent="0.25">
      <c r="A19" s="13" t="s">
        <v>37</v>
      </c>
      <c r="B19" s="10" t="str">
        <f t="shared" si="0"/>
        <v>A11</v>
      </c>
      <c r="C19" s="10" t="str">
        <f t="shared" si="1"/>
        <v>05</v>
      </c>
      <c r="D19" s="10" t="str">
        <f t="shared" si="2"/>
        <v>04</v>
      </c>
      <c r="E19" s="12">
        <v>45498.4375</v>
      </c>
      <c r="F19" s="6" t="s">
        <v>136</v>
      </c>
      <c r="G19" s="14">
        <f t="shared" si="3"/>
        <v>29.241006944444962</v>
      </c>
      <c r="I19" s="5"/>
    </row>
    <row r="20" spans="1:9" x14ac:dyDescent="0.25">
      <c r="A20" s="13" t="s">
        <v>44</v>
      </c>
      <c r="B20" s="10" t="str">
        <f t="shared" si="0"/>
        <v>A12</v>
      </c>
      <c r="C20" s="10" t="str">
        <f t="shared" si="1"/>
        <v>01</v>
      </c>
      <c r="D20" s="10" t="str">
        <f t="shared" si="2"/>
        <v>01</v>
      </c>
      <c r="E20" s="12">
        <v>45498.48819444445</v>
      </c>
      <c r="F20" s="6" t="s">
        <v>137</v>
      </c>
      <c r="G20" s="14">
        <f t="shared" si="3"/>
        <v>29.190312499995343</v>
      </c>
      <c r="I20" s="5"/>
    </row>
    <row r="21" spans="1:9" x14ac:dyDescent="0.25">
      <c r="A21" s="13" t="s">
        <v>116</v>
      </c>
      <c r="B21" s="10" t="str">
        <f t="shared" si="0"/>
        <v>A14</v>
      </c>
      <c r="C21" s="10" t="str">
        <f t="shared" si="1"/>
        <v>03</v>
      </c>
      <c r="D21" s="10" t="str">
        <f t="shared" si="2"/>
        <v>03</v>
      </c>
      <c r="E21" s="12">
        <v>45499.404166666667</v>
      </c>
      <c r="F21" s="6" t="s">
        <v>141</v>
      </c>
      <c r="G21" s="14">
        <f t="shared" si="3"/>
        <v>28.27434027777781</v>
      </c>
      <c r="I21" s="5"/>
    </row>
    <row r="22" spans="1:9" x14ac:dyDescent="0.25">
      <c r="A22" s="13" t="s">
        <v>93</v>
      </c>
      <c r="B22" s="10" t="str">
        <f t="shared" si="0"/>
        <v>A13</v>
      </c>
      <c r="C22" s="10" t="str">
        <f t="shared" si="1"/>
        <v>04</v>
      </c>
      <c r="D22" s="10" t="str">
        <f t="shared" si="2"/>
        <v>05</v>
      </c>
      <c r="E22" s="12">
        <v>45499.425694444442</v>
      </c>
      <c r="F22" s="6" t="s">
        <v>142</v>
      </c>
      <c r="G22" s="14">
        <f t="shared" si="3"/>
        <v>28.252812500002619</v>
      </c>
      <c r="I22" s="5"/>
    </row>
    <row r="23" spans="1:9" x14ac:dyDescent="0.25">
      <c r="A23" s="13" t="s">
        <v>98</v>
      </c>
      <c r="B23" s="10" t="str">
        <f t="shared" si="0"/>
        <v>A13</v>
      </c>
      <c r="C23" s="10" t="str">
        <f t="shared" si="1"/>
        <v>05</v>
      </c>
      <c r="D23" s="10" t="str">
        <f t="shared" si="2"/>
        <v>05</v>
      </c>
      <c r="E23" s="12">
        <v>45499.462500000001</v>
      </c>
      <c r="F23" s="6" t="s">
        <v>141</v>
      </c>
      <c r="G23" s="14">
        <f t="shared" si="3"/>
        <v>28.216006944443507</v>
      </c>
      <c r="I23" s="5"/>
    </row>
    <row r="24" spans="1:9" x14ac:dyDescent="0.25">
      <c r="A24" s="13" t="s">
        <v>51</v>
      </c>
      <c r="B24" s="10" t="str">
        <f t="shared" si="0"/>
        <v>A12</v>
      </c>
      <c r="C24" s="10" t="str">
        <f t="shared" si="1"/>
        <v>02</v>
      </c>
      <c r="D24" s="10" t="str">
        <f t="shared" si="2"/>
        <v>03</v>
      </c>
      <c r="E24" s="12">
        <v>45500.412499999999</v>
      </c>
      <c r="F24" s="6" t="s">
        <v>137</v>
      </c>
      <c r="G24" s="14">
        <f t="shared" si="3"/>
        <v>27.266006944446417</v>
      </c>
      <c r="I24" s="5"/>
    </row>
    <row r="25" spans="1:9" x14ac:dyDescent="0.25">
      <c r="A25" s="13" t="s">
        <v>87</v>
      </c>
      <c r="B25" s="10" t="str">
        <f t="shared" si="0"/>
        <v>A13</v>
      </c>
      <c r="C25" s="10" t="str">
        <f t="shared" si="1"/>
        <v>03</v>
      </c>
      <c r="D25" s="10" t="str">
        <f t="shared" si="2"/>
        <v>04</v>
      </c>
      <c r="E25" s="12">
        <v>45500.450694444444</v>
      </c>
      <c r="F25" s="6" t="s">
        <v>141</v>
      </c>
      <c r="G25" s="14">
        <f t="shared" si="3"/>
        <v>27.227812500001164</v>
      </c>
      <c r="I25" s="5"/>
    </row>
    <row r="26" spans="1:9" x14ac:dyDescent="0.25">
      <c r="A26" s="13" t="s">
        <v>55</v>
      </c>
      <c r="B26" s="10" t="str">
        <f t="shared" si="0"/>
        <v>A12</v>
      </c>
      <c r="C26" s="10" t="str">
        <f t="shared" si="1"/>
        <v>03</v>
      </c>
      <c r="D26" s="10" t="str">
        <f t="shared" si="2"/>
        <v>02</v>
      </c>
      <c r="E26" s="12">
        <v>45500.592361111114</v>
      </c>
      <c r="F26" s="6" t="s">
        <v>134</v>
      </c>
      <c r="G26" s="14">
        <f t="shared" si="3"/>
        <v>27.086145833331102</v>
      </c>
      <c r="I26" s="5"/>
    </row>
    <row r="27" spans="1:9" x14ac:dyDescent="0.25">
      <c r="A27" s="13" t="s">
        <v>16</v>
      </c>
      <c r="B27" s="10" t="str">
        <f t="shared" si="0"/>
        <v>A11</v>
      </c>
      <c r="C27" s="10" t="str">
        <f t="shared" si="1"/>
        <v>01</v>
      </c>
      <c r="D27" s="10" t="str">
        <f t="shared" si="2"/>
        <v>03</v>
      </c>
      <c r="E27" s="12">
        <v>45500.602777777778</v>
      </c>
      <c r="F27" s="6" t="s">
        <v>139</v>
      </c>
      <c r="G27" s="14">
        <f t="shared" si="3"/>
        <v>27.075729166666861</v>
      </c>
      <c r="I27" s="5"/>
    </row>
    <row r="28" spans="1:9" x14ac:dyDescent="0.25">
      <c r="A28" s="13" t="s">
        <v>15</v>
      </c>
      <c r="B28" s="10" t="str">
        <f t="shared" si="0"/>
        <v>A11</v>
      </c>
      <c r="C28" s="10" t="str">
        <f t="shared" si="1"/>
        <v>01</v>
      </c>
      <c r="D28" s="10" t="str">
        <f t="shared" si="2"/>
        <v>02</v>
      </c>
      <c r="E28" s="12">
        <v>45501.336805555555</v>
      </c>
      <c r="F28" s="6" t="s">
        <v>141</v>
      </c>
      <c r="G28" s="14">
        <f t="shared" si="3"/>
        <v>26.341701388890215</v>
      </c>
      <c r="I28" s="5"/>
    </row>
    <row r="29" spans="1:9" x14ac:dyDescent="0.25">
      <c r="A29" s="13" t="s">
        <v>131</v>
      </c>
      <c r="B29" s="10" t="str">
        <f t="shared" si="0"/>
        <v>A14</v>
      </c>
      <c r="C29" s="10" t="str">
        <f t="shared" si="1"/>
        <v>06</v>
      </c>
      <c r="D29" s="10" t="str">
        <f t="shared" si="2"/>
        <v>03</v>
      </c>
      <c r="E29" s="12">
        <v>45501.352777777778</v>
      </c>
      <c r="F29" s="6" t="s">
        <v>140</v>
      </c>
      <c r="G29" s="14">
        <f t="shared" si="3"/>
        <v>26.325729166666861</v>
      </c>
      <c r="I29" s="5"/>
    </row>
    <row r="30" spans="1:9" x14ac:dyDescent="0.25">
      <c r="A30" s="13" t="s">
        <v>115</v>
      </c>
      <c r="B30" s="10" t="str">
        <f t="shared" si="0"/>
        <v>A14</v>
      </c>
      <c r="C30" s="10" t="str">
        <f t="shared" si="1"/>
        <v>03</v>
      </c>
      <c r="D30" s="10" t="str">
        <f t="shared" si="2"/>
        <v>02</v>
      </c>
      <c r="E30" s="12">
        <v>45501.53125</v>
      </c>
      <c r="F30" s="6" t="s">
        <v>135</v>
      </c>
      <c r="G30" s="14">
        <f t="shared" si="3"/>
        <v>26.147256944444962</v>
      </c>
      <c r="I30" s="5"/>
    </row>
    <row r="31" spans="1:9" x14ac:dyDescent="0.25">
      <c r="A31" s="13" t="s">
        <v>101</v>
      </c>
      <c r="B31" s="10" t="str">
        <f t="shared" si="0"/>
        <v>A13</v>
      </c>
      <c r="C31" s="10" t="str">
        <f t="shared" si="1"/>
        <v>06</v>
      </c>
      <c r="D31" s="10" t="str">
        <f t="shared" si="2"/>
        <v>03</v>
      </c>
      <c r="E31" s="12">
        <v>45501.582638888889</v>
      </c>
      <c r="F31" s="6" t="s">
        <v>137</v>
      </c>
      <c r="G31" s="14">
        <f t="shared" si="3"/>
        <v>26.095868055555911</v>
      </c>
      <c r="I31" s="5"/>
    </row>
    <row r="32" spans="1:9" x14ac:dyDescent="0.25">
      <c r="A32" s="13" t="s">
        <v>103</v>
      </c>
      <c r="B32" s="10" t="str">
        <f t="shared" si="0"/>
        <v>A13</v>
      </c>
      <c r="C32" s="10" t="str">
        <f t="shared" si="1"/>
        <v>06</v>
      </c>
      <c r="D32" s="10" t="str">
        <f t="shared" si="2"/>
        <v>05</v>
      </c>
      <c r="E32" s="12">
        <v>45501.649305555555</v>
      </c>
      <c r="F32" s="6" t="s">
        <v>137</v>
      </c>
      <c r="G32" s="14">
        <f t="shared" si="3"/>
        <v>26.029201388890215</v>
      </c>
      <c r="I32" s="5"/>
    </row>
    <row r="33" spans="1:9" x14ac:dyDescent="0.25">
      <c r="A33" s="13" t="s">
        <v>81</v>
      </c>
      <c r="B33" s="10" t="str">
        <f t="shared" si="0"/>
        <v>A13</v>
      </c>
      <c r="C33" s="10" t="str">
        <f t="shared" si="1"/>
        <v>02</v>
      </c>
      <c r="D33" s="10" t="str">
        <f t="shared" si="2"/>
        <v>03</v>
      </c>
      <c r="E33" s="12">
        <v>45502.527083333334</v>
      </c>
      <c r="F33" s="6" t="s">
        <v>135</v>
      </c>
      <c r="G33" s="14">
        <f t="shared" si="3"/>
        <v>25.151423611110658</v>
      </c>
      <c r="I33" s="5"/>
    </row>
    <row r="34" spans="1:9" x14ac:dyDescent="0.25">
      <c r="A34" s="13" t="s">
        <v>61</v>
      </c>
      <c r="B34" s="10" t="str">
        <f t="shared" si="0"/>
        <v>A12</v>
      </c>
      <c r="C34" s="10" t="str">
        <f t="shared" si="1"/>
        <v>04</v>
      </c>
      <c r="D34" s="10" t="str">
        <f t="shared" si="2"/>
        <v>03</v>
      </c>
      <c r="E34" s="12">
        <v>45503.383333333331</v>
      </c>
      <c r="F34" s="6" t="s">
        <v>141</v>
      </c>
      <c r="G34" s="14">
        <f t="shared" si="3"/>
        <v>24.295173611113569</v>
      </c>
      <c r="I34" s="5"/>
    </row>
    <row r="35" spans="1:9" x14ac:dyDescent="0.25">
      <c r="A35" s="13" t="s">
        <v>31</v>
      </c>
      <c r="B35" s="10" t="str">
        <f t="shared" si="0"/>
        <v>A11</v>
      </c>
      <c r="C35" s="10" t="str">
        <f t="shared" si="1"/>
        <v>04</v>
      </c>
      <c r="D35" s="10" t="str">
        <f t="shared" si="2"/>
        <v>03</v>
      </c>
      <c r="E35" s="12">
        <v>45503.399305555555</v>
      </c>
      <c r="F35" s="6" t="s">
        <v>141</v>
      </c>
      <c r="G35" s="14">
        <f t="shared" si="3"/>
        <v>24.279201388890215</v>
      </c>
      <c r="I35" s="5"/>
    </row>
    <row r="36" spans="1:9" x14ac:dyDescent="0.25">
      <c r="A36" s="13" t="s">
        <v>114</v>
      </c>
      <c r="B36" s="10" t="str">
        <f t="shared" si="0"/>
        <v>A14</v>
      </c>
      <c r="C36" s="10" t="str">
        <f t="shared" si="1"/>
        <v>03</v>
      </c>
      <c r="D36" s="10" t="str">
        <f t="shared" si="2"/>
        <v>01</v>
      </c>
      <c r="E36" s="12">
        <v>45503.411111111112</v>
      </c>
      <c r="F36" s="6" t="s">
        <v>140</v>
      </c>
      <c r="G36" s="14">
        <f t="shared" si="3"/>
        <v>24.267395833332557</v>
      </c>
      <c r="I36" s="5"/>
    </row>
    <row r="37" spans="1:9" x14ac:dyDescent="0.25">
      <c r="A37" s="13" t="s">
        <v>102</v>
      </c>
      <c r="B37" s="10" t="str">
        <f t="shared" si="0"/>
        <v>A13</v>
      </c>
      <c r="C37" s="10" t="str">
        <f t="shared" si="1"/>
        <v>06</v>
      </c>
      <c r="D37" s="10" t="str">
        <f t="shared" si="2"/>
        <v>04</v>
      </c>
      <c r="E37" s="12">
        <v>45503.454166666663</v>
      </c>
      <c r="F37" s="6" t="s">
        <v>140</v>
      </c>
      <c r="G37" s="14">
        <f t="shared" si="3"/>
        <v>24.224340277782176</v>
      </c>
      <c r="I37" s="5"/>
    </row>
    <row r="38" spans="1:9" x14ac:dyDescent="0.25">
      <c r="A38" s="13" t="s">
        <v>52</v>
      </c>
      <c r="B38" s="10" t="str">
        <f t="shared" si="0"/>
        <v>A12</v>
      </c>
      <c r="C38" s="10" t="str">
        <f t="shared" si="1"/>
        <v>02</v>
      </c>
      <c r="D38" s="10" t="str">
        <f t="shared" si="2"/>
        <v>04</v>
      </c>
      <c r="E38" s="12">
        <v>45503.51458333333</v>
      </c>
      <c r="F38" s="6" t="s">
        <v>141</v>
      </c>
      <c r="G38" s="14">
        <f t="shared" si="3"/>
        <v>24.163923611115024</v>
      </c>
      <c r="I38" s="5"/>
    </row>
    <row r="39" spans="1:9" x14ac:dyDescent="0.25">
      <c r="A39" s="13" t="s">
        <v>90</v>
      </c>
      <c r="B39" s="10" t="str">
        <f t="shared" si="0"/>
        <v>A13</v>
      </c>
      <c r="C39" s="10" t="str">
        <f t="shared" si="1"/>
        <v>04</v>
      </c>
      <c r="D39" s="10" t="str">
        <f t="shared" si="2"/>
        <v>02</v>
      </c>
      <c r="E39" s="12">
        <v>45504.336111111115</v>
      </c>
      <c r="F39" s="6" t="s">
        <v>136</v>
      </c>
      <c r="G39" s="14">
        <f t="shared" si="3"/>
        <v>23.342395833329647</v>
      </c>
      <c r="I39" s="5"/>
    </row>
    <row r="40" spans="1:9" x14ac:dyDescent="0.25">
      <c r="A40" s="13" t="s">
        <v>29</v>
      </c>
      <c r="B40" s="10" t="str">
        <f t="shared" si="0"/>
        <v>A11</v>
      </c>
      <c r="C40" s="10" t="str">
        <f t="shared" si="1"/>
        <v>04</v>
      </c>
      <c r="D40" s="10" t="str">
        <f t="shared" si="2"/>
        <v>01</v>
      </c>
      <c r="E40" s="12">
        <v>45504.438888888886</v>
      </c>
      <c r="F40" s="6" t="s">
        <v>139</v>
      </c>
      <c r="G40" s="14">
        <f t="shared" si="3"/>
        <v>23.239618055558822</v>
      </c>
      <c r="I40" s="5"/>
    </row>
    <row r="41" spans="1:9" x14ac:dyDescent="0.25">
      <c r="A41" s="13" t="s">
        <v>35</v>
      </c>
      <c r="B41" s="10" t="str">
        <f t="shared" ref="B41:B72" si="4">MID(A41,3,3)</f>
        <v>A11</v>
      </c>
      <c r="C41" s="10" t="str">
        <f t="shared" ref="C41:C72" si="5">MID(A41,6,2)</f>
        <v>05</v>
      </c>
      <c r="D41" s="10" t="str">
        <f t="shared" ref="D41:D72" si="6">MID(A41,8,2)</f>
        <v>02</v>
      </c>
      <c r="E41" s="12">
        <v>45504.497916666667</v>
      </c>
      <c r="F41" s="6" t="s">
        <v>137</v>
      </c>
      <c r="G41" s="14">
        <f t="shared" ref="G41:G72" si="7">$B$6-E41</f>
        <v>23.18059027777781</v>
      </c>
      <c r="I41" s="5"/>
    </row>
    <row r="42" spans="1:9" x14ac:dyDescent="0.25">
      <c r="A42" s="13" t="s">
        <v>123</v>
      </c>
      <c r="B42" s="10" t="str">
        <f t="shared" si="4"/>
        <v>A14</v>
      </c>
      <c r="C42" s="10" t="str">
        <f t="shared" si="5"/>
        <v>04</v>
      </c>
      <c r="D42" s="10" t="str">
        <f t="shared" si="6"/>
        <v>05</v>
      </c>
      <c r="E42" s="12">
        <v>45504.5</v>
      </c>
      <c r="F42" s="6" t="s">
        <v>137</v>
      </c>
      <c r="G42" s="14">
        <f t="shared" si="7"/>
        <v>23.178506944444962</v>
      </c>
      <c r="I42" s="5"/>
    </row>
    <row r="43" spans="1:9" x14ac:dyDescent="0.25">
      <c r="A43" s="13" t="s">
        <v>26</v>
      </c>
      <c r="B43" s="10" t="str">
        <f t="shared" si="4"/>
        <v>A11</v>
      </c>
      <c r="C43" s="10" t="str">
        <f t="shared" si="5"/>
        <v>03</v>
      </c>
      <c r="D43" s="10" t="str">
        <f t="shared" si="6"/>
        <v>03</v>
      </c>
      <c r="E43" s="12">
        <v>45504.618055555555</v>
      </c>
      <c r="F43" s="6" t="s">
        <v>138</v>
      </c>
      <c r="G43" s="14">
        <f t="shared" si="7"/>
        <v>23.060451388890215</v>
      </c>
      <c r="I43" s="5"/>
    </row>
    <row r="44" spans="1:9" x14ac:dyDescent="0.25">
      <c r="A44" s="13" t="s">
        <v>79</v>
      </c>
      <c r="B44" s="10" t="str">
        <f t="shared" si="4"/>
        <v>A13</v>
      </c>
      <c r="C44" s="10" t="str">
        <f t="shared" si="5"/>
        <v>02</v>
      </c>
      <c r="D44" s="10" t="str">
        <f t="shared" si="6"/>
        <v>01</v>
      </c>
      <c r="E44" s="12">
        <v>45504.684027777774</v>
      </c>
      <c r="F44" s="6" t="s">
        <v>136</v>
      </c>
      <c r="G44" s="14">
        <f t="shared" si="7"/>
        <v>22.994479166671226</v>
      </c>
      <c r="I44" s="5"/>
    </row>
    <row r="45" spans="1:9" x14ac:dyDescent="0.25">
      <c r="A45" s="13" t="s">
        <v>95</v>
      </c>
      <c r="B45" s="10" t="str">
        <f t="shared" si="4"/>
        <v>A13</v>
      </c>
      <c r="C45" s="10" t="str">
        <f t="shared" si="5"/>
        <v>05</v>
      </c>
      <c r="D45" s="10" t="str">
        <f t="shared" si="6"/>
        <v>02</v>
      </c>
      <c r="E45" s="12">
        <v>45504.706944444442</v>
      </c>
      <c r="F45" s="6" t="s">
        <v>139</v>
      </c>
      <c r="G45" s="14">
        <f t="shared" si="7"/>
        <v>22.971562500002619</v>
      </c>
      <c r="I45" s="5"/>
    </row>
    <row r="46" spans="1:9" x14ac:dyDescent="0.25">
      <c r="A46" s="13" t="s">
        <v>48</v>
      </c>
      <c r="B46" s="10" t="str">
        <f t="shared" si="4"/>
        <v>A12</v>
      </c>
      <c r="C46" s="10" t="str">
        <f t="shared" si="5"/>
        <v>01</v>
      </c>
      <c r="D46" s="10" t="str">
        <f t="shared" si="6"/>
        <v>05</v>
      </c>
      <c r="E46" s="12">
        <v>45505.536111111112</v>
      </c>
      <c r="F46" s="6" t="s">
        <v>141</v>
      </c>
      <c r="G46" s="14">
        <f t="shared" si="7"/>
        <v>22.142395833332557</v>
      </c>
      <c r="I46" s="5"/>
    </row>
    <row r="47" spans="1:9" x14ac:dyDescent="0.25">
      <c r="A47" s="13" t="s">
        <v>20</v>
      </c>
      <c r="B47" s="10" t="str">
        <f t="shared" si="4"/>
        <v>A11</v>
      </c>
      <c r="C47" s="10" t="str">
        <f t="shared" si="5"/>
        <v>02</v>
      </c>
      <c r="D47" s="10" t="str">
        <f t="shared" si="6"/>
        <v>02</v>
      </c>
      <c r="E47" s="12">
        <v>45505.643055555556</v>
      </c>
      <c r="F47" s="6" t="s">
        <v>142</v>
      </c>
      <c r="G47" s="14">
        <f t="shared" si="7"/>
        <v>22.03545138888876</v>
      </c>
      <c r="I47" s="5"/>
    </row>
    <row r="48" spans="1:9" x14ac:dyDescent="0.25">
      <c r="A48" s="13" t="s">
        <v>133</v>
      </c>
      <c r="B48" s="10" t="str">
        <f t="shared" si="4"/>
        <v>A14</v>
      </c>
      <c r="C48" s="10" t="str">
        <f t="shared" si="5"/>
        <v>06</v>
      </c>
      <c r="D48" s="10" t="str">
        <f t="shared" si="6"/>
        <v>05</v>
      </c>
      <c r="E48" s="12">
        <v>45506.402083333334</v>
      </c>
      <c r="F48" s="6" t="s">
        <v>142</v>
      </c>
      <c r="G48" s="14">
        <f t="shared" si="7"/>
        <v>21.276423611110658</v>
      </c>
      <c r="I48" s="5"/>
    </row>
    <row r="49" spans="1:9" x14ac:dyDescent="0.25">
      <c r="A49" s="13" t="s">
        <v>49</v>
      </c>
      <c r="B49" s="10" t="str">
        <f t="shared" si="4"/>
        <v>A12</v>
      </c>
      <c r="C49" s="10" t="str">
        <f t="shared" si="5"/>
        <v>02</v>
      </c>
      <c r="D49" s="10" t="str">
        <f t="shared" si="6"/>
        <v>01</v>
      </c>
      <c r="E49" s="12">
        <v>45506.433333333334</v>
      </c>
      <c r="F49" s="6" t="s">
        <v>142</v>
      </c>
      <c r="G49" s="14">
        <f t="shared" si="7"/>
        <v>21.245173611110658</v>
      </c>
      <c r="I49" s="5"/>
    </row>
    <row r="50" spans="1:9" x14ac:dyDescent="0.25">
      <c r="A50" s="13" t="s">
        <v>68</v>
      </c>
      <c r="B50" s="10" t="str">
        <f t="shared" si="4"/>
        <v>A12</v>
      </c>
      <c r="C50" s="10" t="str">
        <f t="shared" si="5"/>
        <v>05</v>
      </c>
      <c r="D50" s="10" t="str">
        <f t="shared" si="6"/>
        <v>05</v>
      </c>
      <c r="E50" s="12">
        <v>45506.518750000003</v>
      </c>
      <c r="F50" s="6" t="s">
        <v>139</v>
      </c>
      <c r="G50" s="14">
        <f t="shared" si="7"/>
        <v>21.159756944442051</v>
      </c>
      <c r="I50" s="5"/>
    </row>
    <row r="51" spans="1:9" x14ac:dyDescent="0.25">
      <c r="A51" s="13" t="s">
        <v>36</v>
      </c>
      <c r="B51" s="10" t="str">
        <f t="shared" si="4"/>
        <v>A11</v>
      </c>
      <c r="C51" s="10" t="str">
        <f t="shared" si="5"/>
        <v>05</v>
      </c>
      <c r="D51" s="10" t="str">
        <f t="shared" si="6"/>
        <v>03</v>
      </c>
      <c r="E51" s="12">
        <v>45507.393750000003</v>
      </c>
      <c r="F51" s="6" t="s">
        <v>134</v>
      </c>
      <c r="G51" s="14">
        <f t="shared" si="7"/>
        <v>20.284756944442051</v>
      </c>
      <c r="I51" s="5"/>
    </row>
    <row r="52" spans="1:9" x14ac:dyDescent="0.25">
      <c r="A52" s="13" t="s">
        <v>19</v>
      </c>
      <c r="B52" s="10" t="str">
        <f t="shared" si="4"/>
        <v>A11</v>
      </c>
      <c r="C52" s="10" t="str">
        <f t="shared" si="5"/>
        <v>02</v>
      </c>
      <c r="D52" s="10" t="str">
        <f t="shared" si="6"/>
        <v>01</v>
      </c>
      <c r="E52" s="12">
        <v>45507.422222222223</v>
      </c>
      <c r="F52" s="6" t="s">
        <v>136</v>
      </c>
      <c r="G52" s="14">
        <f t="shared" si="7"/>
        <v>20.256284722221608</v>
      </c>
      <c r="I52" s="5"/>
    </row>
    <row r="53" spans="1:9" x14ac:dyDescent="0.25">
      <c r="A53" s="13" t="s">
        <v>38</v>
      </c>
      <c r="B53" s="10" t="str">
        <f t="shared" si="4"/>
        <v>A11</v>
      </c>
      <c r="C53" s="10" t="str">
        <f t="shared" si="5"/>
        <v>05</v>
      </c>
      <c r="D53" s="10" t="str">
        <f t="shared" si="6"/>
        <v>05</v>
      </c>
      <c r="E53" s="12">
        <v>45507.510416666664</v>
      </c>
      <c r="F53" s="6" t="s">
        <v>137</v>
      </c>
      <c r="G53" s="14">
        <f t="shared" si="7"/>
        <v>20.16809027778072</v>
      </c>
      <c r="I53" s="5"/>
    </row>
    <row r="54" spans="1:9" x14ac:dyDescent="0.25">
      <c r="A54" s="13" t="s">
        <v>109</v>
      </c>
      <c r="B54" s="10" t="str">
        <f t="shared" si="4"/>
        <v>A14</v>
      </c>
      <c r="C54" s="10" t="str">
        <f t="shared" si="5"/>
        <v>02</v>
      </c>
      <c r="D54" s="10" t="str">
        <f t="shared" si="6"/>
        <v>01</v>
      </c>
      <c r="E54" s="12">
        <v>45507.525000000001</v>
      </c>
      <c r="F54" s="6" t="s">
        <v>141</v>
      </c>
      <c r="G54" s="14">
        <f t="shared" si="7"/>
        <v>20.153506944443507</v>
      </c>
      <c r="I54" s="5"/>
    </row>
    <row r="55" spans="1:9" x14ac:dyDescent="0.25">
      <c r="A55" s="13" t="s">
        <v>124</v>
      </c>
      <c r="B55" s="10" t="str">
        <f t="shared" si="4"/>
        <v>A14</v>
      </c>
      <c r="C55" s="10" t="str">
        <f t="shared" si="5"/>
        <v>05</v>
      </c>
      <c r="D55" s="10" t="str">
        <f t="shared" si="6"/>
        <v>01</v>
      </c>
      <c r="E55" s="12">
        <v>45507.529166666667</v>
      </c>
      <c r="F55" s="6" t="s">
        <v>136</v>
      </c>
      <c r="G55" s="14">
        <f t="shared" si="7"/>
        <v>20.14934027777781</v>
      </c>
      <c r="I55" s="5"/>
    </row>
    <row r="56" spans="1:9" x14ac:dyDescent="0.25">
      <c r="A56" s="13" t="s">
        <v>132</v>
      </c>
      <c r="B56" s="10" t="str">
        <f t="shared" si="4"/>
        <v>A14</v>
      </c>
      <c r="C56" s="10" t="str">
        <f t="shared" si="5"/>
        <v>06</v>
      </c>
      <c r="D56" s="10" t="str">
        <f t="shared" si="6"/>
        <v>04</v>
      </c>
      <c r="E56" s="12">
        <v>45507.645138888889</v>
      </c>
      <c r="F56" s="6" t="s">
        <v>142</v>
      </c>
      <c r="G56" s="14">
        <f t="shared" si="7"/>
        <v>20.033368055555911</v>
      </c>
      <c r="I56" s="5"/>
    </row>
    <row r="57" spans="1:9" x14ac:dyDescent="0.25">
      <c r="A57" s="13" t="s">
        <v>56</v>
      </c>
      <c r="B57" s="10" t="str">
        <f t="shared" si="4"/>
        <v>A12</v>
      </c>
      <c r="C57" s="10" t="str">
        <f t="shared" si="5"/>
        <v>03</v>
      </c>
      <c r="D57" s="10" t="str">
        <f t="shared" si="6"/>
        <v>03</v>
      </c>
      <c r="E57" s="12">
        <v>45507.703472222223</v>
      </c>
      <c r="F57" s="6" t="s">
        <v>136</v>
      </c>
      <c r="G57" s="14">
        <f t="shared" si="7"/>
        <v>19.975034722221608</v>
      </c>
      <c r="I57" s="5"/>
    </row>
    <row r="58" spans="1:9" x14ac:dyDescent="0.25">
      <c r="A58" s="13" t="s">
        <v>47</v>
      </c>
      <c r="B58" s="10" t="str">
        <f t="shared" si="4"/>
        <v>A12</v>
      </c>
      <c r="C58" s="10" t="str">
        <f t="shared" si="5"/>
        <v>01</v>
      </c>
      <c r="D58" s="10" t="str">
        <f t="shared" si="6"/>
        <v>04</v>
      </c>
      <c r="E58" s="12">
        <v>45508.377083333333</v>
      </c>
      <c r="F58" s="6" t="s">
        <v>142</v>
      </c>
      <c r="G58" s="14">
        <f t="shared" si="7"/>
        <v>19.301423611112114</v>
      </c>
      <c r="I58" s="5"/>
    </row>
    <row r="59" spans="1:9" x14ac:dyDescent="0.25">
      <c r="A59" s="13" t="s">
        <v>22</v>
      </c>
      <c r="B59" s="10" t="str">
        <f t="shared" si="4"/>
        <v>A11</v>
      </c>
      <c r="C59" s="10" t="str">
        <f t="shared" si="5"/>
        <v>02</v>
      </c>
      <c r="D59" s="10" t="str">
        <f t="shared" si="6"/>
        <v>04</v>
      </c>
      <c r="E59" s="12">
        <v>45508.445833333331</v>
      </c>
      <c r="F59" s="6" t="s">
        <v>137</v>
      </c>
      <c r="G59" s="14">
        <f t="shared" si="7"/>
        <v>19.232673611113569</v>
      </c>
      <c r="I59" s="5"/>
    </row>
    <row r="60" spans="1:9" x14ac:dyDescent="0.25">
      <c r="A60" s="13" t="s">
        <v>64</v>
      </c>
      <c r="B60" s="10" t="str">
        <f t="shared" si="4"/>
        <v>A12</v>
      </c>
      <c r="C60" s="10" t="str">
        <f t="shared" si="5"/>
        <v>05</v>
      </c>
      <c r="D60" s="10" t="str">
        <f t="shared" si="6"/>
        <v>01</v>
      </c>
      <c r="E60" s="12">
        <v>45508.463194444448</v>
      </c>
      <c r="F60" s="6" t="s">
        <v>141</v>
      </c>
      <c r="G60" s="14">
        <f t="shared" si="7"/>
        <v>19.215312499996799</v>
      </c>
      <c r="I60" s="5"/>
    </row>
    <row r="61" spans="1:9" x14ac:dyDescent="0.25">
      <c r="A61" s="13" t="s">
        <v>100</v>
      </c>
      <c r="B61" s="10" t="str">
        <f t="shared" si="4"/>
        <v>A13</v>
      </c>
      <c r="C61" s="10" t="str">
        <f t="shared" si="5"/>
        <v>06</v>
      </c>
      <c r="D61" s="10" t="str">
        <f t="shared" si="6"/>
        <v>02</v>
      </c>
      <c r="E61" s="12">
        <v>45508.597916666666</v>
      </c>
      <c r="F61" s="6" t="s">
        <v>136</v>
      </c>
      <c r="G61" s="14">
        <f t="shared" si="7"/>
        <v>19.080590277779265</v>
      </c>
      <c r="I61" s="5"/>
    </row>
    <row r="62" spans="1:9" x14ac:dyDescent="0.25">
      <c r="A62" s="13" t="s">
        <v>63</v>
      </c>
      <c r="B62" s="10" t="str">
        <f t="shared" si="4"/>
        <v>A12</v>
      </c>
      <c r="C62" s="10" t="str">
        <f t="shared" si="5"/>
        <v>04</v>
      </c>
      <c r="D62" s="10" t="str">
        <f t="shared" si="6"/>
        <v>05</v>
      </c>
      <c r="E62" s="12">
        <v>45508.607638888891</v>
      </c>
      <c r="F62" s="6" t="s">
        <v>138</v>
      </c>
      <c r="G62" s="14">
        <f t="shared" si="7"/>
        <v>19.070868055554456</v>
      </c>
      <c r="I62" s="5"/>
    </row>
    <row r="63" spans="1:9" x14ac:dyDescent="0.25">
      <c r="A63" s="13" t="s">
        <v>113</v>
      </c>
      <c r="B63" s="10" t="str">
        <f t="shared" si="4"/>
        <v>A14</v>
      </c>
      <c r="C63" s="10" t="str">
        <f t="shared" si="5"/>
        <v>02</v>
      </c>
      <c r="D63" s="10" t="str">
        <f t="shared" si="6"/>
        <v>05</v>
      </c>
      <c r="E63" s="12">
        <v>45509.395138888889</v>
      </c>
      <c r="F63" s="6" t="s">
        <v>138</v>
      </c>
      <c r="G63" s="14">
        <f t="shared" si="7"/>
        <v>18.283368055555911</v>
      </c>
      <c r="I63" s="5"/>
    </row>
    <row r="64" spans="1:9" x14ac:dyDescent="0.25">
      <c r="A64" s="13" t="s">
        <v>45</v>
      </c>
      <c r="B64" s="10" t="str">
        <f t="shared" si="4"/>
        <v>A12</v>
      </c>
      <c r="C64" s="10" t="str">
        <f t="shared" si="5"/>
        <v>01</v>
      </c>
      <c r="D64" s="10" t="str">
        <f t="shared" si="6"/>
        <v>02</v>
      </c>
      <c r="E64" s="12">
        <v>45509.489583333336</v>
      </c>
      <c r="F64" s="6" t="s">
        <v>142</v>
      </c>
      <c r="G64" s="14">
        <f t="shared" si="7"/>
        <v>18.188923611109203</v>
      </c>
      <c r="I64" s="5"/>
    </row>
    <row r="65" spans="1:9" x14ac:dyDescent="0.25">
      <c r="A65" s="13" t="s">
        <v>106</v>
      </c>
      <c r="B65" s="10" t="str">
        <f t="shared" si="4"/>
        <v>A14</v>
      </c>
      <c r="C65" s="10" t="str">
        <f t="shared" si="5"/>
        <v>01</v>
      </c>
      <c r="D65" s="10" t="str">
        <f t="shared" si="6"/>
        <v>03</v>
      </c>
      <c r="E65" s="12">
        <v>45509.706249999996</v>
      </c>
      <c r="F65" s="6" t="s">
        <v>134</v>
      </c>
      <c r="G65" s="14">
        <f t="shared" si="7"/>
        <v>17.972256944449327</v>
      </c>
      <c r="I65" s="5"/>
    </row>
    <row r="66" spans="1:9" x14ac:dyDescent="0.25">
      <c r="A66" s="13" t="s">
        <v>122</v>
      </c>
      <c r="B66" s="10" t="str">
        <f t="shared" si="4"/>
        <v>A14</v>
      </c>
      <c r="C66" s="10" t="str">
        <f t="shared" si="5"/>
        <v>04</v>
      </c>
      <c r="D66" s="10" t="str">
        <f t="shared" si="6"/>
        <v>04</v>
      </c>
      <c r="E66" s="12">
        <v>45511.355555555558</v>
      </c>
      <c r="F66" s="6" t="s">
        <v>140</v>
      </c>
      <c r="G66" s="14">
        <f t="shared" si="7"/>
        <v>16.322951388887304</v>
      </c>
      <c r="I66" s="5"/>
    </row>
    <row r="67" spans="1:9" x14ac:dyDescent="0.25">
      <c r="A67" s="13" t="s">
        <v>84</v>
      </c>
      <c r="B67" s="10" t="str">
        <f t="shared" si="4"/>
        <v>A13</v>
      </c>
      <c r="C67" s="10" t="str">
        <f t="shared" si="5"/>
        <v>03</v>
      </c>
      <c r="D67" s="10" t="str">
        <f t="shared" si="6"/>
        <v>01</v>
      </c>
      <c r="E67" s="12">
        <v>45511.378472222219</v>
      </c>
      <c r="F67" s="6" t="s">
        <v>136</v>
      </c>
      <c r="G67" s="14">
        <f t="shared" si="7"/>
        <v>16.300034722225973</v>
      </c>
      <c r="I67" s="5"/>
    </row>
    <row r="68" spans="1:9" x14ac:dyDescent="0.25">
      <c r="A68" s="13" t="s">
        <v>69</v>
      </c>
      <c r="B68" s="10" t="str">
        <f t="shared" si="4"/>
        <v>A12</v>
      </c>
      <c r="C68" s="10" t="str">
        <f t="shared" si="5"/>
        <v>06</v>
      </c>
      <c r="D68" s="10" t="str">
        <f t="shared" si="6"/>
        <v>01</v>
      </c>
      <c r="E68" s="12">
        <v>45511.508333333331</v>
      </c>
      <c r="F68" s="6" t="s">
        <v>139</v>
      </c>
      <c r="G68" s="14">
        <f t="shared" si="7"/>
        <v>16.170173611113569</v>
      </c>
      <c r="I68" s="5"/>
    </row>
    <row r="69" spans="1:9" x14ac:dyDescent="0.25">
      <c r="A69" s="13" t="s">
        <v>32</v>
      </c>
      <c r="B69" s="10" t="str">
        <f t="shared" si="4"/>
        <v>A11</v>
      </c>
      <c r="C69" s="10" t="str">
        <f t="shared" si="5"/>
        <v>04</v>
      </c>
      <c r="D69" s="10" t="str">
        <f t="shared" si="6"/>
        <v>04</v>
      </c>
      <c r="E69" s="12">
        <v>45512.350000000006</v>
      </c>
      <c r="F69" s="6" t="s">
        <v>139</v>
      </c>
      <c r="G69" s="14">
        <f t="shared" si="7"/>
        <v>15.328506944439141</v>
      </c>
      <c r="I69" s="5"/>
    </row>
    <row r="70" spans="1:9" x14ac:dyDescent="0.25">
      <c r="A70" s="13" t="s">
        <v>77</v>
      </c>
      <c r="B70" s="10" t="str">
        <f t="shared" si="4"/>
        <v>A13</v>
      </c>
      <c r="C70" s="10" t="str">
        <f t="shared" si="5"/>
        <v>01</v>
      </c>
      <c r="D70" s="10" t="str">
        <f t="shared" si="6"/>
        <v>04</v>
      </c>
      <c r="E70" s="12">
        <v>45512.429166666661</v>
      </c>
      <c r="F70" s="6" t="s">
        <v>138</v>
      </c>
      <c r="G70" s="14">
        <f t="shared" si="7"/>
        <v>15.249340277783631</v>
      </c>
      <c r="I70" s="5"/>
    </row>
    <row r="71" spans="1:9" x14ac:dyDescent="0.25">
      <c r="A71" s="13" t="s">
        <v>130</v>
      </c>
      <c r="B71" s="10" t="str">
        <f t="shared" si="4"/>
        <v>A14</v>
      </c>
      <c r="C71" s="10" t="str">
        <f t="shared" si="5"/>
        <v>06</v>
      </c>
      <c r="D71" s="10" t="str">
        <f t="shared" si="6"/>
        <v>02</v>
      </c>
      <c r="E71" s="12">
        <v>45512.544444444444</v>
      </c>
      <c r="F71" s="6" t="s">
        <v>141</v>
      </c>
      <c r="G71" s="14">
        <f t="shared" si="7"/>
        <v>15.134062500001164</v>
      </c>
      <c r="I71" s="5"/>
    </row>
    <row r="72" spans="1:9" x14ac:dyDescent="0.25">
      <c r="A72" s="13" t="s">
        <v>128</v>
      </c>
      <c r="B72" s="10" t="str">
        <f t="shared" si="4"/>
        <v>A14</v>
      </c>
      <c r="C72" s="10" t="str">
        <f t="shared" si="5"/>
        <v>05</v>
      </c>
      <c r="D72" s="10" t="str">
        <f t="shared" si="6"/>
        <v>05</v>
      </c>
      <c r="E72" s="12">
        <v>45512.563194444439</v>
      </c>
      <c r="F72" s="6" t="s">
        <v>134</v>
      </c>
      <c r="G72" s="14">
        <f t="shared" si="7"/>
        <v>15.11531250000553</v>
      </c>
      <c r="I72" s="5"/>
    </row>
    <row r="73" spans="1:9" x14ac:dyDescent="0.25">
      <c r="A73" s="13" t="s">
        <v>94</v>
      </c>
      <c r="B73" s="10" t="str">
        <f t="shared" ref="B73:B104" si="8">MID(A73,3,3)</f>
        <v>A13</v>
      </c>
      <c r="C73" s="10" t="str">
        <f t="shared" ref="C73:C104" si="9">MID(A73,6,2)</f>
        <v>05</v>
      </c>
      <c r="D73" s="10" t="str">
        <f t="shared" ref="D73:D104" si="10">MID(A73,8,2)</f>
        <v>01</v>
      </c>
      <c r="E73" s="12">
        <v>45512.657638888886</v>
      </c>
      <c r="F73" s="6" t="s">
        <v>142</v>
      </c>
      <c r="G73" s="14">
        <f t="shared" ref="G73:G104" si="11">$B$6-E73</f>
        <v>15.020868055558822</v>
      </c>
      <c r="I73" s="5"/>
    </row>
    <row r="74" spans="1:9" x14ac:dyDescent="0.25">
      <c r="A74" s="13" t="s">
        <v>108</v>
      </c>
      <c r="B74" s="10" t="str">
        <f t="shared" si="8"/>
        <v>A14</v>
      </c>
      <c r="C74" s="10" t="str">
        <f t="shared" si="9"/>
        <v>01</v>
      </c>
      <c r="D74" s="10" t="str">
        <f t="shared" si="10"/>
        <v>05</v>
      </c>
      <c r="E74" s="12">
        <v>45513.338194444448</v>
      </c>
      <c r="F74" s="6" t="s">
        <v>135</v>
      </c>
      <c r="G74" s="14">
        <f t="shared" si="11"/>
        <v>14.340312499996799</v>
      </c>
      <c r="I74" s="5"/>
    </row>
    <row r="75" spans="1:9" x14ac:dyDescent="0.25">
      <c r="A75" s="13" t="s">
        <v>24</v>
      </c>
      <c r="B75" s="10" t="str">
        <f t="shared" si="8"/>
        <v>A11</v>
      </c>
      <c r="C75" s="10" t="str">
        <f t="shared" si="9"/>
        <v>03</v>
      </c>
      <c r="D75" s="10" t="str">
        <f t="shared" si="10"/>
        <v>01</v>
      </c>
      <c r="E75" s="12">
        <v>45513.388194444444</v>
      </c>
      <c r="F75" s="6" t="s">
        <v>138</v>
      </c>
      <c r="G75" s="14">
        <f t="shared" si="11"/>
        <v>14.290312500001164</v>
      </c>
      <c r="I75" s="5"/>
    </row>
    <row r="76" spans="1:9" x14ac:dyDescent="0.25">
      <c r="A76" s="13" t="s">
        <v>54</v>
      </c>
      <c r="B76" s="10" t="str">
        <f t="shared" si="8"/>
        <v>A12</v>
      </c>
      <c r="C76" s="10" t="str">
        <f t="shared" si="9"/>
        <v>03</v>
      </c>
      <c r="D76" s="10" t="str">
        <f t="shared" si="10"/>
        <v>01</v>
      </c>
      <c r="E76" s="12">
        <v>45513.459027777782</v>
      </c>
      <c r="F76" s="6" t="s">
        <v>140</v>
      </c>
      <c r="G76" s="14">
        <f t="shared" si="11"/>
        <v>14.219479166662495</v>
      </c>
      <c r="I76" s="5"/>
    </row>
    <row r="77" spans="1:9" x14ac:dyDescent="0.25">
      <c r="A77" s="13" t="s">
        <v>110</v>
      </c>
      <c r="B77" s="10" t="str">
        <f t="shared" si="8"/>
        <v>A14</v>
      </c>
      <c r="C77" s="10" t="str">
        <f t="shared" si="9"/>
        <v>02</v>
      </c>
      <c r="D77" s="10" t="str">
        <f t="shared" si="10"/>
        <v>02</v>
      </c>
      <c r="E77" s="12">
        <v>45513.489583333336</v>
      </c>
      <c r="F77" s="6" t="s">
        <v>138</v>
      </c>
      <c r="G77" s="14">
        <f t="shared" si="11"/>
        <v>14.188923611109203</v>
      </c>
      <c r="I77" s="5"/>
    </row>
    <row r="78" spans="1:9" x14ac:dyDescent="0.25">
      <c r="A78" s="13" t="s">
        <v>126</v>
      </c>
      <c r="B78" s="10" t="str">
        <f t="shared" si="8"/>
        <v>A14</v>
      </c>
      <c r="C78" s="10" t="str">
        <f t="shared" si="9"/>
        <v>05</v>
      </c>
      <c r="D78" s="10" t="str">
        <f t="shared" si="10"/>
        <v>03</v>
      </c>
      <c r="E78" s="12">
        <v>45513.497916666667</v>
      </c>
      <c r="F78" s="6" t="s">
        <v>138</v>
      </c>
      <c r="G78" s="14">
        <f t="shared" si="11"/>
        <v>14.18059027777781</v>
      </c>
      <c r="I78" s="5"/>
    </row>
    <row r="79" spans="1:9" x14ac:dyDescent="0.25">
      <c r="A79" s="13" t="s">
        <v>74</v>
      </c>
      <c r="B79" s="10" t="str">
        <f t="shared" si="8"/>
        <v>A13</v>
      </c>
      <c r="C79" s="10" t="str">
        <f t="shared" si="9"/>
        <v>01</v>
      </c>
      <c r="D79" s="10" t="str">
        <f t="shared" si="10"/>
        <v>01</v>
      </c>
      <c r="E79" s="12">
        <v>45513.632638888892</v>
      </c>
      <c r="F79" s="6" t="s">
        <v>137</v>
      </c>
      <c r="G79" s="14">
        <f t="shared" si="11"/>
        <v>14.045868055553001</v>
      </c>
      <c r="I79" s="5"/>
    </row>
    <row r="80" spans="1:9" x14ac:dyDescent="0.25">
      <c r="A80" s="13" t="s">
        <v>75</v>
      </c>
      <c r="B80" s="10" t="str">
        <f t="shared" si="8"/>
        <v>A13</v>
      </c>
      <c r="C80" s="10" t="str">
        <f t="shared" si="9"/>
        <v>01</v>
      </c>
      <c r="D80" s="10" t="str">
        <f t="shared" si="10"/>
        <v>02</v>
      </c>
      <c r="E80" s="12">
        <v>45513.63958333333</v>
      </c>
      <c r="F80" s="6" t="s">
        <v>138</v>
      </c>
      <c r="G80" s="14">
        <f t="shared" si="11"/>
        <v>14.038923611115024</v>
      </c>
      <c r="I80" s="5"/>
    </row>
    <row r="81" spans="1:9" x14ac:dyDescent="0.25">
      <c r="A81" s="13" t="s">
        <v>46</v>
      </c>
      <c r="B81" s="10" t="str">
        <f t="shared" si="8"/>
        <v>A12</v>
      </c>
      <c r="C81" s="10" t="str">
        <f t="shared" si="9"/>
        <v>01</v>
      </c>
      <c r="D81" s="10" t="str">
        <f t="shared" si="10"/>
        <v>03</v>
      </c>
      <c r="E81" s="12">
        <v>45514.381249999999</v>
      </c>
      <c r="F81" s="6" t="s">
        <v>135</v>
      </c>
      <c r="G81" s="14">
        <f t="shared" si="11"/>
        <v>13.297256944446417</v>
      </c>
      <c r="I81" s="5"/>
    </row>
    <row r="82" spans="1:9" x14ac:dyDescent="0.25">
      <c r="A82" s="13" t="s">
        <v>43</v>
      </c>
      <c r="B82" s="10" t="str">
        <f t="shared" si="8"/>
        <v>A11</v>
      </c>
      <c r="C82" s="10" t="str">
        <f t="shared" si="9"/>
        <v>06</v>
      </c>
      <c r="D82" s="10" t="str">
        <f t="shared" si="10"/>
        <v>05</v>
      </c>
      <c r="E82" s="12">
        <v>45514.397916666669</v>
      </c>
      <c r="F82" s="6" t="s">
        <v>141</v>
      </c>
      <c r="G82" s="14">
        <f t="shared" si="11"/>
        <v>13.280590277776355</v>
      </c>
      <c r="I82" s="5"/>
    </row>
    <row r="83" spans="1:9" x14ac:dyDescent="0.25">
      <c r="A83" s="13" t="s">
        <v>127</v>
      </c>
      <c r="B83" s="10" t="str">
        <f t="shared" si="8"/>
        <v>A14</v>
      </c>
      <c r="C83" s="10" t="str">
        <f t="shared" si="9"/>
        <v>05</v>
      </c>
      <c r="D83" s="10" t="str">
        <f t="shared" si="10"/>
        <v>04</v>
      </c>
      <c r="E83" s="12">
        <v>45514.495138888895</v>
      </c>
      <c r="F83" s="6" t="s">
        <v>136</v>
      </c>
      <c r="G83" s="14">
        <f t="shared" si="11"/>
        <v>13.183368055550091</v>
      </c>
      <c r="I83" s="5"/>
    </row>
    <row r="84" spans="1:9" x14ac:dyDescent="0.25">
      <c r="A84" s="13" t="s">
        <v>30</v>
      </c>
      <c r="B84" s="10" t="str">
        <f t="shared" si="8"/>
        <v>A11</v>
      </c>
      <c r="C84" s="10" t="str">
        <f t="shared" si="9"/>
        <v>04</v>
      </c>
      <c r="D84" s="10" t="str">
        <f t="shared" si="10"/>
        <v>02</v>
      </c>
      <c r="E84" s="12">
        <v>45514.645138888889</v>
      </c>
      <c r="F84" s="6" t="s">
        <v>136</v>
      </c>
      <c r="G84" s="14">
        <f t="shared" si="11"/>
        <v>13.033368055555911</v>
      </c>
      <c r="I84" s="5"/>
    </row>
    <row r="85" spans="1:9" x14ac:dyDescent="0.25">
      <c r="A85" s="13" t="s">
        <v>129</v>
      </c>
      <c r="B85" s="10" t="str">
        <f t="shared" si="8"/>
        <v>A14</v>
      </c>
      <c r="C85" s="10" t="str">
        <f t="shared" si="9"/>
        <v>06</v>
      </c>
      <c r="D85" s="10" t="str">
        <f t="shared" si="10"/>
        <v>01</v>
      </c>
      <c r="E85" s="12">
        <v>45514.6875</v>
      </c>
      <c r="F85" s="6" t="s">
        <v>134</v>
      </c>
      <c r="G85" s="14">
        <f t="shared" si="11"/>
        <v>12.991006944444962</v>
      </c>
      <c r="I85" s="5"/>
    </row>
    <row r="86" spans="1:9" x14ac:dyDescent="0.25">
      <c r="A86" s="13" t="s">
        <v>80</v>
      </c>
      <c r="B86" s="10" t="str">
        <f t="shared" si="8"/>
        <v>A13</v>
      </c>
      <c r="C86" s="10" t="str">
        <f t="shared" si="9"/>
        <v>02</v>
      </c>
      <c r="D86" s="10" t="str">
        <f t="shared" si="10"/>
        <v>02</v>
      </c>
      <c r="E86" s="12">
        <v>45515.370833333334</v>
      </c>
      <c r="F86" s="6" t="s">
        <v>142</v>
      </c>
      <c r="G86" s="14">
        <f t="shared" si="11"/>
        <v>12.307673611110658</v>
      </c>
      <c r="I86" s="5"/>
    </row>
    <row r="87" spans="1:9" x14ac:dyDescent="0.25">
      <c r="A87" s="13" t="s">
        <v>76</v>
      </c>
      <c r="B87" s="10" t="str">
        <f t="shared" si="8"/>
        <v>A13</v>
      </c>
      <c r="C87" s="10" t="str">
        <f t="shared" si="9"/>
        <v>01</v>
      </c>
      <c r="D87" s="10" t="str">
        <f t="shared" si="10"/>
        <v>03</v>
      </c>
      <c r="E87" s="12">
        <v>45515.416666666664</v>
      </c>
      <c r="F87" s="6" t="s">
        <v>134</v>
      </c>
      <c r="G87" s="14">
        <f t="shared" si="11"/>
        <v>12.26184027778072</v>
      </c>
      <c r="I87" s="5"/>
    </row>
    <row r="88" spans="1:9" x14ac:dyDescent="0.25">
      <c r="A88" s="13" t="s">
        <v>88</v>
      </c>
      <c r="B88" s="10" t="str">
        <f t="shared" si="8"/>
        <v>A13</v>
      </c>
      <c r="C88" s="10" t="str">
        <f t="shared" si="9"/>
        <v>03</v>
      </c>
      <c r="D88" s="10" t="str">
        <f t="shared" si="10"/>
        <v>05</v>
      </c>
      <c r="E88" s="12">
        <v>45516.381249999999</v>
      </c>
      <c r="F88" s="6" t="s">
        <v>134</v>
      </c>
      <c r="G88" s="14">
        <f t="shared" si="11"/>
        <v>11.297256944446417</v>
      </c>
      <c r="I88" s="5"/>
    </row>
    <row r="89" spans="1:9" x14ac:dyDescent="0.25">
      <c r="A89" s="13" t="s">
        <v>97</v>
      </c>
      <c r="B89" s="10" t="str">
        <f t="shared" si="8"/>
        <v>A13</v>
      </c>
      <c r="C89" s="10" t="str">
        <f t="shared" si="9"/>
        <v>05</v>
      </c>
      <c r="D89" s="10" t="str">
        <f t="shared" si="10"/>
        <v>04</v>
      </c>
      <c r="E89" s="12">
        <v>45516.46875</v>
      </c>
      <c r="F89" s="6" t="s">
        <v>135</v>
      </c>
      <c r="G89" s="14">
        <f t="shared" si="11"/>
        <v>11.209756944444962</v>
      </c>
      <c r="I89" s="5"/>
    </row>
    <row r="90" spans="1:9" x14ac:dyDescent="0.25">
      <c r="A90" s="13" t="s">
        <v>17</v>
      </c>
      <c r="B90" s="10" t="str">
        <f t="shared" si="8"/>
        <v>A11</v>
      </c>
      <c r="C90" s="10" t="str">
        <f t="shared" si="9"/>
        <v>01</v>
      </c>
      <c r="D90" s="10" t="str">
        <f t="shared" si="10"/>
        <v>04</v>
      </c>
      <c r="E90" s="12">
        <v>45516.560416666667</v>
      </c>
      <c r="F90" s="6" t="s">
        <v>135</v>
      </c>
      <c r="G90" s="14">
        <f t="shared" si="11"/>
        <v>11.11809027777781</v>
      </c>
      <c r="I90" s="5"/>
    </row>
    <row r="91" spans="1:9" x14ac:dyDescent="0.25">
      <c r="A91" s="13" t="s">
        <v>18</v>
      </c>
      <c r="B91" s="10" t="str">
        <f t="shared" si="8"/>
        <v>A11</v>
      </c>
      <c r="C91" s="10" t="str">
        <f t="shared" si="9"/>
        <v>01</v>
      </c>
      <c r="D91" s="10" t="str">
        <f t="shared" si="10"/>
        <v>05</v>
      </c>
      <c r="E91" s="12">
        <v>45516.574999999997</v>
      </c>
      <c r="F91" s="6" t="s">
        <v>142</v>
      </c>
      <c r="G91" s="14">
        <f t="shared" si="11"/>
        <v>11.103506944447872</v>
      </c>
      <c r="I91" s="5"/>
    </row>
    <row r="92" spans="1:9" x14ac:dyDescent="0.25">
      <c r="A92" s="13" t="s">
        <v>14</v>
      </c>
      <c r="B92" s="10" t="str">
        <f t="shared" si="8"/>
        <v>A11</v>
      </c>
      <c r="C92" s="10" t="str">
        <f t="shared" si="9"/>
        <v>01</v>
      </c>
      <c r="D92" s="10" t="str">
        <f t="shared" si="10"/>
        <v>01</v>
      </c>
      <c r="E92" s="12">
        <v>45516.694444444445</v>
      </c>
      <c r="F92" s="6" t="s">
        <v>140</v>
      </c>
      <c r="G92" s="14">
        <f t="shared" si="11"/>
        <v>10.984062499999709</v>
      </c>
      <c r="I92" s="5"/>
    </row>
    <row r="93" spans="1:9" x14ac:dyDescent="0.25">
      <c r="A93" s="13" t="s">
        <v>119</v>
      </c>
      <c r="B93" s="10" t="str">
        <f t="shared" si="8"/>
        <v>A14</v>
      </c>
      <c r="C93" s="10" t="str">
        <f t="shared" si="9"/>
        <v>04</v>
      </c>
      <c r="D93" s="10" t="str">
        <f t="shared" si="10"/>
        <v>01</v>
      </c>
      <c r="E93" s="12">
        <v>45517.463194444448</v>
      </c>
      <c r="F93" s="6" t="s">
        <v>140</v>
      </c>
      <c r="G93" s="14">
        <f t="shared" si="11"/>
        <v>10.215312499996799</v>
      </c>
      <c r="I93" s="5"/>
    </row>
    <row r="94" spans="1:9" x14ac:dyDescent="0.25">
      <c r="A94" s="13" t="s">
        <v>104</v>
      </c>
      <c r="B94" s="10" t="str">
        <f t="shared" si="8"/>
        <v>A14</v>
      </c>
      <c r="C94" s="10" t="str">
        <f t="shared" si="9"/>
        <v>01</v>
      </c>
      <c r="D94" s="10" t="str">
        <f t="shared" si="10"/>
        <v>01</v>
      </c>
      <c r="E94" s="12">
        <v>45517.560416666667</v>
      </c>
      <c r="F94" s="6" t="s">
        <v>135</v>
      </c>
      <c r="G94" s="14">
        <f t="shared" si="11"/>
        <v>10.11809027777781</v>
      </c>
      <c r="I94" s="5"/>
    </row>
    <row r="95" spans="1:9" x14ac:dyDescent="0.25">
      <c r="A95" s="13" t="s">
        <v>25</v>
      </c>
      <c r="B95" s="10" t="str">
        <f t="shared" si="8"/>
        <v>A11</v>
      </c>
      <c r="C95" s="10" t="str">
        <f t="shared" si="9"/>
        <v>03</v>
      </c>
      <c r="D95" s="10" t="str">
        <f t="shared" si="10"/>
        <v>02</v>
      </c>
      <c r="E95" s="12">
        <v>45517.681249999994</v>
      </c>
      <c r="F95" s="6" t="s">
        <v>135</v>
      </c>
      <c r="G95" s="14">
        <f t="shared" si="11"/>
        <v>9.9972569444507826</v>
      </c>
      <c r="I95" s="5"/>
    </row>
    <row r="96" spans="1:9" x14ac:dyDescent="0.25">
      <c r="A96" s="13" t="s">
        <v>53</v>
      </c>
      <c r="B96" s="10" t="str">
        <f t="shared" si="8"/>
        <v>A12</v>
      </c>
      <c r="C96" s="10" t="str">
        <f t="shared" si="9"/>
        <v>02</v>
      </c>
      <c r="D96" s="10" t="str">
        <f t="shared" si="10"/>
        <v>05</v>
      </c>
      <c r="E96" s="12">
        <v>45518.454861111109</v>
      </c>
      <c r="F96" s="6" t="s">
        <v>142</v>
      </c>
      <c r="G96" s="14">
        <f t="shared" si="11"/>
        <v>9.2236458333354676</v>
      </c>
      <c r="I96" s="5"/>
    </row>
    <row r="97" spans="1:9" x14ac:dyDescent="0.25">
      <c r="A97" s="13" t="s">
        <v>89</v>
      </c>
      <c r="B97" s="10" t="str">
        <f t="shared" si="8"/>
        <v>A13</v>
      </c>
      <c r="C97" s="10" t="str">
        <f t="shared" si="9"/>
        <v>04</v>
      </c>
      <c r="D97" s="10" t="str">
        <f t="shared" si="10"/>
        <v>01</v>
      </c>
      <c r="E97" s="12">
        <v>45518.459722222222</v>
      </c>
      <c r="F97" s="6" t="s">
        <v>140</v>
      </c>
      <c r="G97" s="14">
        <f t="shared" si="11"/>
        <v>9.218784722223063</v>
      </c>
      <c r="I97" s="5"/>
    </row>
    <row r="98" spans="1:9" x14ac:dyDescent="0.25">
      <c r="A98" s="13" t="s">
        <v>107</v>
      </c>
      <c r="B98" s="10" t="str">
        <f t="shared" si="8"/>
        <v>A14</v>
      </c>
      <c r="C98" s="10" t="str">
        <f t="shared" si="9"/>
        <v>01</v>
      </c>
      <c r="D98" s="10" t="str">
        <f t="shared" si="10"/>
        <v>04</v>
      </c>
      <c r="E98" s="12">
        <v>45518.462500000001</v>
      </c>
      <c r="F98" s="6" t="s">
        <v>140</v>
      </c>
      <c r="G98" s="14">
        <f t="shared" si="11"/>
        <v>9.2160069444435067</v>
      </c>
      <c r="I98" s="5"/>
    </row>
    <row r="99" spans="1:9" x14ac:dyDescent="0.25">
      <c r="A99" s="13" t="s">
        <v>82</v>
      </c>
      <c r="B99" s="10" t="str">
        <f t="shared" si="8"/>
        <v>A13</v>
      </c>
      <c r="C99" s="10" t="str">
        <f t="shared" si="9"/>
        <v>02</v>
      </c>
      <c r="D99" s="10" t="str">
        <f t="shared" si="10"/>
        <v>04</v>
      </c>
      <c r="E99" s="12">
        <v>45518.463888888895</v>
      </c>
      <c r="F99" s="6" t="s">
        <v>142</v>
      </c>
      <c r="G99" s="14">
        <f t="shared" si="11"/>
        <v>9.2146180555500905</v>
      </c>
      <c r="I99" s="5"/>
    </row>
    <row r="100" spans="1:9" x14ac:dyDescent="0.25">
      <c r="A100" s="13" t="s">
        <v>120</v>
      </c>
      <c r="B100" s="10" t="str">
        <f t="shared" si="8"/>
        <v>A14</v>
      </c>
      <c r="C100" s="10" t="str">
        <f t="shared" si="9"/>
        <v>04</v>
      </c>
      <c r="D100" s="10" t="str">
        <f t="shared" si="10"/>
        <v>02</v>
      </c>
      <c r="E100" s="12">
        <v>45518.603472222225</v>
      </c>
      <c r="F100" s="6" t="s">
        <v>142</v>
      </c>
      <c r="G100" s="14">
        <f t="shared" si="11"/>
        <v>9.0750347222201526</v>
      </c>
      <c r="I100" s="5"/>
    </row>
    <row r="101" spans="1:9" x14ac:dyDescent="0.25">
      <c r="A101" s="13" t="s">
        <v>23</v>
      </c>
      <c r="B101" s="10" t="str">
        <f t="shared" si="8"/>
        <v>A11</v>
      </c>
      <c r="C101" s="10" t="str">
        <f t="shared" si="9"/>
        <v>02</v>
      </c>
      <c r="D101" s="10" t="str">
        <f t="shared" si="10"/>
        <v>05</v>
      </c>
      <c r="E101" s="12">
        <v>45518.669444444444</v>
      </c>
      <c r="F101" s="6" t="s">
        <v>136</v>
      </c>
      <c r="G101" s="14">
        <f t="shared" si="11"/>
        <v>9.0090625000011642</v>
      </c>
      <c r="I101" s="5"/>
    </row>
    <row r="102" spans="1:9" x14ac:dyDescent="0.25">
      <c r="A102" s="13" t="s">
        <v>42</v>
      </c>
      <c r="B102" s="10" t="str">
        <f t="shared" si="8"/>
        <v>A11</v>
      </c>
      <c r="C102" s="10" t="str">
        <f t="shared" si="9"/>
        <v>06</v>
      </c>
      <c r="D102" s="10" t="str">
        <f t="shared" si="10"/>
        <v>04</v>
      </c>
      <c r="E102" s="12">
        <v>45518.674305555556</v>
      </c>
      <c r="F102" s="6" t="s">
        <v>134</v>
      </c>
      <c r="G102" s="14">
        <f t="shared" si="11"/>
        <v>9.0042013888887595</v>
      </c>
      <c r="I102" s="5"/>
    </row>
    <row r="103" spans="1:9" x14ac:dyDescent="0.25">
      <c r="A103" s="13" t="s">
        <v>34</v>
      </c>
      <c r="B103" s="10" t="str">
        <f t="shared" si="8"/>
        <v>A11</v>
      </c>
      <c r="C103" s="10" t="str">
        <f t="shared" si="9"/>
        <v>05</v>
      </c>
      <c r="D103" s="10" t="str">
        <f t="shared" si="10"/>
        <v>01</v>
      </c>
      <c r="E103" s="12">
        <v>45519.375694444447</v>
      </c>
      <c r="F103" s="6" t="s">
        <v>140</v>
      </c>
      <c r="G103" s="14">
        <f t="shared" si="11"/>
        <v>8.3028124999982538</v>
      </c>
      <c r="I103" s="5"/>
    </row>
    <row r="104" spans="1:9" x14ac:dyDescent="0.25">
      <c r="A104" s="13" t="s">
        <v>73</v>
      </c>
      <c r="B104" s="10" t="str">
        <f t="shared" si="8"/>
        <v>A12</v>
      </c>
      <c r="C104" s="10" t="str">
        <f t="shared" si="9"/>
        <v>06</v>
      </c>
      <c r="D104" s="10" t="str">
        <f t="shared" si="10"/>
        <v>05</v>
      </c>
      <c r="E104" s="12">
        <v>45519.386805555558</v>
      </c>
      <c r="F104" s="6" t="s">
        <v>138</v>
      </c>
      <c r="G104" s="14">
        <f t="shared" si="11"/>
        <v>8.2917013888873043</v>
      </c>
      <c r="I104" s="5"/>
    </row>
    <row r="105" spans="1:9" x14ac:dyDescent="0.25">
      <c r="A105" s="13" t="s">
        <v>125</v>
      </c>
      <c r="B105" s="10" t="str">
        <f t="shared" ref="B105:B128" si="12">MID(A105,3,3)</f>
        <v>A14</v>
      </c>
      <c r="C105" s="10" t="str">
        <f t="shared" ref="C105:C128" si="13">MID(A105,6,2)</f>
        <v>05</v>
      </c>
      <c r="D105" s="10" t="str">
        <f t="shared" ref="D105:D128" si="14">MID(A105,8,2)</f>
        <v>02</v>
      </c>
      <c r="E105" s="12">
        <v>45519.623611111114</v>
      </c>
      <c r="F105" s="6" t="s">
        <v>140</v>
      </c>
      <c r="G105" s="14">
        <f t="shared" ref="G105:G128" si="15">$B$6-E105</f>
        <v>8.054895833331102</v>
      </c>
      <c r="I105" s="5"/>
    </row>
    <row r="106" spans="1:9" x14ac:dyDescent="0.25">
      <c r="A106" s="13" t="s">
        <v>66</v>
      </c>
      <c r="B106" s="10" t="str">
        <f t="shared" si="12"/>
        <v>A12</v>
      </c>
      <c r="C106" s="10" t="str">
        <f t="shared" si="13"/>
        <v>05</v>
      </c>
      <c r="D106" s="10" t="str">
        <f t="shared" si="14"/>
        <v>03</v>
      </c>
      <c r="E106" s="12">
        <v>45520.4</v>
      </c>
      <c r="F106" s="6" t="s">
        <v>138</v>
      </c>
      <c r="G106" s="14">
        <f t="shared" si="15"/>
        <v>7.2785069444435067</v>
      </c>
      <c r="I106" s="5"/>
    </row>
    <row r="107" spans="1:9" x14ac:dyDescent="0.25">
      <c r="A107" s="13" t="s">
        <v>57</v>
      </c>
      <c r="B107" s="10" t="str">
        <f t="shared" si="12"/>
        <v>A12</v>
      </c>
      <c r="C107" s="10" t="str">
        <f t="shared" si="13"/>
        <v>03</v>
      </c>
      <c r="D107" s="10" t="str">
        <f t="shared" si="14"/>
        <v>04</v>
      </c>
      <c r="E107" s="12">
        <v>45520.446527777778</v>
      </c>
      <c r="F107" s="6" t="s">
        <v>140</v>
      </c>
      <c r="G107" s="14">
        <f t="shared" si="15"/>
        <v>7.2319791666668607</v>
      </c>
      <c r="I107" s="5"/>
    </row>
    <row r="108" spans="1:9" x14ac:dyDescent="0.25">
      <c r="A108" s="13" t="s">
        <v>78</v>
      </c>
      <c r="B108" s="10" t="str">
        <f t="shared" si="12"/>
        <v>A13</v>
      </c>
      <c r="C108" s="10" t="str">
        <f t="shared" si="13"/>
        <v>01</v>
      </c>
      <c r="D108" s="10" t="str">
        <f t="shared" si="14"/>
        <v>05</v>
      </c>
      <c r="E108" s="12">
        <v>45521.375</v>
      </c>
      <c r="F108" s="6" t="s">
        <v>134</v>
      </c>
      <c r="G108" s="14">
        <f t="shared" si="15"/>
        <v>6.3035069444449618</v>
      </c>
      <c r="I108" s="5"/>
    </row>
    <row r="109" spans="1:9" x14ac:dyDescent="0.25">
      <c r="A109" s="13" t="s">
        <v>67</v>
      </c>
      <c r="B109" s="10" t="str">
        <f t="shared" si="12"/>
        <v>A12</v>
      </c>
      <c r="C109" s="10" t="str">
        <f t="shared" si="13"/>
        <v>05</v>
      </c>
      <c r="D109" s="10" t="str">
        <f t="shared" si="14"/>
        <v>04</v>
      </c>
      <c r="E109" s="12">
        <v>45521.463194444448</v>
      </c>
      <c r="F109" s="6" t="s">
        <v>138</v>
      </c>
      <c r="G109" s="14">
        <f t="shared" si="15"/>
        <v>6.2153124999967986</v>
      </c>
      <c r="I109" s="5"/>
    </row>
    <row r="110" spans="1:9" x14ac:dyDescent="0.25">
      <c r="A110" s="13" t="s">
        <v>112</v>
      </c>
      <c r="B110" s="10" t="str">
        <f t="shared" si="12"/>
        <v>A14</v>
      </c>
      <c r="C110" s="10" t="str">
        <f t="shared" si="13"/>
        <v>02</v>
      </c>
      <c r="D110" s="10" t="str">
        <f t="shared" si="14"/>
        <v>04</v>
      </c>
      <c r="E110" s="12">
        <v>45521.472222222226</v>
      </c>
      <c r="F110" s="6" t="s">
        <v>135</v>
      </c>
      <c r="G110" s="14">
        <f t="shared" si="15"/>
        <v>6.2062847222186974</v>
      </c>
      <c r="I110" s="5"/>
    </row>
    <row r="111" spans="1:9" x14ac:dyDescent="0.25">
      <c r="A111" s="13" t="s">
        <v>121</v>
      </c>
      <c r="B111" s="10" t="str">
        <f t="shared" si="12"/>
        <v>A14</v>
      </c>
      <c r="C111" s="10" t="str">
        <f t="shared" si="13"/>
        <v>04</v>
      </c>
      <c r="D111" s="10" t="str">
        <f t="shared" si="14"/>
        <v>03</v>
      </c>
      <c r="E111" s="12">
        <v>45521.637499999997</v>
      </c>
      <c r="F111" s="6" t="s">
        <v>139</v>
      </c>
      <c r="G111" s="14">
        <f t="shared" si="15"/>
        <v>6.0410069444478722</v>
      </c>
      <c r="I111" s="5"/>
    </row>
    <row r="112" spans="1:9" x14ac:dyDescent="0.25">
      <c r="A112" s="13" t="s">
        <v>39</v>
      </c>
      <c r="B112" s="10" t="str">
        <f t="shared" si="12"/>
        <v>A11</v>
      </c>
      <c r="C112" s="10" t="str">
        <f t="shared" si="13"/>
        <v>06</v>
      </c>
      <c r="D112" s="10" t="str">
        <f t="shared" si="14"/>
        <v>01</v>
      </c>
      <c r="E112" s="12">
        <v>45521.664583333331</v>
      </c>
      <c r="F112" s="6" t="s">
        <v>137</v>
      </c>
      <c r="G112" s="14">
        <f t="shared" si="15"/>
        <v>6.0139236111135688</v>
      </c>
      <c r="I112" s="5"/>
    </row>
    <row r="113" spans="1:9" x14ac:dyDescent="0.25">
      <c r="A113" s="13" t="s">
        <v>60</v>
      </c>
      <c r="B113" s="10" t="str">
        <f t="shared" si="12"/>
        <v>A12</v>
      </c>
      <c r="C113" s="10" t="str">
        <f t="shared" si="13"/>
        <v>04</v>
      </c>
      <c r="D113" s="10" t="str">
        <f t="shared" si="14"/>
        <v>02</v>
      </c>
      <c r="E113" s="12">
        <v>45521.679166666661</v>
      </c>
      <c r="F113" s="6" t="s">
        <v>135</v>
      </c>
      <c r="G113" s="14">
        <f t="shared" si="15"/>
        <v>5.9993402777836309</v>
      </c>
      <c r="I113" s="5"/>
    </row>
    <row r="114" spans="1:9" x14ac:dyDescent="0.25">
      <c r="A114" s="13" t="s">
        <v>85</v>
      </c>
      <c r="B114" s="10" t="str">
        <f t="shared" si="12"/>
        <v>A13</v>
      </c>
      <c r="C114" s="10" t="str">
        <f t="shared" si="13"/>
        <v>03</v>
      </c>
      <c r="D114" s="10" t="str">
        <f t="shared" si="14"/>
        <v>02</v>
      </c>
      <c r="E114" s="12">
        <v>45522.688194444439</v>
      </c>
      <c r="F114" s="6" t="s">
        <v>142</v>
      </c>
      <c r="G114" s="14">
        <f t="shared" si="15"/>
        <v>4.9903125000055297</v>
      </c>
      <c r="I114" s="5"/>
    </row>
    <row r="115" spans="1:9" x14ac:dyDescent="0.25">
      <c r="A115" s="13" t="s">
        <v>111</v>
      </c>
      <c r="B115" s="10" t="str">
        <f t="shared" si="12"/>
        <v>A14</v>
      </c>
      <c r="C115" s="10" t="str">
        <f t="shared" si="13"/>
        <v>02</v>
      </c>
      <c r="D115" s="10" t="str">
        <f t="shared" si="14"/>
        <v>03</v>
      </c>
      <c r="E115" s="12">
        <v>45523.348611111112</v>
      </c>
      <c r="F115" s="6" t="s">
        <v>138</v>
      </c>
      <c r="G115" s="14">
        <f t="shared" si="15"/>
        <v>4.3298958333325572</v>
      </c>
      <c r="I115" s="5"/>
    </row>
    <row r="116" spans="1:9" x14ac:dyDescent="0.25">
      <c r="A116" s="13" t="s">
        <v>28</v>
      </c>
      <c r="B116" s="10" t="str">
        <f t="shared" si="12"/>
        <v>A11</v>
      </c>
      <c r="C116" s="10" t="str">
        <f t="shared" si="13"/>
        <v>03</v>
      </c>
      <c r="D116" s="10" t="str">
        <f t="shared" si="14"/>
        <v>05</v>
      </c>
      <c r="E116" s="12">
        <v>45523.419444444444</v>
      </c>
      <c r="F116" s="6" t="s">
        <v>134</v>
      </c>
      <c r="G116" s="14">
        <f t="shared" si="15"/>
        <v>4.2590625000011642</v>
      </c>
      <c r="I116" s="5"/>
    </row>
    <row r="117" spans="1:9" x14ac:dyDescent="0.25">
      <c r="A117" s="13" t="s">
        <v>91</v>
      </c>
      <c r="B117" s="10" t="str">
        <f t="shared" si="12"/>
        <v>A13</v>
      </c>
      <c r="C117" s="10" t="str">
        <f t="shared" si="13"/>
        <v>04</v>
      </c>
      <c r="D117" s="10" t="str">
        <f t="shared" si="14"/>
        <v>03</v>
      </c>
      <c r="E117" s="12">
        <v>45523.490972222222</v>
      </c>
      <c r="F117" s="6" t="s">
        <v>142</v>
      </c>
      <c r="G117" s="14">
        <f t="shared" si="15"/>
        <v>4.187534722223063</v>
      </c>
      <c r="I117" s="5"/>
    </row>
    <row r="118" spans="1:9" x14ac:dyDescent="0.25">
      <c r="A118" s="13" t="s">
        <v>86</v>
      </c>
      <c r="B118" s="10" t="str">
        <f t="shared" si="12"/>
        <v>A13</v>
      </c>
      <c r="C118" s="10" t="str">
        <f t="shared" si="13"/>
        <v>03</v>
      </c>
      <c r="D118" s="10" t="str">
        <f t="shared" si="14"/>
        <v>03</v>
      </c>
      <c r="E118" s="12">
        <v>45523.554166666661</v>
      </c>
      <c r="F118" s="6" t="s">
        <v>135</v>
      </c>
      <c r="G118" s="14">
        <f t="shared" si="15"/>
        <v>4.1243402777836309</v>
      </c>
      <c r="I118" s="5"/>
    </row>
    <row r="119" spans="1:9" x14ac:dyDescent="0.25">
      <c r="A119" s="13" t="s">
        <v>33</v>
      </c>
      <c r="B119" s="10" t="str">
        <f t="shared" si="12"/>
        <v>A11</v>
      </c>
      <c r="C119" s="10" t="str">
        <f t="shared" si="13"/>
        <v>04</v>
      </c>
      <c r="D119" s="10" t="str">
        <f t="shared" si="14"/>
        <v>05</v>
      </c>
      <c r="E119" s="12">
        <v>45523.606944444444</v>
      </c>
      <c r="F119" s="6" t="s">
        <v>139</v>
      </c>
      <c r="G119" s="14">
        <f t="shared" si="15"/>
        <v>4.0715625000011642</v>
      </c>
      <c r="I119" s="5"/>
    </row>
    <row r="120" spans="1:9" x14ac:dyDescent="0.25">
      <c r="A120" s="13" t="s">
        <v>71</v>
      </c>
      <c r="B120" s="10" t="str">
        <f t="shared" si="12"/>
        <v>A12</v>
      </c>
      <c r="C120" s="10" t="str">
        <f t="shared" si="13"/>
        <v>06</v>
      </c>
      <c r="D120" s="10" t="str">
        <f t="shared" si="14"/>
        <v>03</v>
      </c>
      <c r="E120" s="12">
        <v>45523.61041666667</v>
      </c>
      <c r="F120" s="6" t="s">
        <v>135</v>
      </c>
      <c r="G120" s="14">
        <f t="shared" si="15"/>
        <v>4.0680902777748997</v>
      </c>
      <c r="I120" s="5"/>
    </row>
    <row r="121" spans="1:9" x14ac:dyDescent="0.25">
      <c r="A121" s="13" t="s">
        <v>62</v>
      </c>
      <c r="B121" s="10" t="str">
        <f t="shared" si="12"/>
        <v>A12</v>
      </c>
      <c r="C121" s="10" t="str">
        <f t="shared" si="13"/>
        <v>04</v>
      </c>
      <c r="D121" s="10" t="str">
        <f t="shared" si="14"/>
        <v>04</v>
      </c>
      <c r="E121" s="12">
        <v>45524.337500000001</v>
      </c>
      <c r="F121" s="6" t="s">
        <v>135</v>
      </c>
      <c r="G121" s="14">
        <f t="shared" si="15"/>
        <v>3.3410069444435067</v>
      </c>
      <c r="I121" s="5"/>
    </row>
    <row r="122" spans="1:9" x14ac:dyDescent="0.25">
      <c r="A122" s="13" t="s">
        <v>58</v>
      </c>
      <c r="B122" s="10" t="str">
        <f t="shared" si="12"/>
        <v>A12</v>
      </c>
      <c r="C122" s="10" t="str">
        <f t="shared" si="13"/>
        <v>03</v>
      </c>
      <c r="D122" s="10" t="str">
        <f t="shared" si="14"/>
        <v>05</v>
      </c>
      <c r="E122" s="12">
        <v>45524.4</v>
      </c>
      <c r="F122" s="6" t="s">
        <v>140</v>
      </c>
      <c r="G122" s="14">
        <f t="shared" si="15"/>
        <v>3.2785069444435067</v>
      </c>
      <c r="I122" s="5"/>
    </row>
    <row r="123" spans="1:9" x14ac:dyDescent="0.25">
      <c r="A123" s="13" t="s">
        <v>21</v>
      </c>
      <c r="B123" s="10" t="str">
        <f t="shared" si="12"/>
        <v>A11</v>
      </c>
      <c r="C123" s="10" t="str">
        <f t="shared" si="13"/>
        <v>02</v>
      </c>
      <c r="D123" s="10" t="str">
        <f t="shared" si="14"/>
        <v>03</v>
      </c>
      <c r="E123" s="12">
        <v>45524.438888888886</v>
      </c>
      <c r="F123" s="6" t="s">
        <v>140</v>
      </c>
      <c r="G123" s="14">
        <f t="shared" si="15"/>
        <v>3.2396180555588217</v>
      </c>
      <c r="I123" s="5"/>
    </row>
    <row r="124" spans="1:9" x14ac:dyDescent="0.25">
      <c r="A124" s="13" t="s">
        <v>72</v>
      </c>
      <c r="B124" s="10" t="str">
        <f t="shared" si="12"/>
        <v>A12</v>
      </c>
      <c r="C124" s="10" t="str">
        <f t="shared" si="13"/>
        <v>06</v>
      </c>
      <c r="D124" s="10" t="str">
        <f t="shared" si="14"/>
        <v>04</v>
      </c>
      <c r="E124" s="12">
        <v>45524.606250000004</v>
      </c>
      <c r="F124" s="6" t="s">
        <v>138</v>
      </c>
      <c r="G124" s="14">
        <f t="shared" si="15"/>
        <v>3.0722569444405963</v>
      </c>
      <c r="I124" s="5"/>
    </row>
    <row r="125" spans="1:9" x14ac:dyDescent="0.25">
      <c r="A125" s="13" t="s">
        <v>83</v>
      </c>
      <c r="B125" s="10" t="str">
        <f t="shared" si="12"/>
        <v>A13</v>
      </c>
      <c r="C125" s="10" t="str">
        <f t="shared" si="13"/>
        <v>02</v>
      </c>
      <c r="D125" s="10" t="str">
        <f t="shared" si="14"/>
        <v>05</v>
      </c>
      <c r="E125" s="12">
        <v>45524.622222222228</v>
      </c>
      <c r="F125" s="6" t="s">
        <v>142</v>
      </c>
      <c r="G125" s="14">
        <f t="shared" si="15"/>
        <v>3.0562847222172422</v>
      </c>
      <c r="I125" s="5"/>
    </row>
    <row r="126" spans="1:9" x14ac:dyDescent="0.25">
      <c r="A126" s="13" t="s">
        <v>118</v>
      </c>
      <c r="B126" s="10" t="str">
        <f t="shared" si="12"/>
        <v>A14</v>
      </c>
      <c r="C126" s="10" t="str">
        <f t="shared" si="13"/>
        <v>03</v>
      </c>
      <c r="D126" s="10" t="str">
        <f t="shared" si="14"/>
        <v>05</v>
      </c>
      <c r="E126" s="12">
        <v>45524.705555555556</v>
      </c>
      <c r="F126" s="6" t="s">
        <v>138</v>
      </c>
      <c r="G126" s="14">
        <f t="shared" si="15"/>
        <v>2.9729513888887595</v>
      </c>
      <c r="I126" s="5"/>
    </row>
    <row r="127" spans="1:9" x14ac:dyDescent="0.25">
      <c r="A127" s="13" t="s">
        <v>70</v>
      </c>
      <c r="B127" s="10" t="str">
        <f t="shared" si="12"/>
        <v>A12</v>
      </c>
      <c r="C127" s="10" t="str">
        <f t="shared" si="13"/>
        <v>06</v>
      </c>
      <c r="D127" s="10" t="str">
        <f t="shared" si="14"/>
        <v>02</v>
      </c>
      <c r="E127" s="12">
        <v>45525.480555555558</v>
      </c>
      <c r="F127" s="6" t="s">
        <v>135</v>
      </c>
      <c r="G127" s="14">
        <f t="shared" si="15"/>
        <v>2.1979513888873043</v>
      </c>
      <c r="I127" s="5"/>
    </row>
    <row r="128" spans="1:9" x14ac:dyDescent="0.25">
      <c r="A128" s="18" t="s">
        <v>92</v>
      </c>
      <c r="B128" s="19" t="str">
        <f t="shared" si="12"/>
        <v>A13</v>
      </c>
      <c r="C128" s="19" t="str">
        <f t="shared" si="13"/>
        <v>04</v>
      </c>
      <c r="D128" s="19" t="str">
        <f t="shared" si="14"/>
        <v>04</v>
      </c>
      <c r="E128" s="20">
        <v>45525.64166666667</v>
      </c>
      <c r="F128" s="19" t="s">
        <v>142</v>
      </c>
      <c r="G128" s="21">
        <f t="shared" si="15"/>
        <v>2.0368402777748997</v>
      </c>
      <c r="I128" s="5"/>
    </row>
  </sheetData>
  <sortState xmlns:xlrd2="http://schemas.microsoft.com/office/spreadsheetml/2017/richdata2" ref="A9:G128">
    <sortCondition descending="1" ref="G9:G128"/>
  </sortState>
  <mergeCells count="1">
    <mergeCell ref="A3:B3"/>
  </mergeCells>
  <conditionalFormatting sqref="G9:G128">
    <cfRule type="cellIs" dxfId="11" priority="1" operator="greaterThan">
      <formula>30</formula>
    </cfRule>
  </conditionalFormatting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Machine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2019, Case Problem 1</dc:title>
  <dc:creator>Your Name</dc:creator>
  <cp:lastModifiedBy>Patrick Carey</cp:lastModifiedBy>
  <dcterms:created xsi:type="dcterms:W3CDTF">2019-05-04T02:56:47Z</dcterms:created>
  <dcterms:modified xsi:type="dcterms:W3CDTF">2021-10-03T00:03:25Z</dcterms:modified>
</cp:coreProperties>
</file>